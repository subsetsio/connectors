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rbnz\dfs\homedrives2\zhouj\Desktop\F3 &amp; F4\F3 published\30 April 2025\"/>
    </mc:Choice>
  </mc:AlternateContent>
  <xr:revisionPtr revIDLastSave="0" documentId="8_{8B5C61DB-774F-4442-85EC-DED884ECE447}" xr6:coauthVersionLast="47" xr6:coauthVersionMax="47" xr10:uidLastSave="{00000000-0000-0000-0000-000000000000}"/>
  <bookViews>
    <workbookView xWindow="-14565" yWindow="-16440" windowWidth="29040" windowHeight="15840" xr2:uid="{00000000-000D-0000-FFFF-FFFF00000000}"/>
  </bookViews>
  <sheets>
    <sheet name="Dollars" sheetId="1" r:id="rId1"/>
    <sheet name="L.S.D" sheetId="2" r:id="rId2"/>
  </sheets>
  <definedNames>
    <definedName name="_xlnm.Print_Titles" localSheetId="0">Dollars!$1:$1</definedName>
    <definedName name="_xlnm.Print_Titles" localSheetId="1">'L.S.D'!$1:$1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4" i="1" l="1"/>
  <c r="J64" i="1"/>
  <c r="H73" i="2"/>
  <c r="J63" i="1"/>
  <c r="L63" i="1" s="1"/>
  <c r="H72" i="2"/>
  <c r="H71" i="2" l="1"/>
  <c r="J62" i="1"/>
  <c r="L62" i="1" s="1"/>
  <c r="J61" i="1" l="1"/>
  <c r="L61" i="1" s="1"/>
  <c r="H70" i="2"/>
  <c r="H69" i="2" l="1"/>
  <c r="J60" i="1"/>
  <c r="L60" i="1" s="1"/>
</calcChain>
</file>

<file path=xl/sharedStrings.xml><?xml version="1.0" encoding="utf-8"?>
<sst xmlns="http://schemas.openxmlformats.org/spreadsheetml/2006/main" count="40" uniqueCount="17">
  <si>
    <t>F3 Bank notes in the hands of the Public</t>
  </si>
  <si>
    <t>(NZ$ thousands)</t>
  </si>
  <si>
    <t>As at last</t>
  </si>
  <si>
    <t>Wednesday</t>
  </si>
  <si>
    <t>in March</t>
  </si>
  <si>
    <t>Total $ Notes</t>
  </si>
  <si>
    <t>L.S.D. Notes</t>
  </si>
  <si>
    <t>Total All Notes</t>
  </si>
  <si>
    <t>-</t>
  </si>
  <si>
    <t>Source: Reserve Bank of New Zealand</t>
  </si>
  <si>
    <t>Total RBNZ L.S.D. Notes</t>
  </si>
  <si>
    <t>10/-</t>
  </si>
  <si>
    <t>£1</t>
  </si>
  <si>
    <t>£5</t>
  </si>
  <si>
    <t>£10</t>
  </si>
  <si>
    <t>£50</t>
  </si>
  <si>
    <t>Last updated 30 April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</si>
</sst>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&quot;$&quot;#,##0_);[Red]\(&quot;$&quot;#,##0\)"/>
    <numFmt numFmtId="166" formatCode="#,##0______\ "/>
    <numFmt numFmtId="167" formatCode="d\ mmm\ yyyy"/>
  </numFmts>
  <fonts count="14" x14ac:knownFonts="1">
    <font>
      <sz val="10"/>
      <name val="Arial"/>
    </font>
    <font>
      <b/>
      <sz val="12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i/>
      <sz val="10"/>
      <color indexed="10"/>
      <name val="Arial"/>
      <family val="2"/>
    </font>
    <font>
      <i/>
      <sz val="10"/>
      <color indexed="10"/>
      <name val="Times New Roman"/>
      <family val="1"/>
    </font>
    <font>
      <b/>
      <sz val="10"/>
      <name val="Arial"/>
      <family val="2"/>
    </font>
    <font>
      <sz val="10"/>
      <color indexed="10"/>
      <name val="Times New Roman"/>
      <family val="1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10"/>
      </bottom>
      <diagonal/>
    </border>
    <border>
      <left/>
      <right/>
      <top/>
      <bottom style="thin">
        <color indexed="8"/>
      </bottom>
      <diagonal/>
    </border>
  </borders>
  <cellStyleXfs count="6">
    <xf numFmtId="0" fontId="0" fillId="0" borderId="0"/>
    <xf numFmtId="167" fontId="2" fillId="0" borderId="0">
      <alignment horizontal="left"/>
    </xf>
    <xf numFmtId="0" fontId="2" fillId="0" borderId="0"/>
    <xf numFmtId="164" fontId="7" fillId="0" borderId="0" applyFont="0" applyFill="0" applyBorder="0" applyAlignment="0" applyProtection="0"/>
    <xf numFmtId="167" fontId="12" fillId="0" borderId="0">
      <alignment horizontal="left"/>
    </xf>
    <xf numFmtId="0" fontId="1" fillId="0" borderId="0">
      <alignment horizontal="left"/>
    </xf>
  </cellStyleXfs>
  <cellXfs count="4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2" fillId="0" borderId="1" xfId="0" applyFont="1" applyBorder="1" applyAlignment="1">
      <alignment horizontal="centerContinuous"/>
    </xf>
    <xf numFmtId="0" fontId="2" fillId="0" borderId="1" xfId="0" applyFont="1" applyBorder="1"/>
    <xf numFmtId="0" fontId="4" fillId="0" borderId="1" xfId="0" applyFont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165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right"/>
      <protection locked="0"/>
    </xf>
    <xf numFmtId="0" fontId="6" fillId="0" borderId="0" xfId="0" applyFont="1" applyAlignment="1" applyProtection="1">
      <alignment horizontal="center"/>
      <protection locked="0"/>
    </xf>
    <xf numFmtId="166" fontId="6" fillId="0" borderId="0" xfId="0" applyNumberFormat="1" applyFont="1" applyAlignment="1" applyProtection="1">
      <alignment horizontal="right"/>
      <protection locked="0"/>
    </xf>
    <xf numFmtId="166" fontId="6" fillId="0" borderId="0" xfId="0" applyNumberFormat="1" applyFont="1" applyAlignment="1" applyProtection="1">
      <alignment horizontal="center"/>
      <protection locked="0"/>
    </xf>
    <xf numFmtId="166" fontId="0" fillId="0" borderId="0" xfId="0" applyNumberFormat="1"/>
    <xf numFmtId="1" fontId="6" fillId="0" borderId="0" xfId="0" applyNumberFormat="1" applyFont="1" applyAlignment="1" applyProtection="1">
      <alignment horizontal="center"/>
      <protection locked="0"/>
    </xf>
    <xf numFmtId="3" fontId="2" fillId="0" borderId="0" xfId="0" applyNumberFormat="1" applyFont="1" applyAlignment="1" applyProtection="1">
      <alignment horizontal="center"/>
      <protection locked="0"/>
    </xf>
    <xf numFmtId="0" fontId="7" fillId="0" borderId="0" xfId="0" applyFont="1"/>
    <xf numFmtId="166" fontId="7" fillId="0" borderId="0" xfId="0" applyNumberFormat="1" applyFont="1"/>
    <xf numFmtId="3" fontId="8" fillId="0" borderId="0" xfId="0" applyNumberFormat="1" applyFont="1" applyAlignment="1" applyProtection="1">
      <alignment horizontal="center"/>
      <protection locked="0"/>
    </xf>
    <xf numFmtId="0" fontId="9" fillId="0" borderId="0" xfId="0" applyFont="1"/>
    <xf numFmtId="167" fontId="10" fillId="0" borderId="0" xfId="1" applyFont="1">
      <alignment horizontal="left"/>
    </xf>
    <xf numFmtId="0" fontId="10" fillId="0" borderId="0" xfId="2" applyFont="1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8" fillId="0" borderId="0" xfId="0" applyFont="1" applyAlignment="1" applyProtection="1">
      <alignment horizontal="centerContinuous" vertical="center" wrapText="1"/>
      <protection locked="0"/>
    </xf>
    <xf numFmtId="0" fontId="2" fillId="0" borderId="2" xfId="0" applyFont="1" applyBorder="1" applyProtection="1">
      <protection locked="0"/>
    </xf>
    <xf numFmtId="0" fontId="8" fillId="0" borderId="2" xfId="0" applyFont="1" applyBorder="1" applyAlignment="1" applyProtection="1">
      <alignment horizontal="center"/>
      <protection locked="0"/>
    </xf>
    <xf numFmtId="0" fontId="8" fillId="0" borderId="2" xfId="0" applyFont="1" applyBorder="1" applyAlignment="1" applyProtection="1">
      <alignment horizontal="centerContinuous" vertical="center" wrapText="1"/>
      <protection locked="0"/>
    </xf>
    <xf numFmtId="166" fontId="2" fillId="0" borderId="0" xfId="0" applyNumberFormat="1" applyFont="1" applyAlignment="1" applyProtection="1">
      <alignment horizontal="right"/>
      <protection locked="0"/>
    </xf>
    <xf numFmtId="166" fontId="0" fillId="0" borderId="0" xfId="0" applyNumberFormat="1" applyAlignment="1" applyProtection="1">
      <alignment horizontal="right"/>
      <protection locked="0"/>
    </xf>
    <xf numFmtId="166" fontId="6" fillId="0" borderId="0" xfId="0" applyNumberFormat="1" applyFont="1" applyAlignment="1" applyProtection="1">
      <alignment horizontal="right" vertical="center"/>
      <protection locked="0"/>
    </xf>
    <xf numFmtId="166" fontId="11" fillId="0" borderId="0" xfId="0" applyNumberFormat="1" applyFont="1"/>
    <xf numFmtId="0" fontId="11" fillId="0" borderId="0" xfId="0" applyFont="1"/>
    <xf numFmtId="0" fontId="13" fillId="0" borderId="0" xfId="0" applyFont="1"/>
    <xf numFmtId="166" fontId="6" fillId="0" borderId="0" xfId="0" applyNumberFormat="1" applyFont="1" applyFill="1" applyAlignment="1" applyProtection="1">
      <alignment horizontal="right"/>
      <protection locked="0"/>
    </xf>
  </cellXfs>
  <cellStyles count="6">
    <cellStyle name="Comma 2" xfId="3" xr:uid="{00000000-0005-0000-0000-000000000000}"/>
    <cellStyle name="Date Released" xfId="1" xr:uid="{00000000-0005-0000-0000-000001000000}"/>
    <cellStyle name="Date Released 2" xfId="4" xr:uid="{00000000-0005-0000-0000-000002000000}"/>
    <cellStyle name="Normal" xfId="0" builtinId="0"/>
    <cellStyle name="Normal_HRB SSR Part D macro" xfId="2" xr:uid="{00000000-0005-0000-0000-000004000000}"/>
    <cellStyle name="Title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67"/>
  <sheetViews>
    <sheetView tabSelected="1" zoomScaleNormal="100" workbookViewId="0">
      <pane xSplit="2" ySplit="5" topLeftCell="C48" activePane="bottomRight" state="frozen"/>
      <selection activeCell="N55" sqref="N55"/>
      <selection pane="topRight" activeCell="N55" sqref="N55"/>
      <selection pane="bottomLeft" activeCell="N55" sqref="N55"/>
      <selection pane="bottomRight" activeCell="F72" sqref="F72"/>
    </sheetView>
  </sheetViews>
  <sheetFormatPr defaultRowHeight="12.5" x14ac:dyDescent="0.25"/>
  <cols>
    <col min="2" max="2" width="3.54296875" customWidth="1"/>
    <col min="3" max="4" width="12.7265625" customWidth="1"/>
    <col min="5" max="5" width="11.7265625" bestFit="1" customWidth="1"/>
    <col min="6" max="6" width="12.7265625" customWidth="1"/>
    <col min="7" max="8" width="13.81640625" bestFit="1" customWidth="1"/>
    <col min="9" max="11" width="15.453125" bestFit="1" customWidth="1"/>
    <col min="12" max="12" width="12.7265625" customWidth="1"/>
    <col min="13" max="13" width="11.7265625" bestFit="1" customWidth="1"/>
    <col min="14" max="14" width="12.7265625" bestFit="1" customWidth="1"/>
    <col min="15" max="16" width="10.1796875" bestFit="1" customWidth="1"/>
  </cols>
  <sheetData>
    <row r="1" spans="1:14" ht="15" x14ac:dyDescent="0.3">
      <c r="A1" s="1" t="s">
        <v>0</v>
      </c>
      <c r="B1" s="2"/>
      <c r="C1" s="3"/>
      <c r="E1" s="3"/>
      <c r="F1" s="3"/>
      <c r="G1" s="3"/>
      <c r="H1" s="3"/>
      <c r="I1" s="3"/>
      <c r="J1" s="2"/>
      <c r="L1" s="4"/>
    </row>
    <row r="2" spans="1:14" ht="13" x14ac:dyDescent="0.3">
      <c r="A2" s="5" t="s">
        <v>1</v>
      </c>
      <c r="B2" s="6"/>
      <c r="C2" s="7"/>
      <c r="D2" s="7"/>
      <c r="E2" s="8"/>
      <c r="F2" s="7"/>
      <c r="G2" s="7"/>
      <c r="H2" s="7"/>
      <c r="I2" s="7"/>
      <c r="J2" s="6"/>
      <c r="K2" s="6"/>
      <c r="L2" s="6"/>
    </row>
    <row r="3" spans="1:14" ht="13" x14ac:dyDescent="0.3">
      <c r="A3" s="9" t="s">
        <v>2</v>
      </c>
      <c r="B3" s="10"/>
      <c r="D3" s="10"/>
      <c r="E3" s="10"/>
      <c r="F3" s="10"/>
      <c r="G3" s="10"/>
      <c r="H3" s="10"/>
      <c r="I3" s="10"/>
      <c r="J3" s="10"/>
      <c r="K3" s="10"/>
      <c r="L3" s="10"/>
    </row>
    <row r="4" spans="1:14" ht="13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4" ht="13" x14ac:dyDescent="0.3">
      <c r="A5" s="11" t="s">
        <v>4</v>
      </c>
      <c r="B5" s="12"/>
      <c r="C5" s="13">
        <v>1</v>
      </c>
      <c r="D5" s="13">
        <v>2</v>
      </c>
      <c r="E5" s="13">
        <v>5</v>
      </c>
      <c r="F5" s="13">
        <v>10</v>
      </c>
      <c r="G5" s="13">
        <v>20</v>
      </c>
      <c r="H5" s="13">
        <v>50</v>
      </c>
      <c r="I5" s="13">
        <v>100</v>
      </c>
      <c r="J5" s="14" t="s">
        <v>5</v>
      </c>
      <c r="K5" s="14" t="s">
        <v>6</v>
      </c>
      <c r="L5" s="14" t="s">
        <v>7</v>
      </c>
    </row>
    <row r="6" spans="1:14" ht="13" x14ac:dyDescent="0.3">
      <c r="A6" s="15"/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</row>
    <row r="7" spans="1:14" ht="13" x14ac:dyDescent="0.3">
      <c r="A7" s="18">
        <v>1968</v>
      </c>
      <c r="B7" s="16"/>
      <c r="C7" s="19">
        <v>4822</v>
      </c>
      <c r="D7" s="19">
        <v>10309</v>
      </c>
      <c r="E7" s="19">
        <v>10545</v>
      </c>
      <c r="F7" s="19">
        <v>59197</v>
      </c>
      <c r="G7" s="19">
        <v>16693</v>
      </c>
      <c r="H7" s="20" t="s">
        <v>8</v>
      </c>
      <c r="I7" s="19">
        <v>2056</v>
      </c>
      <c r="J7" s="19">
        <v>103622</v>
      </c>
      <c r="K7" s="19">
        <v>12563</v>
      </c>
      <c r="L7" s="19">
        <v>116185</v>
      </c>
      <c r="M7" s="21"/>
      <c r="N7" s="21"/>
    </row>
    <row r="8" spans="1:14" ht="13" x14ac:dyDescent="0.3">
      <c r="A8" s="18">
        <v>1969</v>
      </c>
      <c r="B8" s="16"/>
      <c r="C8" s="19">
        <v>5096</v>
      </c>
      <c r="D8" s="19">
        <v>10628</v>
      </c>
      <c r="E8" s="19">
        <v>11811</v>
      </c>
      <c r="F8" s="19">
        <v>68424</v>
      </c>
      <c r="G8" s="19">
        <v>19412</v>
      </c>
      <c r="H8" s="20" t="s">
        <v>8</v>
      </c>
      <c r="I8" s="19">
        <v>2442</v>
      </c>
      <c r="J8" s="19">
        <v>117813</v>
      </c>
      <c r="K8" s="19">
        <v>8729</v>
      </c>
      <c r="L8" s="19">
        <v>126542</v>
      </c>
      <c r="M8" s="21"/>
      <c r="N8" s="21"/>
    </row>
    <row r="9" spans="1:14" ht="13" x14ac:dyDescent="0.3">
      <c r="A9" s="18">
        <v>1970</v>
      </c>
      <c r="B9" s="16"/>
      <c r="C9" s="19">
        <v>5694</v>
      </c>
      <c r="D9" s="19">
        <v>11823</v>
      </c>
      <c r="E9" s="19">
        <v>13689</v>
      </c>
      <c r="F9" s="19">
        <v>84063</v>
      </c>
      <c r="G9" s="19">
        <v>21760</v>
      </c>
      <c r="H9" s="20" t="s">
        <v>8</v>
      </c>
      <c r="I9" s="19">
        <v>2671</v>
      </c>
      <c r="J9" s="19">
        <v>139700</v>
      </c>
      <c r="K9" s="19">
        <v>7638</v>
      </c>
      <c r="L9" s="19">
        <v>147338</v>
      </c>
      <c r="M9" s="21"/>
      <c r="N9" s="21"/>
    </row>
    <row r="10" spans="1:14" ht="13" x14ac:dyDescent="0.3">
      <c r="A10" s="18">
        <v>1971</v>
      </c>
      <c r="B10" s="16"/>
      <c r="C10" s="19">
        <v>5719</v>
      </c>
      <c r="D10" s="19">
        <v>11522</v>
      </c>
      <c r="E10" s="19">
        <v>13332</v>
      </c>
      <c r="F10" s="19">
        <v>86437</v>
      </c>
      <c r="G10" s="19">
        <v>25397</v>
      </c>
      <c r="H10" s="20" t="s">
        <v>8</v>
      </c>
      <c r="I10" s="19">
        <v>2802</v>
      </c>
      <c r="J10" s="19">
        <v>145209</v>
      </c>
      <c r="K10" s="19">
        <v>6869</v>
      </c>
      <c r="L10" s="19">
        <v>152078</v>
      </c>
      <c r="M10" s="21"/>
      <c r="N10" s="21"/>
    </row>
    <row r="11" spans="1:14" ht="13" x14ac:dyDescent="0.3">
      <c r="A11" s="18">
        <v>1972</v>
      </c>
      <c r="B11" s="16"/>
      <c r="C11" s="19">
        <v>6433</v>
      </c>
      <c r="D11" s="19">
        <v>12948</v>
      </c>
      <c r="E11" s="19">
        <v>15532</v>
      </c>
      <c r="F11" s="19">
        <v>107560</v>
      </c>
      <c r="G11" s="19">
        <v>30933</v>
      </c>
      <c r="H11" s="20" t="s">
        <v>8</v>
      </c>
      <c r="I11" s="19">
        <v>3020</v>
      </c>
      <c r="J11" s="19">
        <v>176426</v>
      </c>
      <c r="K11" s="19">
        <v>6529</v>
      </c>
      <c r="L11" s="19">
        <v>182955</v>
      </c>
      <c r="M11" s="21"/>
      <c r="N11" s="21"/>
    </row>
    <row r="12" spans="1:14" ht="13" x14ac:dyDescent="0.3">
      <c r="A12" s="18">
        <v>1973</v>
      </c>
      <c r="B12" s="16"/>
      <c r="C12" s="19">
        <v>6426</v>
      </c>
      <c r="D12" s="19">
        <v>12793</v>
      </c>
      <c r="E12" s="19">
        <v>16305</v>
      </c>
      <c r="F12" s="19">
        <v>112595</v>
      </c>
      <c r="G12" s="19">
        <v>35641</v>
      </c>
      <c r="H12" s="20" t="s">
        <v>8</v>
      </c>
      <c r="I12" s="19">
        <v>3102</v>
      </c>
      <c r="J12" s="19">
        <v>186862</v>
      </c>
      <c r="K12" s="19">
        <v>6333</v>
      </c>
      <c r="L12" s="19">
        <v>193195</v>
      </c>
      <c r="M12" s="21"/>
      <c r="N12" s="21"/>
    </row>
    <row r="13" spans="1:14" ht="13" x14ac:dyDescent="0.3">
      <c r="A13" s="18">
        <v>1974</v>
      </c>
      <c r="B13" s="16"/>
      <c r="C13" s="19">
        <v>7084</v>
      </c>
      <c r="D13" s="19">
        <v>13868</v>
      </c>
      <c r="E13" s="19">
        <v>17645</v>
      </c>
      <c r="F13" s="19">
        <v>133366</v>
      </c>
      <c r="G13" s="19">
        <v>45589</v>
      </c>
      <c r="H13" s="20" t="s">
        <v>8</v>
      </c>
      <c r="I13" s="19">
        <v>3661</v>
      </c>
      <c r="J13" s="19">
        <v>221213</v>
      </c>
      <c r="K13" s="19">
        <v>6023</v>
      </c>
      <c r="L13" s="19">
        <v>227236</v>
      </c>
      <c r="M13" s="21"/>
      <c r="N13" s="21"/>
    </row>
    <row r="14" spans="1:14" ht="13" x14ac:dyDescent="0.3">
      <c r="A14" s="18">
        <v>1975</v>
      </c>
      <c r="B14" s="16"/>
      <c r="C14" s="19">
        <v>7860</v>
      </c>
      <c r="D14" s="19">
        <v>15493</v>
      </c>
      <c r="E14" s="19">
        <v>20399</v>
      </c>
      <c r="F14" s="19">
        <v>165103</v>
      </c>
      <c r="G14" s="19">
        <v>61760</v>
      </c>
      <c r="H14" s="20" t="s">
        <v>8</v>
      </c>
      <c r="I14" s="19">
        <v>3855</v>
      </c>
      <c r="J14" s="19">
        <v>274470</v>
      </c>
      <c r="K14" s="19">
        <v>5913</v>
      </c>
      <c r="L14" s="19">
        <v>280383</v>
      </c>
      <c r="M14" s="21"/>
      <c r="N14" s="21"/>
    </row>
    <row r="15" spans="1:14" ht="13" x14ac:dyDescent="0.3">
      <c r="A15" s="18">
        <v>1976</v>
      </c>
      <c r="B15" s="16"/>
      <c r="C15" s="19">
        <v>8327</v>
      </c>
      <c r="D15" s="19">
        <v>15843</v>
      </c>
      <c r="E15" s="19">
        <v>21435</v>
      </c>
      <c r="F15" s="19">
        <v>183145</v>
      </c>
      <c r="G15" s="19">
        <v>75173</v>
      </c>
      <c r="H15" s="20" t="s">
        <v>8</v>
      </c>
      <c r="I15" s="19">
        <v>4557</v>
      </c>
      <c r="J15" s="19">
        <v>308480</v>
      </c>
      <c r="K15" s="19">
        <v>5851</v>
      </c>
      <c r="L15" s="19">
        <v>314331</v>
      </c>
      <c r="M15" s="21"/>
      <c r="N15" s="21"/>
    </row>
    <row r="16" spans="1:14" ht="13" x14ac:dyDescent="0.3">
      <c r="A16" s="18">
        <v>1977</v>
      </c>
      <c r="B16" s="16"/>
      <c r="C16" s="19">
        <v>8846</v>
      </c>
      <c r="D16" s="19">
        <v>17013</v>
      </c>
      <c r="E16" s="19">
        <v>23257</v>
      </c>
      <c r="F16" s="19">
        <v>192407</v>
      </c>
      <c r="G16" s="19">
        <v>89925</v>
      </c>
      <c r="H16" s="20" t="s">
        <v>8</v>
      </c>
      <c r="I16" s="19">
        <v>5066</v>
      </c>
      <c r="J16" s="19">
        <v>336514</v>
      </c>
      <c r="K16" s="19">
        <v>5804</v>
      </c>
      <c r="L16" s="19">
        <v>342318</v>
      </c>
      <c r="M16" s="21"/>
      <c r="N16" s="21"/>
    </row>
    <row r="17" spans="1:14" ht="13" x14ac:dyDescent="0.3">
      <c r="A17" s="18">
        <v>1978</v>
      </c>
      <c r="B17" s="16"/>
      <c r="C17" s="19">
        <v>9157</v>
      </c>
      <c r="D17" s="19">
        <v>17373</v>
      </c>
      <c r="E17" s="19">
        <v>23392</v>
      </c>
      <c r="F17" s="19">
        <v>204052</v>
      </c>
      <c r="G17" s="19">
        <v>106912</v>
      </c>
      <c r="H17" s="20" t="s">
        <v>8</v>
      </c>
      <c r="I17" s="19">
        <v>5420</v>
      </c>
      <c r="J17" s="19">
        <v>366306</v>
      </c>
      <c r="K17" s="19">
        <v>5763</v>
      </c>
      <c r="L17" s="19">
        <v>372069</v>
      </c>
      <c r="M17" s="21"/>
      <c r="N17" s="21"/>
    </row>
    <row r="18" spans="1:14" ht="13" x14ac:dyDescent="0.3">
      <c r="A18" s="18">
        <v>1979</v>
      </c>
      <c r="B18" s="16"/>
      <c r="C18" s="19">
        <v>9961</v>
      </c>
      <c r="D18" s="19">
        <v>18426</v>
      </c>
      <c r="E18" s="19">
        <v>25006</v>
      </c>
      <c r="F18" s="19">
        <v>222130</v>
      </c>
      <c r="G18" s="19">
        <v>136226</v>
      </c>
      <c r="H18" s="20" t="s">
        <v>8</v>
      </c>
      <c r="I18" s="19">
        <v>6271</v>
      </c>
      <c r="J18" s="19">
        <v>418020</v>
      </c>
      <c r="K18" s="19">
        <v>5703</v>
      </c>
      <c r="L18" s="19">
        <v>423723</v>
      </c>
      <c r="M18" s="21"/>
      <c r="N18" s="21"/>
    </row>
    <row r="19" spans="1:14" ht="13" x14ac:dyDescent="0.3">
      <c r="A19" s="18">
        <v>1980</v>
      </c>
      <c r="B19" s="16"/>
      <c r="C19" s="19">
        <v>10611</v>
      </c>
      <c r="D19" s="19">
        <v>19019</v>
      </c>
      <c r="E19" s="19">
        <v>25982</v>
      </c>
      <c r="F19" s="19">
        <v>234335</v>
      </c>
      <c r="G19" s="19">
        <v>153995</v>
      </c>
      <c r="H19" s="20" t="s">
        <v>8</v>
      </c>
      <c r="I19" s="19">
        <v>7553</v>
      </c>
      <c r="J19" s="19">
        <v>451495</v>
      </c>
      <c r="K19" s="19">
        <v>5353</v>
      </c>
      <c r="L19" s="19">
        <v>456848</v>
      </c>
      <c r="M19" s="21"/>
      <c r="N19" s="21"/>
    </row>
    <row r="20" spans="1:14" ht="13" x14ac:dyDescent="0.3">
      <c r="A20" s="18">
        <v>1981</v>
      </c>
      <c r="B20" s="16"/>
      <c r="C20" s="19">
        <v>11129</v>
      </c>
      <c r="D20" s="19">
        <v>19986</v>
      </c>
      <c r="E20" s="19">
        <v>26600</v>
      </c>
      <c r="F20" s="19">
        <v>244191</v>
      </c>
      <c r="G20" s="19">
        <v>187408</v>
      </c>
      <c r="H20" s="20" t="s">
        <v>8</v>
      </c>
      <c r="I20" s="19">
        <v>9183</v>
      </c>
      <c r="J20" s="19">
        <v>498497</v>
      </c>
      <c r="K20" s="19">
        <v>5262</v>
      </c>
      <c r="L20" s="19">
        <v>503759</v>
      </c>
      <c r="M20" s="21"/>
      <c r="N20" s="21"/>
    </row>
    <row r="21" spans="1:14" ht="13" x14ac:dyDescent="0.3">
      <c r="A21" s="18">
        <v>1982</v>
      </c>
      <c r="B21" s="16"/>
      <c r="C21" s="19">
        <v>11901</v>
      </c>
      <c r="D21" s="19">
        <v>20834</v>
      </c>
      <c r="E21" s="19">
        <v>27987</v>
      </c>
      <c r="F21" s="19">
        <v>247097</v>
      </c>
      <c r="G21" s="19">
        <v>228088</v>
      </c>
      <c r="H21" s="20" t="s">
        <v>8</v>
      </c>
      <c r="I21" s="19">
        <v>12050</v>
      </c>
      <c r="J21" s="19">
        <v>547957</v>
      </c>
      <c r="K21" s="19">
        <v>5223</v>
      </c>
      <c r="L21" s="19">
        <v>553180</v>
      </c>
      <c r="M21" s="21"/>
      <c r="N21" s="21"/>
    </row>
    <row r="22" spans="1:14" ht="13" x14ac:dyDescent="0.3">
      <c r="A22" s="18">
        <v>1983</v>
      </c>
      <c r="B22" s="16"/>
      <c r="C22" s="19">
        <v>12814</v>
      </c>
      <c r="D22" s="19">
        <v>21887</v>
      </c>
      <c r="E22" s="19">
        <v>28823</v>
      </c>
      <c r="F22" s="19">
        <v>247670</v>
      </c>
      <c r="G22" s="19">
        <v>264637</v>
      </c>
      <c r="H22" s="20" t="s">
        <v>8</v>
      </c>
      <c r="I22" s="19">
        <v>18105</v>
      </c>
      <c r="J22" s="19">
        <v>593936</v>
      </c>
      <c r="K22" s="19">
        <v>5201</v>
      </c>
      <c r="L22" s="19">
        <v>599137</v>
      </c>
      <c r="M22" s="21"/>
      <c r="N22" s="21"/>
    </row>
    <row r="23" spans="1:14" ht="13" x14ac:dyDescent="0.3">
      <c r="A23" s="18">
        <v>1984</v>
      </c>
      <c r="B23" s="16"/>
      <c r="C23" s="19">
        <v>12869</v>
      </c>
      <c r="D23" s="19">
        <v>21165</v>
      </c>
      <c r="E23" s="19">
        <v>27508</v>
      </c>
      <c r="F23" s="19">
        <v>228202</v>
      </c>
      <c r="G23" s="19">
        <v>248873</v>
      </c>
      <c r="H23" s="19">
        <v>35331</v>
      </c>
      <c r="I23" s="19">
        <v>25098</v>
      </c>
      <c r="J23" s="19">
        <v>599046</v>
      </c>
      <c r="K23" s="19">
        <v>5196</v>
      </c>
      <c r="L23" s="19">
        <v>604242</v>
      </c>
      <c r="M23" s="21"/>
      <c r="N23" s="21"/>
    </row>
    <row r="24" spans="1:14" ht="13" x14ac:dyDescent="0.3">
      <c r="A24" s="18">
        <v>1985</v>
      </c>
      <c r="B24" s="16"/>
      <c r="C24" s="19">
        <v>16977</v>
      </c>
      <c r="D24" s="19">
        <v>28148</v>
      </c>
      <c r="E24" s="19">
        <v>38445</v>
      </c>
      <c r="F24" s="19">
        <v>294717</v>
      </c>
      <c r="G24" s="19">
        <v>296906</v>
      </c>
      <c r="H24" s="19">
        <v>108555</v>
      </c>
      <c r="I24" s="19">
        <v>37005</v>
      </c>
      <c r="J24" s="19">
        <v>820753</v>
      </c>
      <c r="K24" s="19">
        <v>5190</v>
      </c>
      <c r="L24" s="19">
        <v>825943</v>
      </c>
      <c r="M24" s="21"/>
      <c r="N24" s="21"/>
    </row>
    <row r="25" spans="1:14" ht="13" x14ac:dyDescent="0.3">
      <c r="A25" s="18">
        <v>1986</v>
      </c>
      <c r="B25" s="16"/>
      <c r="C25" s="19">
        <v>18031</v>
      </c>
      <c r="D25" s="19">
        <v>30538</v>
      </c>
      <c r="E25" s="19">
        <v>39868</v>
      </c>
      <c r="F25" s="19">
        <v>331033</v>
      </c>
      <c r="G25" s="19">
        <v>348202</v>
      </c>
      <c r="H25" s="19">
        <v>156870</v>
      </c>
      <c r="I25" s="19">
        <v>51730</v>
      </c>
      <c r="J25" s="19">
        <v>976272</v>
      </c>
      <c r="K25" s="19">
        <v>5176</v>
      </c>
      <c r="L25" s="19">
        <v>981448</v>
      </c>
      <c r="M25" s="21"/>
      <c r="N25" s="21"/>
    </row>
    <row r="26" spans="1:14" ht="13" x14ac:dyDescent="0.3">
      <c r="A26" s="18">
        <v>1987</v>
      </c>
      <c r="B26" s="16"/>
      <c r="C26" s="19">
        <v>20023</v>
      </c>
      <c r="D26" s="19">
        <v>33833</v>
      </c>
      <c r="E26" s="19">
        <v>39756</v>
      </c>
      <c r="F26" s="19">
        <v>314547</v>
      </c>
      <c r="G26" s="19">
        <v>363927</v>
      </c>
      <c r="H26" s="19">
        <v>212238</v>
      </c>
      <c r="I26" s="19">
        <v>75638</v>
      </c>
      <c r="J26" s="19">
        <v>1059962</v>
      </c>
      <c r="K26" s="19">
        <v>5158</v>
      </c>
      <c r="L26" s="19">
        <v>1065120</v>
      </c>
      <c r="M26" s="21"/>
      <c r="N26" s="21"/>
    </row>
    <row r="27" spans="1:14" ht="13" x14ac:dyDescent="0.3">
      <c r="A27" s="18">
        <v>1988</v>
      </c>
      <c r="B27" s="16"/>
      <c r="C27" s="19">
        <v>17706</v>
      </c>
      <c r="D27" s="19">
        <v>29281</v>
      </c>
      <c r="E27" s="19">
        <v>31637</v>
      </c>
      <c r="F27" s="19">
        <v>204111</v>
      </c>
      <c r="G27" s="19">
        <v>321008</v>
      </c>
      <c r="H27" s="19">
        <v>215905</v>
      </c>
      <c r="I27" s="19">
        <v>83275</v>
      </c>
      <c r="J27" s="19">
        <v>902923</v>
      </c>
      <c r="K27" s="19">
        <v>5142</v>
      </c>
      <c r="L27" s="19">
        <v>908065</v>
      </c>
      <c r="M27" s="21"/>
      <c r="N27" s="21"/>
    </row>
    <row r="28" spans="1:14" ht="13" x14ac:dyDescent="0.3">
      <c r="A28" s="18">
        <v>1989</v>
      </c>
      <c r="B28" s="16"/>
      <c r="C28" s="19">
        <v>20914</v>
      </c>
      <c r="D28" s="19">
        <v>34390</v>
      </c>
      <c r="E28" s="19">
        <v>41099</v>
      </c>
      <c r="F28" s="19">
        <v>238399</v>
      </c>
      <c r="G28" s="19">
        <v>404878</v>
      </c>
      <c r="H28" s="19">
        <v>315246</v>
      </c>
      <c r="I28" s="19">
        <v>115605</v>
      </c>
      <c r="J28" s="19">
        <v>1170531</v>
      </c>
      <c r="K28" s="19">
        <v>5138</v>
      </c>
      <c r="L28" s="19">
        <v>1175669</v>
      </c>
      <c r="M28" s="21"/>
      <c r="N28" s="21"/>
    </row>
    <row r="29" spans="1:14" ht="13" x14ac:dyDescent="0.3">
      <c r="A29" s="18">
        <v>1990</v>
      </c>
      <c r="B29" s="16"/>
      <c r="C29" s="19">
        <v>21006</v>
      </c>
      <c r="D29" s="19">
        <v>34749</v>
      </c>
      <c r="E29" s="19">
        <v>41594</v>
      </c>
      <c r="F29" s="19">
        <v>207456</v>
      </c>
      <c r="G29" s="19">
        <v>392874</v>
      </c>
      <c r="H29" s="19">
        <v>357029</v>
      </c>
      <c r="I29" s="19">
        <v>145414</v>
      </c>
      <c r="J29" s="19">
        <v>1200122</v>
      </c>
      <c r="K29" s="19">
        <v>5131</v>
      </c>
      <c r="L29" s="19">
        <v>1205253</v>
      </c>
      <c r="M29" s="21"/>
      <c r="N29" s="21"/>
    </row>
    <row r="30" spans="1:14" ht="13" x14ac:dyDescent="0.3">
      <c r="A30" s="18">
        <v>1991</v>
      </c>
      <c r="B30" s="16"/>
      <c r="C30" s="19">
        <v>13214</v>
      </c>
      <c r="D30" s="19">
        <v>18368</v>
      </c>
      <c r="E30" s="19">
        <v>44547</v>
      </c>
      <c r="F30" s="19">
        <v>188488</v>
      </c>
      <c r="G30" s="19">
        <v>427720</v>
      </c>
      <c r="H30" s="19">
        <v>386821</v>
      </c>
      <c r="I30" s="19">
        <v>166495</v>
      </c>
      <c r="J30" s="19">
        <v>1245653</v>
      </c>
      <c r="K30" s="19">
        <v>5131</v>
      </c>
      <c r="L30" s="19">
        <v>1250784</v>
      </c>
      <c r="M30" s="21"/>
      <c r="N30" s="21"/>
    </row>
    <row r="31" spans="1:14" ht="13" x14ac:dyDescent="0.3">
      <c r="A31" s="18">
        <v>1992</v>
      </c>
      <c r="B31" s="16"/>
      <c r="C31" s="19">
        <v>9291</v>
      </c>
      <c r="D31" s="19">
        <v>11623</v>
      </c>
      <c r="E31" s="19">
        <v>42707</v>
      </c>
      <c r="F31" s="19">
        <v>167698</v>
      </c>
      <c r="G31" s="19">
        <v>410123</v>
      </c>
      <c r="H31" s="19">
        <v>389228</v>
      </c>
      <c r="I31" s="19">
        <v>179171</v>
      </c>
      <c r="J31" s="19">
        <v>1209841</v>
      </c>
      <c r="K31" s="19">
        <v>5131</v>
      </c>
      <c r="L31" s="19">
        <v>1214972</v>
      </c>
      <c r="M31" s="21"/>
      <c r="N31" s="21"/>
    </row>
    <row r="32" spans="1:14" ht="13" x14ac:dyDescent="0.3">
      <c r="A32" s="18">
        <v>1993</v>
      </c>
      <c r="B32" s="16"/>
      <c r="C32" s="19">
        <v>9014</v>
      </c>
      <c r="D32" s="19">
        <v>11124</v>
      </c>
      <c r="E32" s="19">
        <v>47166</v>
      </c>
      <c r="F32" s="19">
        <v>138345</v>
      </c>
      <c r="G32" s="19">
        <v>446783</v>
      </c>
      <c r="H32" s="19">
        <v>520160</v>
      </c>
      <c r="I32" s="19">
        <v>201179</v>
      </c>
      <c r="J32" s="19">
        <v>1373771</v>
      </c>
      <c r="K32" s="19">
        <v>5130</v>
      </c>
      <c r="L32" s="19">
        <v>1378901</v>
      </c>
      <c r="M32" s="21"/>
      <c r="N32" s="21"/>
    </row>
    <row r="33" spans="1:14" ht="13" x14ac:dyDescent="0.3">
      <c r="A33" s="18">
        <v>1994</v>
      </c>
      <c r="B33" s="16"/>
      <c r="C33" s="19">
        <v>8862</v>
      </c>
      <c r="D33" s="19">
        <v>10838</v>
      </c>
      <c r="E33" s="19">
        <v>50475</v>
      </c>
      <c r="F33" s="19">
        <v>143463</v>
      </c>
      <c r="G33" s="19">
        <v>513411</v>
      </c>
      <c r="H33" s="19">
        <v>417851</v>
      </c>
      <c r="I33" s="19">
        <v>247825</v>
      </c>
      <c r="J33" s="19">
        <v>1392725</v>
      </c>
      <c r="K33" s="19">
        <v>5124</v>
      </c>
      <c r="L33" s="19">
        <v>1397849</v>
      </c>
      <c r="M33" s="21"/>
      <c r="N33" s="21"/>
    </row>
    <row r="34" spans="1:14" ht="13" x14ac:dyDescent="0.3">
      <c r="A34" s="18">
        <v>1995</v>
      </c>
      <c r="B34" s="16"/>
      <c r="C34" s="19">
        <v>8809</v>
      </c>
      <c r="D34" s="19">
        <v>10748</v>
      </c>
      <c r="E34" s="19">
        <v>51373</v>
      </c>
      <c r="F34" s="19">
        <v>138317</v>
      </c>
      <c r="G34" s="19">
        <v>500326</v>
      </c>
      <c r="H34" s="19">
        <v>414390</v>
      </c>
      <c r="I34" s="19">
        <v>302679</v>
      </c>
      <c r="J34" s="19">
        <v>1426642</v>
      </c>
      <c r="K34" s="19">
        <v>5120</v>
      </c>
      <c r="L34" s="19">
        <v>1431762</v>
      </c>
      <c r="M34" s="21"/>
      <c r="N34" s="21"/>
    </row>
    <row r="35" spans="1:14" ht="13" x14ac:dyDescent="0.3">
      <c r="A35" s="22">
        <v>1996</v>
      </c>
      <c r="B35" s="23"/>
      <c r="C35" s="19">
        <v>8769</v>
      </c>
      <c r="D35" s="19">
        <v>10681</v>
      </c>
      <c r="E35" s="19">
        <v>53536</v>
      </c>
      <c r="F35" s="19">
        <v>135107</v>
      </c>
      <c r="G35" s="19">
        <v>540803</v>
      </c>
      <c r="H35" s="19">
        <v>402701</v>
      </c>
      <c r="I35" s="19">
        <v>374873</v>
      </c>
      <c r="J35" s="19">
        <v>1526470</v>
      </c>
      <c r="K35" s="19">
        <v>5118</v>
      </c>
      <c r="L35" s="19">
        <v>1531588</v>
      </c>
      <c r="M35" s="21"/>
      <c r="N35" s="21"/>
    </row>
    <row r="36" spans="1:14" ht="13" x14ac:dyDescent="0.3">
      <c r="A36" s="22">
        <v>1997</v>
      </c>
      <c r="B36" s="23"/>
      <c r="C36" s="19">
        <v>8744</v>
      </c>
      <c r="D36" s="19">
        <v>10625</v>
      </c>
      <c r="E36" s="19">
        <v>56720</v>
      </c>
      <c r="F36" s="19">
        <v>128321</v>
      </c>
      <c r="G36" s="19">
        <v>619157</v>
      </c>
      <c r="H36" s="19">
        <v>376606</v>
      </c>
      <c r="I36" s="19">
        <v>414902</v>
      </c>
      <c r="J36" s="19">
        <v>1615075</v>
      </c>
      <c r="K36" s="19">
        <v>5112</v>
      </c>
      <c r="L36" s="19">
        <v>1620187</v>
      </c>
      <c r="M36" s="21"/>
      <c r="N36" s="21"/>
    </row>
    <row r="37" spans="1:14" ht="13" x14ac:dyDescent="0.3">
      <c r="A37" s="22">
        <v>1998</v>
      </c>
      <c r="B37" s="23"/>
      <c r="C37" s="19">
        <v>8724</v>
      </c>
      <c r="D37" s="19">
        <v>10591</v>
      </c>
      <c r="E37" s="19">
        <v>57825</v>
      </c>
      <c r="F37" s="19">
        <v>122032</v>
      </c>
      <c r="G37" s="19">
        <v>612717</v>
      </c>
      <c r="H37" s="19">
        <v>365499</v>
      </c>
      <c r="I37" s="19">
        <v>454250</v>
      </c>
      <c r="J37" s="19">
        <v>1631638</v>
      </c>
      <c r="K37" s="19">
        <v>5106</v>
      </c>
      <c r="L37" s="19">
        <v>1636744</v>
      </c>
      <c r="M37" s="21"/>
      <c r="N37" s="21"/>
    </row>
    <row r="38" spans="1:14" ht="13" x14ac:dyDescent="0.3">
      <c r="A38" s="22">
        <v>1999</v>
      </c>
      <c r="B38" s="23"/>
      <c r="C38" s="19">
        <v>8696</v>
      </c>
      <c r="D38" s="19">
        <v>10547</v>
      </c>
      <c r="E38" s="19">
        <v>62083</v>
      </c>
      <c r="F38" s="19">
        <v>125910</v>
      </c>
      <c r="G38" s="19">
        <v>717265</v>
      </c>
      <c r="H38" s="19">
        <v>373723</v>
      </c>
      <c r="I38" s="19">
        <v>532451</v>
      </c>
      <c r="J38" s="19">
        <v>1830675</v>
      </c>
      <c r="K38" s="19">
        <v>5105</v>
      </c>
      <c r="L38" s="19">
        <v>1835780</v>
      </c>
      <c r="M38" s="21"/>
      <c r="N38" s="21"/>
    </row>
    <row r="39" spans="1:14" ht="13" x14ac:dyDescent="0.3">
      <c r="A39" s="22">
        <v>2000</v>
      </c>
      <c r="B39" s="23"/>
      <c r="C39" s="19">
        <v>8677</v>
      </c>
      <c r="D39" s="19">
        <v>10516</v>
      </c>
      <c r="E39" s="19">
        <v>68500</v>
      </c>
      <c r="F39" s="19">
        <v>135558</v>
      </c>
      <c r="G39" s="19">
        <v>824102</v>
      </c>
      <c r="H39" s="19">
        <v>337601</v>
      </c>
      <c r="I39" s="19">
        <v>648267</v>
      </c>
      <c r="J39" s="19">
        <v>2033221</v>
      </c>
      <c r="K39" s="19">
        <v>5102</v>
      </c>
      <c r="L39" s="19">
        <v>2038323</v>
      </c>
      <c r="M39" s="21"/>
      <c r="N39" s="21"/>
    </row>
    <row r="40" spans="1:14" ht="13" x14ac:dyDescent="0.3">
      <c r="A40" s="22">
        <v>2001</v>
      </c>
      <c r="B40" s="23"/>
      <c r="C40" s="19">
        <v>8665</v>
      </c>
      <c r="D40" s="19">
        <v>10491</v>
      </c>
      <c r="E40" s="19">
        <v>76004</v>
      </c>
      <c r="F40" s="19">
        <v>160982</v>
      </c>
      <c r="G40" s="19">
        <v>986444</v>
      </c>
      <c r="H40" s="19">
        <v>348110</v>
      </c>
      <c r="I40" s="19">
        <v>776808</v>
      </c>
      <c r="J40" s="19">
        <v>2367504</v>
      </c>
      <c r="K40" s="19">
        <v>5100</v>
      </c>
      <c r="L40" s="19">
        <v>2372604</v>
      </c>
      <c r="M40" s="21"/>
      <c r="N40" s="21"/>
    </row>
    <row r="41" spans="1:14" ht="13" x14ac:dyDescent="0.3">
      <c r="A41" s="22">
        <v>2002</v>
      </c>
      <c r="B41" s="23"/>
      <c r="C41" s="19">
        <v>8651</v>
      </c>
      <c r="D41" s="19">
        <v>10465</v>
      </c>
      <c r="E41" s="19">
        <v>79010</v>
      </c>
      <c r="F41" s="19">
        <v>168985</v>
      </c>
      <c r="G41" s="19">
        <v>1147651</v>
      </c>
      <c r="H41" s="19">
        <v>361380</v>
      </c>
      <c r="I41" s="19">
        <v>913044</v>
      </c>
      <c r="J41" s="19">
        <v>2689186</v>
      </c>
      <c r="K41" s="19">
        <v>5100</v>
      </c>
      <c r="L41" s="19">
        <v>2694286</v>
      </c>
      <c r="M41" s="21"/>
      <c r="N41" s="21"/>
    </row>
    <row r="42" spans="1:14" ht="13" x14ac:dyDescent="0.3">
      <c r="A42" s="22">
        <v>2003</v>
      </c>
      <c r="B42" s="23"/>
      <c r="C42" s="19">
        <v>8637</v>
      </c>
      <c r="D42" s="19">
        <v>10441</v>
      </c>
      <c r="E42" s="19">
        <v>83783</v>
      </c>
      <c r="F42" s="19">
        <v>162339</v>
      </c>
      <c r="G42" s="19">
        <v>1069459</v>
      </c>
      <c r="H42" s="19">
        <v>411840</v>
      </c>
      <c r="I42" s="19">
        <v>953793</v>
      </c>
      <c r="J42" s="19">
        <v>2700292</v>
      </c>
      <c r="K42" s="19">
        <v>5100</v>
      </c>
      <c r="L42" s="19">
        <v>2705392</v>
      </c>
      <c r="M42" s="21"/>
      <c r="N42" s="21"/>
    </row>
    <row r="43" spans="1:14" ht="13" x14ac:dyDescent="0.3">
      <c r="A43" s="22">
        <v>2004</v>
      </c>
      <c r="B43" s="23"/>
      <c r="C43" s="19">
        <v>8627</v>
      </c>
      <c r="D43" s="19">
        <v>10424</v>
      </c>
      <c r="E43" s="19">
        <v>86684</v>
      </c>
      <c r="F43" s="19">
        <v>165740</v>
      </c>
      <c r="G43" s="19">
        <v>1059267</v>
      </c>
      <c r="H43" s="19">
        <v>473392</v>
      </c>
      <c r="I43" s="19">
        <v>983635</v>
      </c>
      <c r="J43" s="19">
        <v>2787769</v>
      </c>
      <c r="K43" s="19">
        <v>5097</v>
      </c>
      <c r="L43" s="19">
        <v>2792866</v>
      </c>
      <c r="M43" s="21"/>
      <c r="N43" s="21"/>
    </row>
    <row r="44" spans="1:14" s="24" customFormat="1" ht="13" x14ac:dyDescent="0.3">
      <c r="A44" s="22">
        <v>2005</v>
      </c>
      <c r="B44" s="23"/>
      <c r="C44" s="19">
        <v>8617</v>
      </c>
      <c r="D44" s="19">
        <v>10408</v>
      </c>
      <c r="E44" s="19">
        <v>90515</v>
      </c>
      <c r="F44" s="19">
        <v>182830</v>
      </c>
      <c r="G44" s="19">
        <v>1212228</v>
      </c>
      <c r="H44" s="19">
        <v>519159</v>
      </c>
      <c r="I44" s="19">
        <v>1045589</v>
      </c>
      <c r="J44" s="19">
        <v>3069346</v>
      </c>
      <c r="K44" s="19">
        <v>5095</v>
      </c>
      <c r="L44" s="19">
        <v>3074441</v>
      </c>
      <c r="M44" s="21"/>
      <c r="N44" s="21"/>
    </row>
    <row r="45" spans="1:14" s="24" customFormat="1" ht="13" x14ac:dyDescent="0.3">
      <c r="A45" s="22">
        <v>2006</v>
      </c>
      <c r="B45" s="23"/>
      <c r="C45" s="19">
        <v>8607</v>
      </c>
      <c r="D45" s="19">
        <v>10391</v>
      </c>
      <c r="E45" s="19">
        <v>92370</v>
      </c>
      <c r="F45" s="19">
        <v>183216</v>
      </c>
      <c r="G45" s="19">
        <v>1171319</v>
      </c>
      <c r="H45" s="19">
        <v>533098</v>
      </c>
      <c r="I45" s="19">
        <v>1124339</v>
      </c>
      <c r="J45" s="19">
        <v>3123340</v>
      </c>
      <c r="K45" s="19">
        <v>5095</v>
      </c>
      <c r="L45" s="19">
        <v>3128435</v>
      </c>
      <c r="M45" s="21"/>
      <c r="N45" s="21"/>
    </row>
    <row r="46" spans="1:14" s="24" customFormat="1" ht="13" x14ac:dyDescent="0.3">
      <c r="A46" s="22">
        <v>2007</v>
      </c>
      <c r="B46" s="23"/>
      <c r="C46" s="19">
        <v>8594</v>
      </c>
      <c r="D46" s="19">
        <v>10371</v>
      </c>
      <c r="E46" s="19">
        <v>95457</v>
      </c>
      <c r="F46" s="19">
        <v>190779</v>
      </c>
      <c r="G46" s="19">
        <v>1188267</v>
      </c>
      <c r="H46" s="19">
        <v>611374</v>
      </c>
      <c r="I46" s="19">
        <v>1204678</v>
      </c>
      <c r="J46" s="19">
        <v>3309520</v>
      </c>
      <c r="K46" s="19">
        <v>5095</v>
      </c>
      <c r="L46" s="19">
        <v>3314615</v>
      </c>
      <c r="M46" s="21"/>
      <c r="N46" s="21"/>
    </row>
    <row r="47" spans="1:14" s="24" customFormat="1" ht="13" x14ac:dyDescent="0.3">
      <c r="A47" s="22">
        <v>2008</v>
      </c>
      <c r="B47" s="23"/>
      <c r="C47" s="19">
        <v>8587</v>
      </c>
      <c r="D47" s="19">
        <v>10360</v>
      </c>
      <c r="E47" s="19">
        <v>96425</v>
      </c>
      <c r="F47" s="19">
        <v>196191</v>
      </c>
      <c r="G47" s="19">
        <v>1256110</v>
      </c>
      <c r="H47" s="19">
        <v>678465</v>
      </c>
      <c r="I47" s="19">
        <v>1221487</v>
      </c>
      <c r="J47" s="19">
        <v>3467625</v>
      </c>
      <c r="K47" s="19">
        <v>5094</v>
      </c>
      <c r="L47" s="19">
        <v>3472719</v>
      </c>
      <c r="M47" s="21"/>
      <c r="N47" s="21"/>
    </row>
    <row r="48" spans="1:14" s="24" customFormat="1" ht="13" x14ac:dyDescent="0.3">
      <c r="A48" s="22">
        <v>2009</v>
      </c>
      <c r="B48" s="23"/>
      <c r="C48" s="19">
        <v>8578</v>
      </c>
      <c r="D48" s="19">
        <v>10343</v>
      </c>
      <c r="E48" s="19">
        <v>100464</v>
      </c>
      <c r="F48" s="19">
        <v>181860</v>
      </c>
      <c r="G48" s="19">
        <v>1206726</v>
      </c>
      <c r="H48" s="19">
        <v>798199</v>
      </c>
      <c r="I48" s="19">
        <v>1411509</v>
      </c>
      <c r="J48" s="19">
        <v>3717679</v>
      </c>
      <c r="K48" s="19">
        <v>5094</v>
      </c>
      <c r="L48" s="19">
        <v>3722773</v>
      </c>
      <c r="M48" s="21"/>
      <c r="N48" s="21"/>
    </row>
    <row r="49" spans="1:14" s="24" customFormat="1" ht="13" x14ac:dyDescent="0.3">
      <c r="A49" s="22">
        <v>2010</v>
      </c>
      <c r="B49" s="23"/>
      <c r="C49" s="19">
        <v>8572</v>
      </c>
      <c r="D49" s="19">
        <v>10332</v>
      </c>
      <c r="E49" s="19">
        <v>105182</v>
      </c>
      <c r="F49" s="19">
        <v>182527</v>
      </c>
      <c r="G49" s="19">
        <v>1265309</v>
      </c>
      <c r="H49" s="19">
        <v>952156</v>
      </c>
      <c r="I49" s="19">
        <v>1406332</v>
      </c>
      <c r="J49" s="19">
        <v>3930410</v>
      </c>
      <c r="K49" s="19">
        <v>5094</v>
      </c>
      <c r="L49" s="19">
        <v>3935504</v>
      </c>
      <c r="M49" s="21"/>
      <c r="N49" s="21"/>
    </row>
    <row r="50" spans="1:14" ht="13" x14ac:dyDescent="0.3">
      <c r="A50" s="22">
        <v>2011</v>
      </c>
      <c r="B50" s="23"/>
      <c r="C50" s="19">
        <v>8566</v>
      </c>
      <c r="D50" s="19">
        <v>10320</v>
      </c>
      <c r="E50" s="19">
        <v>109267</v>
      </c>
      <c r="F50" s="19">
        <v>191969</v>
      </c>
      <c r="G50" s="19">
        <v>1231543</v>
      </c>
      <c r="H50" s="19">
        <v>998571</v>
      </c>
      <c r="I50" s="19">
        <v>1451313</v>
      </c>
      <c r="J50" s="19">
        <v>4001549</v>
      </c>
      <c r="K50" s="19">
        <v>5094</v>
      </c>
      <c r="L50" s="19">
        <v>4006643</v>
      </c>
      <c r="M50" s="21"/>
      <c r="N50" s="21"/>
    </row>
    <row r="51" spans="1:14" ht="13" x14ac:dyDescent="0.3">
      <c r="A51" s="22">
        <v>2012</v>
      </c>
      <c r="B51" s="23"/>
      <c r="C51" s="19">
        <v>8558</v>
      </c>
      <c r="D51" s="19">
        <v>10310</v>
      </c>
      <c r="E51" s="19">
        <v>112341</v>
      </c>
      <c r="F51" s="19">
        <v>186076</v>
      </c>
      <c r="G51" s="19">
        <v>1219346</v>
      </c>
      <c r="H51" s="19">
        <v>1047381</v>
      </c>
      <c r="I51" s="19">
        <v>1504419</v>
      </c>
      <c r="J51" s="19">
        <v>4088431</v>
      </c>
      <c r="K51" s="19">
        <v>5093</v>
      </c>
      <c r="L51" s="19">
        <v>4093524</v>
      </c>
      <c r="M51" s="21"/>
      <c r="N51" s="21"/>
    </row>
    <row r="52" spans="1:14" s="24" customFormat="1" ht="13" x14ac:dyDescent="0.3">
      <c r="A52" s="22">
        <v>2013</v>
      </c>
      <c r="B52" s="23"/>
      <c r="C52" s="19">
        <v>8551</v>
      </c>
      <c r="D52" s="19">
        <v>10299</v>
      </c>
      <c r="E52" s="19">
        <v>119011</v>
      </c>
      <c r="F52" s="19">
        <v>194413</v>
      </c>
      <c r="G52" s="19">
        <v>1308526</v>
      </c>
      <c r="H52" s="19">
        <v>1178671</v>
      </c>
      <c r="I52" s="19">
        <v>1605338</v>
      </c>
      <c r="J52" s="19">
        <v>4424809</v>
      </c>
      <c r="K52" s="19">
        <v>5093</v>
      </c>
      <c r="L52" s="19">
        <v>4429902</v>
      </c>
      <c r="M52" s="25"/>
      <c r="N52" s="21"/>
    </row>
    <row r="53" spans="1:14" ht="13" x14ac:dyDescent="0.3">
      <c r="A53" s="22">
        <v>2014</v>
      </c>
      <c r="B53" s="26"/>
      <c r="C53" s="19">
        <v>8545</v>
      </c>
      <c r="D53" s="19">
        <v>10291</v>
      </c>
      <c r="E53" s="19">
        <v>122426</v>
      </c>
      <c r="F53" s="19">
        <v>195303</v>
      </c>
      <c r="G53" s="19">
        <v>1185474</v>
      </c>
      <c r="H53" s="19">
        <v>1379722</v>
      </c>
      <c r="I53" s="19">
        <v>1700767</v>
      </c>
      <c r="J53" s="19">
        <v>4602528</v>
      </c>
      <c r="K53" s="19">
        <v>5093</v>
      </c>
      <c r="L53" s="19">
        <v>4607621</v>
      </c>
      <c r="M53" s="21"/>
      <c r="N53" s="21"/>
    </row>
    <row r="54" spans="1:14" ht="13" x14ac:dyDescent="0.3">
      <c r="A54" s="22">
        <v>2015</v>
      </c>
      <c r="B54" s="26"/>
      <c r="C54" s="19">
        <v>8540</v>
      </c>
      <c r="D54" s="19">
        <v>10283</v>
      </c>
      <c r="E54" s="19">
        <v>128397</v>
      </c>
      <c r="F54" s="19">
        <v>186864</v>
      </c>
      <c r="G54" s="19">
        <v>1120701</v>
      </c>
      <c r="H54" s="19">
        <v>1658341</v>
      </c>
      <c r="I54" s="19">
        <v>1844828</v>
      </c>
      <c r="J54" s="19">
        <v>4957954</v>
      </c>
      <c r="K54" s="19">
        <v>5090</v>
      </c>
      <c r="L54" s="19">
        <v>4963044</v>
      </c>
      <c r="M54" s="21"/>
      <c r="N54" s="21"/>
    </row>
    <row r="55" spans="1:14" x14ac:dyDescent="0.25">
      <c r="A55" s="22">
        <v>2016</v>
      </c>
      <c r="C55" s="19">
        <v>8536.0684999999994</v>
      </c>
      <c r="D55" s="19">
        <v>10276.753000000001</v>
      </c>
      <c r="E55" s="19">
        <v>138506.5575</v>
      </c>
      <c r="F55" s="19">
        <v>199225.27499999999</v>
      </c>
      <c r="G55" s="19">
        <v>1156212.6599999999</v>
      </c>
      <c r="H55" s="19">
        <v>1970370.675</v>
      </c>
      <c r="I55" s="19">
        <v>2008216.85</v>
      </c>
      <c r="J55" s="19">
        <v>5491344.8389999997</v>
      </c>
      <c r="K55" s="19">
        <v>5089.5955000000004</v>
      </c>
      <c r="L55" s="19">
        <v>5496434.4344999995</v>
      </c>
      <c r="N55" s="21"/>
    </row>
    <row r="56" spans="1:14" x14ac:dyDescent="0.25">
      <c r="A56" s="22">
        <v>2017</v>
      </c>
      <c r="C56" s="19">
        <v>8531.7890000000007</v>
      </c>
      <c r="D56" s="19">
        <v>10271.628000000001</v>
      </c>
      <c r="E56" s="19">
        <v>143841.95749999999</v>
      </c>
      <c r="F56" s="19">
        <v>207932.3</v>
      </c>
      <c r="G56" s="19">
        <v>1100983.54</v>
      </c>
      <c r="H56" s="19">
        <v>2051078.625</v>
      </c>
      <c r="I56" s="19">
        <v>1998643.95</v>
      </c>
      <c r="J56" s="19">
        <v>5521283.7895</v>
      </c>
      <c r="K56" s="19">
        <v>5089.4745000000003</v>
      </c>
      <c r="L56" s="19">
        <v>5526373.2639999995</v>
      </c>
    </row>
    <row r="57" spans="1:14" x14ac:dyDescent="0.25">
      <c r="A57" s="22">
        <v>2018</v>
      </c>
      <c r="C57" s="19">
        <v>8528.7440000000006</v>
      </c>
      <c r="D57" s="19">
        <v>10266.378000000001</v>
      </c>
      <c r="E57" s="19">
        <v>151096.60999999999</v>
      </c>
      <c r="F57" s="19">
        <v>219950.11</v>
      </c>
      <c r="G57" s="19">
        <v>1200019.6399999999</v>
      </c>
      <c r="H57" s="19">
        <v>2389162.0249999999</v>
      </c>
      <c r="I57" s="19">
        <v>2131379.2000000002</v>
      </c>
      <c r="J57" s="19">
        <v>6110402.7070000004</v>
      </c>
      <c r="K57" s="19">
        <v>5089.4745000000003</v>
      </c>
      <c r="L57" s="19">
        <v>6115491.8384999996</v>
      </c>
    </row>
    <row r="58" spans="1:14" s="43" customFormat="1" x14ac:dyDescent="0.25">
      <c r="A58" s="22">
        <v>2019</v>
      </c>
      <c r="B58"/>
      <c r="C58" s="19">
        <v>8524</v>
      </c>
      <c r="D58" s="19">
        <v>10260</v>
      </c>
      <c r="E58" s="19">
        <v>152486</v>
      </c>
      <c r="F58" s="19">
        <v>226894</v>
      </c>
      <c r="G58" s="19">
        <v>1128667</v>
      </c>
      <c r="H58" s="19">
        <v>2537024</v>
      </c>
      <c r="I58" s="19">
        <v>2221534</v>
      </c>
      <c r="J58" s="19">
        <v>6285389</v>
      </c>
      <c r="K58" s="19">
        <v>5089</v>
      </c>
      <c r="L58" s="19">
        <v>6290478</v>
      </c>
    </row>
    <row r="59" spans="1:14" s="27" customFormat="1" ht="13" x14ac:dyDescent="0.3">
      <c r="A59" s="22">
        <v>2020</v>
      </c>
      <c r="B59"/>
      <c r="C59" s="19">
        <v>8519</v>
      </c>
      <c r="D59" s="19">
        <v>10250</v>
      </c>
      <c r="E59" s="19">
        <v>159215</v>
      </c>
      <c r="F59" s="19">
        <v>238870</v>
      </c>
      <c r="G59" s="19">
        <v>1257579</v>
      </c>
      <c r="H59" s="19">
        <v>3090348</v>
      </c>
      <c r="I59" s="19">
        <v>2553066</v>
      </c>
      <c r="J59" s="19">
        <v>7317847</v>
      </c>
      <c r="K59" s="19">
        <v>5088.7</v>
      </c>
      <c r="L59" s="19">
        <v>7322935.7000000002</v>
      </c>
    </row>
    <row r="60" spans="1:14" s="27" customFormat="1" ht="13" x14ac:dyDescent="0.3">
      <c r="A60" s="22">
        <v>2021</v>
      </c>
      <c r="B60"/>
      <c r="C60" s="19">
        <v>8515</v>
      </c>
      <c r="D60" s="19">
        <v>10245</v>
      </c>
      <c r="E60" s="19">
        <v>158510</v>
      </c>
      <c r="F60" s="19">
        <v>235939</v>
      </c>
      <c r="G60" s="19">
        <v>1280197</v>
      </c>
      <c r="H60" s="19">
        <v>3695238</v>
      </c>
      <c r="I60" s="19">
        <v>2528291</v>
      </c>
      <c r="J60" s="19">
        <f>SUM(C60:I60)</f>
        <v>7916935</v>
      </c>
      <c r="K60" s="19">
        <v>5088.7</v>
      </c>
      <c r="L60" s="19">
        <f>J60+K60</f>
        <v>7922023.7000000002</v>
      </c>
    </row>
    <row r="61" spans="1:14" s="27" customFormat="1" ht="13" x14ac:dyDescent="0.3">
      <c r="A61" s="22">
        <v>2022</v>
      </c>
      <c r="B61"/>
      <c r="C61" s="19">
        <v>8513</v>
      </c>
      <c r="D61" s="19">
        <v>10243</v>
      </c>
      <c r="E61" s="19">
        <v>156665</v>
      </c>
      <c r="F61" s="19">
        <v>240110</v>
      </c>
      <c r="G61" s="19">
        <v>1318481</v>
      </c>
      <c r="H61" s="19">
        <v>4280000</v>
      </c>
      <c r="I61" s="19">
        <v>2562974</v>
      </c>
      <c r="J61" s="19">
        <f>SUM(C61:I61)</f>
        <v>8576986</v>
      </c>
      <c r="K61" s="19">
        <v>5088.7</v>
      </c>
      <c r="L61" s="19">
        <f>J61+K61</f>
        <v>8582074.6999999993</v>
      </c>
    </row>
    <row r="62" spans="1:14" s="27" customFormat="1" ht="13" x14ac:dyDescent="0.3">
      <c r="A62" s="22">
        <v>2023</v>
      </c>
      <c r="B62"/>
      <c r="C62" s="19">
        <v>8510</v>
      </c>
      <c r="D62" s="19">
        <v>10237</v>
      </c>
      <c r="E62" s="19">
        <v>157634</v>
      </c>
      <c r="F62" s="19">
        <v>235468</v>
      </c>
      <c r="G62" s="19">
        <v>1191975</v>
      </c>
      <c r="H62" s="19">
        <v>4389671</v>
      </c>
      <c r="I62" s="19">
        <v>2559947</v>
      </c>
      <c r="J62" s="19">
        <f>SUM(C62:I62)</f>
        <v>8553442</v>
      </c>
      <c r="K62" s="19">
        <v>5088</v>
      </c>
      <c r="L62" s="19">
        <f>J62+K62</f>
        <v>8558530</v>
      </c>
    </row>
    <row r="63" spans="1:14" s="27" customFormat="1" ht="13" x14ac:dyDescent="0.3">
      <c r="A63" s="22">
        <v>2024</v>
      </c>
      <c r="B63"/>
      <c r="C63" s="19">
        <v>8507</v>
      </c>
      <c r="D63" s="19">
        <v>10232</v>
      </c>
      <c r="E63" s="44">
        <v>160993</v>
      </c>
      <c r="F63" s="44">
        <v>240048</v>
      </c>
      <c r="G63" s="44">
        <v>1135925</v>
      </c>
      <c r="H63" s="44">
        <v>4514220</v>
      </c>
      <c r="I63" s="44">
        <v>2531059</v>
      </c>
      <c r="J63" s="19">
        <f>SUM(C63:I63)</f>
        <v>8600984</v>
      </c>
      <c r="K63" s="19">
        <v>5087</v>
      </c>
      <c r="L63" s="19">
        <f>J63+K63</f>
        <v>8606071</v>
      </c>
    </row>
    <row r="64" spans="1:14" s="27" customFormat="1" ht="13" x14ac:dyDescent="0.3">
      <c r="A64" s="22">
        <v>2025</v>
      </c>
      <c r="B64"/>
      <c r="C64" s="19">
        <v>8503</v>
      </c>
      <c r="D64" s="19">
        <v>10227</v>
      </c>
      <c r="E64" s="19">
        <v>163572</v>
      </c>
      <c r="F64" s="19">
        <v>245578</v>
      </c>
      <c r="G64" s="19">
        <v>1034926</v>
      </c>
      <c r="H64" s="19">
        <v>4582885</v>
      </c>
      <c r="I64" s="19">
        <v>2547974</v>
      </c>
      <c r="J64" s="19">
        <f>SUM(C64:I64)</f>
        <v>8593665</v>
      </c>
      <c r="K64" s="19">
        <v>5085</v>
      </c>
      <c r="L64" s="19">
        <f>J64+K64</f>
        <v>8598750</v>
      </c>
    </row>
    <row r="65" spans="1:12" s="27" customFormat="1" ht="13" x14ac:dyDescent="0.3">
      <c r="A65" s="22"/>
      <c r="B65"/>
      <c r="C65" s="19"/>
      <c r="D65" s="19"/>
      <c r="E65" s="19"/>
      <c r="F65" s="19"/>
      <c r="G65" s="19"/>
      <c r="H65" s="19"/>
      <c r="I65" s="19"/>
      <c r="J65" s="19"/>
      <c r="K65" s="19"/>
      <c r="L65" s="19"/>
    </row>
    <row r="66" spans="1:12" s="27" customFormat="1" ht="13" x14ac:dyDescent="0.3">
      <c r="A66" s="28" t="s">
        <v>16</v>
      </c>
    </row>
    <row r="67" spans="1:12" ht="13" x14ac:dyDescent="0.3">
      <c r="A67" s="29" t="s">
        <v>9</v>
      </c>
    </row>
  </sheetData>
  <printOptions horizontalCentered="1" verticalCentered="1"/>
  <pageMargins left="0.39370078740157483" right="0.39370078740157483" top="0.74803149606299213" bottom="0.6692913385826772" header="0.51181102362204722" footer="0.51181102362204722"/>
  <pageSetup paperSize="9" scale="65" orientation="portrait" r:id="rId1"/>
  <headerFooter alignWithMargins="0">
    <oddHeader>&amp;C&amp;"Calibri"&amp;10&amp;K000000 IN CONFIDENCE&amp;1#_x000D_</oddHeader>
    <oddFooter>&amp;LF3 tables - 2018
Ref #7503227 1.0&amp;C_x000D_&amp;1#&amp;"Calibri"&amp;10&amp;K000000 IN CONFIDENCE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76"/>
  <sheetViews>
    <sheetView zoomScaleNormal="100" workbookViewId="0">
      <pane xSplit="2" ySplit="5" topLeftCell="C63" activePane="bottomRight" state="frozen"/>
      <selection activeCell="I62" sqref="I62"/>
      <selection pane="topRight" activeCell="I62" sqref="I62"/>
      <selection pane="bottomLeft" activeCell="I62" sqref="I62"/>
      <selection pane="bottomRight" activeCell="G78" sqref="G78"/>
    </sheetView>
  </sheetViews>
  <sheetFormatPr defaultRowHeight="12.5" x14ac:dyDescent="0.25"/>
  <cols>
    <col min="2" max="2" width="3.54296875" customWidth="1"/>
    <col min="3" max="5" width="12.7265625" style="31" customWidth="1"/>
    <col min="6" max="8" width="12.7265625" customWidth="1"/>
    <col min="9" max="9" width="11.26953125" customWidth="1"/>
  </cols>
  <sheetData>
    <row r="1" spans="1:9" ht="15" x14ac:dyDescent="0.25">
      <c r="A1" s="1" t="s">
        <v>0</v>
      </c>
      <c r="B1" s="2"/>
      <c r="C1" s="30"/>
      <c r="E1" s="3"/>
      <c r="F1" s="3"/>
      <c r="G1" s="3"/>
      <c r="H1" s="2"/>
    </row>
    <row r="2" spans="1:9" ht="13" x14ac:dyDescent="0.3">
      <c r="A2" s="5" t="s">
        <v>1</v>
      </c>
      <c r="B2" s="6"/>
      <c r="C2" s="32"/>
      <c r="D2" s="32"/>
      <c r="E2" s="32"/>
      <c r="F2" s="6"/>
      <c r="G2" s="6"/>
      <c r="H2" s="6"/>
    </row>
    <row r="3" spans="1:9" ht="13" x14ac:dyDescent="0.3">
      <c r="A3" s="9" t="s">
        <v>2</v>
      </c>
      <c r="B3" s="10"/>
      <c r="D3" s="33"/>
      <c r="E3" s="33"/>
      <c r="F3" s="10"/>
      <c r="G3" s="10"/>
      <c r="H3" s="10"/>
    </row>
    <row r="4" spans="1:9" ht="12.75" customHeight="1" x14ac:dyDescent="0.3">
      <c r="A4" s="9" t="s">
        <v>3</v>
      </c>
      <c r="B4" s="16"/>
      <c r="C4" s="17"/>
      <c r="D4" s="17"/>
      <c r="E4" s="17"/>
      <c r="F4" s="16"/>
      <c r="G4" s="16"/>
      <c r="H4" s="34" t="s">
        <v>10</v>
      </c>
    </row>
    <row r="5" spans="1:9" ht="13" x14ac:dyDescent="0.3">
      <c r="A5" s="11" t="s">
        <v>4</v>
      </c>
      <c r="B5" s="35"/>
      <c r="C5" s="36" t="s">
        <v>11</v>
      </c>
      <c r="D5" s="36" t="s">
        <v>12</v>
      </c>
      <c r="E5" s="36" t="s">
        <v>13</v>
      </c>
      <c r="F5" s="36" t="s">
        <v>14</v>
      </c>
      <c r="G5" s="36" t="s">
        <v>15</v>
      </c>
      <c r="H5" s="37"/>
    </row>
    <row r="6" spans="1:9" ht="13" x14ac:dyDescent="0.3">
      <c r="A6" s="16"/>
      <c r="B6" s="16"/>
      <c r="C6" s="38"/>
      <c r="D6" s="38"/>
      <c r="E6" s="38"/>
      <c r="F6" s="38"/>
      <c r="G6" s="39"/>
      <c r="H6" s="38"/>
    </row>
    <row r="7" spans="1:9" x14ac:dyDescent="0.25">
      <c r="A7" s="18">
        <v>1935</v>
      </c>
      <c r="B7" s="15"/>
      <c r="C7" s="19">
        <v>796</v>
      </c>
      <c r="D7" s="40">
        <v>5318</v>
      </c>
      <c r="E7" s="19">
        <v>4536</v>
      </c>
      <c r="F7" s="20" t="s">
        <v>8</v>
      </c>
      <c r="G7" s="19">
        <v>128</v>
      </c>
      <c r="H7" s="19">
        <v>10778</v>
      </c>
      <c r="I7" s="21"/>
    </row>
    <row r="8" spans="1:9" x14ac:dyDescent="0.25">
      <c r="A8" s="18">
        <v>1940</v>
      </c>
      <c r="B8" s="15"/>
      <c r="C8" s="19">
        <v>1466</v>
      </c>
      <c r="D8" s="40">
        <v>11146</v>
      </c>
      <c r="E8" s="19">
        <v>14036</v>
      </c>
      <c r="F8" s="19">
        <v>268</v>
      </c>
      <c r="G8" s="19">
        <v>1930</v>
      </c>
      <c r="H8" s="19">
        <v>28846</v>
      </c>
      <c r="I8" s="21"/>
    </row>
    <row r="9" spans="1:9" x14ac:dyDescent="0.25">
      <c r="A9" s="18">
        <v>1945</v>
      </c>
      <c r="B9" s="15"/>
      <c r="C9" s="19">
        <v>1980</v>
      </c>
      <c r="D9" s="40">
        <v>16712</v>
      </c>
      <c r="E9" s="19">
        <v>37198</v>
      </c>
      <c r="F9" s="19">
        <v>6732</v>
      </c>
      <c r="G9" s="19">
        <v>5008</v>
      </c>
      <c r="H9" s="19">
        <v>67630</v>
      </c>
      <c r="I9" s="21"/>
    </row>
    <row r="10" spans="1:9" x14ac:dyDescent="0.25">
      <c r="A10" s="18">
        <v>1950</v>
      </c>
      <c r="B10" s="15"/>
      <c r="C10" s="19">
        <v>2482</v>
      </c>
      <c r="D10" s="40">
        <v>18754</v>
      </c>
      <c r="E10" s="19">
        <v>50816</v>
      </c>
      <c r="F10" s="19">
        <v>11212</v>
      </c>
      <c r="G10" s="19">
        <v>4626</v>
      </c>
      <c r="H10" s="19">
        <v>87890</v>
      </c>
      <c r="I10" s="21"/>
    </row>
    <row r="11" spans="1:9" x14ac:dyDescent="0.25">
      <c r="A11" s="18">
        <v>1955</v>
      </c>
      <c r="B11" s="15"/>
      <c r="C11" s="19">
        <v>3136</v>
      </c>
      <c r="D11" s="40">
        <v>20036</v>
      </c>
      <c r="E11" s="19">
        <v>69928</v>
      </c>
      <c r="F11" s="19">
        <v>21040</v>
      </c>
      <c r="G11" s="19">
        <v>6644</v>
      </c>
      <c r="H11" s="19">
        <v>120784</v>
      </c>
      <c r="I11" s="21"/>
    </row>
    <row r="12" spans="1:9" x14ac:dyDescent="0.25">
      <c r="A12" s="18">
        <v>1960</v>
      </c>
      <c r="B12" s="15"/>
      <c r="C12" s="19">
        <v>3578</v>
      </c>
      <c r="D12" s="40">
        <v>20542</v>
      </c>
      <c r="E12" s="19">
        <v>76242</v>
      </c>
      <c r="F12" s="19">
        <v>24592</v>
      </c>
      <c r="G12" s="19">
        <v>5984</v>
      </c>
      <c r="H12" s="19">
        <v>130938</v>
      </c>
      <c r="I12" s="21"/>
    </row>
    <row r="13" spans="1:9" x14ac:dyDescent="0.25">
      <c r="A13" s="18">
        <v>1965</v>
      </c>
      <c r="B13" s="15"/>
      <c r="C13" s="19">
        <v>4182</v>
      </c>
      <c r="D13" s="40">
        <v>21832</v>
      </c>
      <c r="E13" s="19">
        <v>74968</v>
      </c>
      <c r="F13" s="19">
        <v>21812</v>
      </c>
      <c r="G13" s="19">
        <v>4038</v>
      </c>
      <c r="H13" s="19">
        <v>126832</v>
      </c>
      <c r="I13" s="21"/>
    </row>
    <row r="14" spans="1:9" x14ac:dyDescent="0.25">
      <c r="A14" s="18">
        <v>1966</v>
      </c>
      <c r="B14" s="15"/>
      <c r="C14" s="19">
        <v>4442</v>
      </c>
      <c r="D14" s="40">
        <v>22428</v>
      </c>
      <c r="E14" s="19">
        <v>74454</v>
      </c>
      <c r="F14" s="19">
        <v>19898</v>
      </c>
      <c r="G14" s="19">
        <v>3210</v>
      </c>
      <c r="H14" s="19">
        <v>124432</v>
      </c>
      <c r="I14" s="21"/>
    </row>
    <row r="15" spans="1:9" x14ac:dyDescent="0.25">
      <c r="A15" s="18">
        <v>1967</v>
      </c>
      <c r="B15" s="15"/>
      <c r="C15" s="19">
        <v>4184</v>
      </c>
      <c r="D15" s="40">
        <v>22514</v>
      </c>
      <c r="E15" s="19">
        <v>75814</v>
      </c>
      <c r="F15" s="19">
        <v>18848</v>
      </c>
      <c r="G15" s="19">
        <v>2326</v>
      </c>
      <c r="H15" s="19">
        <v>123686</v>
      </c>
      <c r="I15" s="21"/>
    </row>
    <row r="16" spans="1:9" x14ac:dyDescent="0.25">
      <c r="A16" s="18">
        <v>1968</v>
      </c>
      <c r="B16" s="15"/>
      <c r="C16" s="19">
        <v>1138</v>
      </c>
      <c r="D16" s="40">
        <v>2523</v>
      </c>
      <c r="E16" s="19">
        <v>6120</v>
      </c>
      <c r="F16" s="19">
        <v>2059</v>
      </c>
      <c r="G16" s="19">
        <v>723</v>
      </c>
      <c r="H16" s="19">
        <v>12563</v>
      </c>
      <c r="I16" s="21"/>
    </row>
    <row r="17" spans="1:9" x14ac:dyDescent="0.25">
      <c r="A17" s="18">
        <v>1969</v>
      </c>
      <c r="B17" s="15"/>
      <c r="C17" s="19">
        <v>1032</v>
      </c>
      <c r="D17" s="40">
        <v>2111</v>
      </c>
      <c r="E17" s="19">
        <v>3892</v>
      </c>
      <c r="F17" s="19">
        <v>1172</v>
      </c>
      <c r="G17" s="19">
        <v>522</v>
      </c>
      <c r="H17" s="19">
        <v>8729</v>
      </c>
      <c r="I17" s="21"/>
    </row>
    <row r="18" spans="1:9" x14ac:dyDescent="0.25">
      <c r="A18" s="18">
        <v>1970</v>
      </c>
      <c r="B18" s="15"/>
      <c r="C18" s="19">
        <v>1001</v>
      </c>
      <c r="D18" s="40">
        <v>1968</v>
      </c>
      <c r="E18" s="19">
        <v>3312</v>
      </c>
      <c r="F18" s="19">
        <v>954</v>
      </c>
      <c r="G18" s="19">
        <v>403</v>
      </c>
      <c r="H18" s="19">
        <v>7638</v>
      </c>
      <c r="I18" s="21"/>
    </row>
    <row r="19" spans="1:9" x14ac:dyDescent="0.25">
      <c r="A19" s="18">
        <v>1971</v>
      </c>
      <c r="B19" s="15"/>
      <c r="C19" s="19">
        <v>986</v>
      </c>
      <c r="D19" s="40">
        <v>1869</v>
      </c>
      <c r="E19" s="19">
        <v>2867</v>
      </c>
      <c r="F19" s="19">
        <v>794</v>
      </c>
      <c r="G19" s="19">
        <v>353</v>
      </c>
      <c r="H19" s="19">
        <v>6869</v>
      </c>
      <c r="I19" s="21"/>
    </row>
    <row r="20" spans="1:9" x14ac:dyDescent="0.25">
      <c r="A20" s="18">
        <v>1972</v>
      </c>
      <c r="B20" s="15"/>
      <c r="C20" s="19">
        <v>978</v>
      </c>
      <c r="D20" s="40">
        <v>1823</v>
      </c>
      <c r="E20" s="19">
        <v>2677</v>
      </c>
      <c r="F20" s="19">
        <v>730</v>
      </c>
      <c r="G20" s="19">
        <v>321</v>
      </c>
      <c r="H20" s="19">
        <v>6529</v>
      </c>
      <c r="I20" s="21"/>
    </row>
    <row r="21" spans="1:9" x14ac:dyDescent="0.25">
      <c r="A21" s="18">
        <v>1973</v>
      </c>
      <c r="B21" s="15"/>
      <c r="C21" s="19">
        <v>971</v>
      </c>
      <c r="D21" s="40">
        <v>1796</v>
      </c>
      <c r="E21" s="19">
        <v>2563</v>
      </c>
      <c r="F21" s="19">
        <v>692</v>
      </c>
      <c r="G21" s="19">
        <v>311</v>
      </c>
      <c r="H21" s="19">
        <v>6333</v>
      </c>
      <c r="I21" s="21"/>
    </row>
    <row r="22" spans="1:9" x14ac:dyDescent="0.25">
      <c r="A22" s="18">
        <v>1974</v>
      </c>
      <c r="B22" s="15"/>
      <c r="C22" s="19">
        <v>967</v>
      </c>
      <c r="D22" s="40">
        <v>1777</v>
      </c>
      <c r="E22" s="19">
        <v>2388</v>
      </c>
      <c r="F22" s="19">
        <v>590</v>
      </c>
      <c r="G22" s="19">
        <v>301</v>
      </c>
      <c r="H22" s="19">
        <v>6023</v>
      </c>
      <c r="I22" s="21"/>
    </row>
    <row r="23" spans="1:9" x14ac:dyDescent="0.25">
      <c r="A23" s="18">
        <v>1975</v>
      </c>
      <c r="B23" s="15"/>
      <c r="C23" s="19">
        <v>965</v>
      </c>
      <c r="D23" s="40">
        <v>1762</v>
      </c>
      <c r="E23" s="19">
        <v>2320</v>
      </c>
      <c r="F23" s="19">
        <v>571</v>
      </c>
      <c r="G23" s="19">
        <v>295</v>
      </c>
      <c r="H23" s="19">
        <v>5913</v>
      </c>
      <c r="I23" s="21"/>
    </row>
    <row r="24" spans="1:9" x14ac:dyDescent="0.25">
      <c r="A24" s="18">
        <v>1976</v>
      </c>
      <c r="B24" s="15"/>
      <c r="C24" s="19">
        <v>964</v>
      </c>
      <c r="D24" s="40">
        <v>1753</v>
      </c>
      <c r="E24" s="19">
        <v>2280</v>
      </c>
      <c r="F24" s="19">
        <v>561</v>
      </c>
      <c r="G24" s="19">
        <v>293</v>
      </c>
      <c r="H24" s="19">
        <v>5851</v>
      </c>
      <c r="I24" s="21"/>
    </row>
    <row r="25" spans="1:9" x14ac:dyDescent="0.25">
      <c r="A25" s="18">
        <v>1977</v>
      </c>
      <c r="B25" s="15"/>
      <c r="C25" s="19">
        <v>963</v>
      </c>
      <c r="D25" s="40">
        <v>1750</v>
      </c>
      <c r="E25" s="19">
        <v>2249</v>
      </c>
      <c r="F25" s="19">
        <v>550</v>
      </c>
      <c r="G25" s="19">
        <v>292</v>
      </c>
      <c r="H25" s="19">
        <v>5804</v>
      </c>
      <c r="I25" s="21"/>
    </row>
    <row r="26" spans="1:9" x14ac:dyDescent="0.25">
      <c r="A26" s="18">
        <v>1978</v>
      </c>
      <c r="B26" s="15"/>
      <c r="C26" s="19">
        <v>963</v>
      </c>
      <c r="D26" s="40">
        <v>1745</v>
      </c>
      <c r="E26" s="19">
        <v>2226</v>
      </c>
      <c r="F26" s="19">
        <v>538</v>
      </c>
      <c r="G26" s="19">
        <v>291</v>
      </c>
      <c r="H26" s="19">
        <v>5763</v>
      </c>
      <c r="I26" s="21"/>
    </row>
    <row r="27" spans="1:9" x14ac:dyDescent="0.25">
      <c r="A27" s="18">
        <v>1979</v>
      </c>
      <c r="B27" s="15"/>
      <c r="C27" s="19">
        <v>961</v>
      </c>
      <c r="D27" s="40">
        <v>1733</v>
      </c>
      <c r="E27" s="19">
        <v>2205</v>
      </c>
      <c r="F27" s="19">
        <v>529</v>
      </c>
      <c r="G27" s="19">
        <v>275</v>
      </c>
      <c r="H27" s="19">
        <v>5703</v>
      </c>
      <c r="I27" s="21"/>
    </row>
    <row r="28" spans="1:9" x14ac:dyDescent="0.25">
      <c r="A28" s="18">
        <v>1980</v>
      </c>
      <c r="B28" s="15"/>
      <c r="C28" s="19">
        <v>938</v>
      </c>
      <c r="D28" s="40">
        <v>1611</v>
      </c>
      <c r="E28" s="19">
        <v>2059</v>
      </c>
      <c r="F28" s="19">
        <v>512</v>
      </c>
      <c r="G28" s="19">
        <v>233</v>
      </c>
      <c r="H28" s="19">
        <v>5353</v>
      </c>
      <c r="I28" s="21"/>
    </row>
    <row r="29" spans="1:9" x14ac:dyDescent="0.25">
      <c r="A29" s="18">
        <v>1981</v>
      </c>
      <c r="B29" s="15"/>
      <c r="C29" s="19">
        <v>938</v>
      </c>
      <c r="D29" s="40">
        <v>1609</v>
      </c>
      <c r="E29" s="19">
        <v>2046</v>
      </c>
      <c r="F29" s="19">
        <v>508</v>
      </c>
      <c r="G29" s="19">
        <v>161</v>
      </c>
      <c r="H29" s="19">
        <v>5262</v>
      </c>
      <c r="I29" s="21"/>
    </row>
    <row r="30" spans="1:9" x14ac:dyDescent="0.25">
      <c r="A30" s="18">
        <v>1982</v>
      </c>
      <c r="B30" s="15"/>
      <c r="C30" s="19">
        <v>937</v>
      </c>
      <c r="D30" s="40">
        <v>1604</v>
      </c>
      <c r="E30" s="19">
        <v>2019</v>
      </c>
      <c r="F30" s="19">
        <v>503</v>
      </c>
      <c r="G30" s="19">
        <v>160</v>
      </c>
      <c r="H30" s="19">
        <v>5223</v>
      </c>
      <c r="I30" s="21"/>
    </row>
    <row r="31" spans="1:9" x14ac:dyDescent="0.25">
      <c r="A31" s="18">
        <v>1983</v>
      </c>
      <c r="B31" s="15"/>
      <c r="C31" s="19">
        <v>937</v>
      </c>
      <c r="D31" s="40">
        <v>1600</v>
      </c>
      <c r="E31" s="19">
        <v>2006</v>
      </c>
      <c r="F31" s="19">
        <v>498</v>
      </c>
      <c r="G31" s="19">
        <v>160</v>
      </c>
      <c r="H31" s="19">
        <v>5201</v>
      </c>
      <c r="I31" s="21"/>
    </row>
    <row r="32" spans="1:9" x14ac:dyDescent="0.25">
      <c r="A32" s="18">
        <v>1984</v>
      </c>
      <c r="B32" s="15"/>
      <c r="C32" s="19">
        <v>937</v>
      </c>
      <c r="D32" s="40">
        <v>1600</v>
      </c>
      <c r="E32" s="19">
        <v>2002</v>
      </c>
      <c r="F32" s="19">
        <v>497</v>
      </c>
      <c r="G32" s="19">
        <v>160</v>
      </c>
      <c r="H32" s="19">
        <v>5196</v>
      </c>
      <c r="I32" s="21"/>
    </row>
    <row r="33" spans="1:9" x14ac:dyDescent="0.25">
      <c r="A33" s="18">
        <v>1985</v>
      </c>
      <c r="B33" s="15"/>
      <c r="C33" s="19">
        <v>937</v>
      </c>
      <c r="D33" s="40">
        <v>1599</v>
      </c>
      <c r="E33" s="19">
        <v>1997</v>
      </c>
      <c r="F33" s="19">
        <v>497</v>
      </c>
      <c r="G33" s="19">
        <v>160</v>
      </c>
      <c r="H33" s="19">
        <v>5190</v>
      </c>
      <c r="I33" s="21"/>
    </row>
    <row r="34" spans="1:9" x14ac:dyDescent="0.25">
      <c r="A34" s="18">
        <v>1986</v>
      </c>
      <c r="B34" s="15"/>
      <c r="C34" s="19">
        <v>937</v>
      </c>
      <c r="D34" s="40">
        <v>1598</v>
      </c>
      <c r="E34" s="19">
        <v>1987</v>
      </c>
      <c r="F34" s="19">
        <v>496</v>
      </c>
      <c r="G34" s="19">
        <v>158</v>
      </c>
      <c r="H34" s="19">
        <v>5176</v>
      </c>
      <c r="I34" s="21"/>
    </row>
    <row r="35" spans="1:9" x14ac:dyDescent="0.25">
      <c r="A35" s="18">
        <v>1987</v>
      </c>
      <c r="B35" s="15"/>
      <c r="C35" s="19">
        <v>937</v>
      </c>
      <c r="D35" s="40">
        <v>1596</v>
      </c>
      <c r="E35" s="19">
        <v>1972</v>
      </c>
      <c r="F35" s="19">
        <v>495</v>
      </c>
      <c r="G35" s="19">
        <v>158</v>
      </c>
      <c r="H35" s="19">
        <v>5158</v>
      </c>
      <c r="I35" s="21"/>
    </row>
    <row r="36" spans="1:9" ht="12" customHeight="1" x14ac:dyDescent="0.25">
      <c r="A36" s="18">
        <v>1988</v>
      </c>
      <c r="B36" s="15"/>
      <c r="C36" s="19">
        <v>936</v>
      </c>
      <c r="D36" s="40">
        <v>1594</v>
      </c>
      <c r="E36" s="19">
        <v>1960</v>
      </c>
      <c r="F36" s="19">
        <v>494</v>
      </c>
      <c r="G36" s="19">
        <v>158</v>
      </c>
      <c r="H36" s="19">
        <v>5142</v>
      </c>
      <c r="I36" s="21"/>
    </row>
    <row r="37" spans="1:9" x14ac:dyDescent="0.25">
      <c r="A37" s="18">
        <v>1989</v>
      </c>
      <c r="B37" s="15"/>
      <c r="C37" s="19">
        <v>936</v>
      </c>
      <c r="D37" s="40">
        <v>1594</v>
      </c>
      <c r="E37" s="19">
        <v>1957</v>
      </c>
      <c r="F37" s="19">
        <v>493</v>
      </c>
      <c r="G37" s="19">
        <v>158</v>
      </c>
      <c r="H37" s="19">
        <v>5138</v>
      </c>
      <c r="I37" s="21"/>
    </row>
    <row r="38" spans="1:9" x14ac:dyDescent="0.25">
      <c r="A38" s="18">
        <v>1990</v>
      </c>
      <c r="B38" s="15"/>
      <c r="C38" s="19">
        <v>936</v>
      </c>
      <c r="D38" s="40">
        <v>1591</v>
      </c>
      <c r="E38" s="19">
        <v>1954</v>
      </c>
      <c r="F38" s="19">
        <v>492</v>
      </c>
      <c r="G38" s="19">
        <v>158</v>
      </c>
      <c r="H38" s="19">
        <v>5131</v>
      </c>
      <c r="I38" s="21"/>
    </row>
    <row r="39" spans="1:9" x14ac:dyDescent="0.25">
      <c r="A39" s="18">
        <v>1991</v>
      </c>
      <c r="B39" s="15"/>
      <c r="C39" s="19">
        <v>936</v>
      </c>
      <c r="D39" s="40">
        <v>1591</v>
      </c>
      <c r="E39" s="19">
        <v>1954</v>
      </c>
      <c r="F39" s="19">
        <v>492</v>
      </c>
      <c r="G39" s="19">
        <v>158</v>
      </c>
      <c r="H39" s="19">
        <v>5131</v>
      </c>
      <c r="I39" s="21"/>
    </row>
    <row r="40" spans="1:9" x14ac:dyDescent="0.25">
      <c r="A40" s="18">
        <v>1992</v>
      </c>
      <c r="B40" s="15"/>
      <c r="C40" s="19">
        <v>936</v>
      </c>
      <c r="D40" s="40">
        <v>1591</v>
      </c>
      <c r="E40" s="19">
        <v>1954</v>
      </c>
      <c r="F40" s="19">
        <v>492</v>
      </c>
      <c r="G40" s="19">
        <v>158</v>
      </c>
      <c r="H40" s="19">
        <v>5131</v>
      </c>
      <c r="I40" s="21"/>
    </row>
    <row r="41" spans="1:9" x14ac:dyDescent="0.25">
      <c r="A41" s="18">
        <v>1993</v>
      </c>
      <c r="B41" s="15"/>
      <c r="C41" s="19">
        <v>936</v>
      </c>
      <c r="D41" s="40">
        <v>1591</v>
      </c>
      <c r="E41" s="19">
        <v>1953</v>
      </c>
      <c r="F41" s="19">
        <v>492</v>
      </c>
      <c r="G41" s="19">
        <v>158</v>
      </c>
      <c r="H41" s="19">
        <v>5130</v>
      </c>
      <c r="I41" s="21"/>
    </row>
    <row r="42" spans="1:9" x14ac:dyDescent="0.25">
      <c r="A42" s="18">
        <v>1994</v>
      </c>
      <c r="B42" s="15"/>
      <c r="C42" s="19">
        <v>936</v>
      </c>
      <c r="D42" s="40">
        <v>1591</v>
      </c>
      <c r="E42" s="19">
        <v>1948</v>
      </c>
      <c r="F42" s="19">
        <v>491</v>
      </c>
      <c r="G42" s="19">
        <v>158</v>
      </c>
      <c r="H42" s="19">
        <v>5124</v>
      </c>
      <c r="I42" s="21"/>
    </row>
    <row r="43" spans="1:9" x14ac:dyDescent="0.25">
      <c r="A43" s="18">
        <v>1995</v>
      </c>
      <c r="B43" s="15"/>
      <c r="C43" s="19">
        <v>936</v>
      </c>
      <c r="D43" s="40">
        <v>1590</v>
      </c>
      <c r="E43" s="19">
        <v>1945</v>
      </c>
      <c r="F43" s="19">
        <v>491</v>
      </c>
      <c r="G43" s="19">
        <v>158</v>
      </c>
      <c r="H43" s="19">
        <v>5120</v>
      </c>
      <c r="I43" s="21"/>
    </row>
    <row r="44" spans="1:9" ht="13" x14ac:dyDescent="0.3">
      <c r="A44" s="18">
        <v>1996</v>
      </c>
      <c r="B44" s="16"/>
      <c r="C44" s="19">
        <v>936</v>
      </c>
      <c r="D44" s="40">
        <v>1590</v>
      </c>
      <c r="E44" s="19">
        <v>1943</v>
      </c>
      <c r="F44" s="19">
        <v>491</v>
      </c>
      <c r="G44" s="19">
        <v>158</v>
      </c>
      <c r="H44" s="19">
        <v>5118</v>
      </c>
      <c r="I44" s="21"/>
    </row>
    <row r="45" spans="1:9" ht="13" x14ac:dyDescent="0.3">
      <c r="A45" s="22">
        <v>1997</v>
      </c>
      <c r="B45" s="16"/>
      <c r="C45" s="19">
        <v>936</v>
      </c>
      <c r="D45" s="40">
        <v>1590</v>
      </c>
      <c r="E45" s="19">
        <v>1938</v>
      </c>
      <c r="F45" s="19">
        <v>490</v>
      </c>
      <c r="G45" s="19">
        <v>158</v>
      </c>
      <c r="H45" s="19">
        <v>5112</v>
      </c>
      <c r="I45" s="21"/>
    </row>
    <row r="46" spans="1:9" ht="13" x14ac:dyDescent="0.3">
      <c r="A46" s="22">
        <v>1998</v>
      </c>
      <c r="B46" s="16"/>
      <c r="C46" s="19">
        <v>936</v>
      </c>
      <c r="D46" s="40">
        <v>1589</v>
      </c>
      <c r="E46" s="19">
        <v>1934</v>
      </c>
      <c r="F46" s="19">
        <v>489</v>
      </c>
      <c r="G46" s="19">
        <v>158</v>
      </c>
      <c r="H46" s="19">
        <v>5106</v>
      </c>
      <c r="I46" s="21"/>
    </row>
    <row r="47" spans="1:9" ht="13" x14ac:dyDescent="0.3">
      <c r="A47" s="22">
        <v>1999</v>
      </c>
      <c r="B47" s="16"/>
      <c r="C47" s="19">
        <v>936</v>
      </c>
      <c r="D47" s="40">
        <v>1589</v>
      </c>
      <c r="E47" s="19">
        <v>1933</v>
      </c>
      <c r="F47" s="19">
        <v>489</v>
      </c>
      <c r="G47" s="19">
        <v>158</v>
      </c>
      <c r="H47" s="19">
        <v>5105</v>
      </c>
      <c r="I47" s="21"/>
    </row>
    <row r="48" spans="1:9" ht="13" x14ac:dyDescent="0.3">
      <c r="A48" s="22">
        <v>2000</v>
      </c>
      <c r="B48" s="16"/>
      <c r="C48" s="19">
        <v>936</v>
      </c>
      <c r="D48" s="40">
        <v>1588</v>
      </c>
      <c r="E48" s="19">
        <v>1932</v>
      </c>
      <c r="F48" s="19">
        <v>488</v>
      </c>
      <c r="G48" s="19">
        <v>158</v>
      </c>
      <c r="H48" s="19">
        <v>5102</v>
      </c>
      <c r="I48" s="21"/>
    </row>
    <row r="49" spans="1:10" ht="13" x14ac:dyDescent="0.3">
      <c r="A49" s="22">
        <v>2001</v>
      </c>
      <c r="B49" s="16"/>
      <c r="C49" s="19">
        <v>936</v>
      </c>
      <c r="D49" s="40">
        <v>1588</v>
      </c>
      <c r="E49" s="19">
        <v>1930</v>
      </c>
      <c r="F49" s="19">
        <v>488</v>
      </c>
      <c r="G49" s="19">
        <v>158</v>
      </c>
      <c r="H49" s="19">
        <v>5100</v>
      </c>
      <c r="I49" s="21"/>
    </row>
    <row r="50" spans="1:10" ht="13" x14ac:dyDescent="0.3">
      <c r="A50" s="22">
        <v>2002</v>
      </c>
      <c r="B50" s="16"/>
      <c r="C50" s="19">
        <v>936</v>
      </c>
      <c r="D50" s="40">
        <v>1588</v>
      </c>
      <c r="E50" s="19">
        <v>1930</v>
      </c>
      <c r="F50" s="19">
        <v>488</v>
      </c>
      <c r="G50" s="19">
        <v>158</v>
      </c>
      <c r="H50" s="19">
        <v>5100</v>
      </c>
      <c r="I50" s="21"/>
    </row>
    <row r="51" spans="1:10" x14ac:dyDescent="0.25">
      <c r="A51" s="22">
        <v>2003</v>
      </c>
      <c r="C51" s="19">
        <v>936</v>
      </c>
      <c r="D51" s="40">
        <v>1588</v>
      </c>
      <c r="E51" s="19">
        <v>1930</v>
      </c>
      <c r="F51" s="19">
        <v>488</v>
      </c>
      <c r="G51" s="19">
        <v>158</v>
      </c>
      <c r="H51" s="19">
        <v>5100</v>
      </c>
      <c r="I51" s="21"/>
    </row>
    <row r="52" spans="1:10" x14ac:dyDescent="0.25">
      <c r="A52" s="22">
        <v>2004</v>
      </c>
      <c r="C52" s="19">
        <v>936</v>
      </c>
      <c r="D52" s="40">
        <v>1588</v>
      </c>
      <c r="E52" s="19">
        <v>1927</v>
      </c>
      <c r="F52" s="19">
        <v>488</v>
      </c>
      <c r="G52" s="19">
        <v>158</v>
      </c>
      <c r="H52" s="19">
        <v>5097</v>
      </c>
      <c r="I52" s="21"/>
    </row>
    <row r="53" spans="1:10" s="24" customFormat="1" x14ac:dyDescent="0.25">
      <c r="A53" s="22">
        <v>2005</v>
      </c>
      <c r="C53" s="19">
        <v>936</v>
      </c>
      <c r="D53" s="40">
        <v>1588</v>
      </c>
      <c r="E53" s="19">
        <v>1925</v>
      </c>
      <c r="F53" s="19">
        <v>488</v>
      </c>
      <c r="G53" s="19">
        <v>158</v>
      </c>
      <c r="H53" s="19">
        <v>5095</v>
      </c>
      <c r="I53" s="21"/>
      <c r="J53"/>
    </row>
    <row r="54" spans="1:10" s="24" customFormat="1" x14ac:dyDescent="0.25">
      <c r="A54" s="22">
        <v>2006</v>
      </c>
      <c r="C54" s="19">
        <v>936</v>
      </c>
      <c r="D54" s="40">
        <v>1588</v>
      </c>
      <c r="E54" s="19">
        <v>1925</v>
      </c>
      <c r="F54" s="19">
        <v>488</v>
      </c>
      <c r="G54" s="19">
        <v>158</v>
      </c>
      <c r="H54" s="19">
        <v>5095</v>
      </c>
      <c r="I54" s="21"/>
      <c r="J54"/>
    </row>
    <row r="55" spans="1:10" s="24" customFormat="1" x14ac:dyDescent="0.25">
      <c r="A55" s="22">
        <v>2007</v>
      </c>
      <c r="C55" s="19">
        <v>936</v>
      </c>
      <c r="D55" s="40">
        <v>1588</v>
      </c>
      <c r="E55" s="19">
        <v>1925</v>
      </c>
      <c r="F55" s="19">
        <v>488</v>
      </c>
      <c r="G55" s="19">
        <v>158</v>
      </c>
      <c r="H55" s="19">
        <v>5095</v>
      </c>
      <c r="I55" s="21"/>
      <c r="J55"/>
    </row>
    <row r="56" spans="1:10" s="24" customFormat="1" x14ac:dyDescent="0.25">
      <c r="A56" s="22">
        <v>2008</v>
      </c>
      <c r="C56" s="19">
        <v>935</v>
      </c>
      <c r="D56" s="40">
        <v>1588</v>
      </c>
      <c r="E56" s="19">
        <v>1925</v>
      </c>
      <c r="F56" s="19">
        <v>488</v>
      </c>
      <c r="G56" s="19">
        <v>158</v>
      </c>
      <c r="H56" s="19">
        <v>5094</v>
      </c>
      <c r="I56" s="21"/>
      <c r="J56"/>
    </row>
    <row r="57" spans="1:10" s="24" customFormat="1" x14ac:dyDescent="0.25">
      <c r="A57" s="22">
        <v>2009</v>
      </c>
      <c r="C57" s="19">
        <v>935</v>
      </c>
      <c r="D57" s="40">
        <v>1588</v>
      </c>
      <c r="E57" s="19">
        <v>1925</v>
      </c>
      <c r="F57" s="19">
        <v>488</v>
      </c>
      <c r="G57" s="19">
        <v>158</v>
      </c>
      <c r="H57" s="19">
        <v>5094</v>
      </c>
      <c r="I57" s="21"/>
      <c r="J57"/>
    </row>
    <row r="58" spans="1:10" s="24" customFormat="1" x14ac:dyDescent="0.25">
      <c r="A58" s="22">
        <v>2010</v>
      </c>
      <c r="C58" s="19">
        <v>935</v>
      </c>
      <c r="D58" s="40">
        <v>1588</v>
      </c>
      <c r="E58" s="19">
        <v>1925</v>
      </c>
      <c r="F58" s="19">
        <v>488</v>
      </c>
      <c r="G58" s="19">
        <v>158</v>
      </c>
      <c r="H58" s="19">
        <v>5094</v>
      </c>
      <c r="I58" s="21"/>
    </row>
    <row r="59" spans="1:10" s="24" customFormat="1" x14ac:dyDescent="0.25">
      <c r="A59" s="22">
        <v>2011</v>
      </c>
      <c r="C59" s="19">
        <v>935</v>
      </c>
      <c r="D59" s="40">
        <v>1588</v>
      </c>
      <c r="E59" s="19">
        <v>1925</v>
      </c>
      <c r="F59" s="19">
        <v>488</v>
      </c>
      <c r="G59" s="19">
        <v>158</v>
      </c>
      <c r="H59" s="19">
        <v>5094</v>
      </c>
      <c r="I59" s="21"/>
    </row>
    <row r="60" spans="1:10" s="24" customFormat="1" x14ac:dyDescent="0.25">
      <c r="A60" s="22">
        <v>2012</v>
      </c>
      <c r="C60" s="19">
        <v>935</v>
      </c>
      <c r="D60" s="40">
        <v>1588</v>
      </c>
      <c r="E60" s="19">
        <v>1924</v>
      </c>
      <c r="F60" s="19">
        <v>488</v>
      </c>
      <c r="G60" s="19">
        <v>158</v>
      </c>
      <c r="H60" s="19">
        <v>5093</v>
      </c>
      <c r="I60" s="21"/>
    </row>
    <row r="61" spans="1:10" s="24" customFormat="1" x14ac:dyDescent="0.25">
      <c r="A61" s="22">
        <v>2013</v>
      </c>
      <c r="C61" s="19">
        <v>935</v>
      </c>
      <c r="D61" s="40">
        <v>1588</v>
      </c>
      <c r="E61" s="19">
        <v>1924</v>
      </c>
      <c r="F61" s="19">
        <v>488</v>
      </c>
      <c r="G61" s="19">
        <v>158</v>
      </c>
      <c r="H61" s="19">
        <v>5093</v>
      </c>
      <c r="I61" s="25"/>
    </row>
    <row r="62" spans="1:10" s="42" customFormat="1" ht="13" x14ac:dyDescent="0.3">
      <c r="A62" s="22">
        <v>2014</v>
      </c>
      <c r="B62" s="24"/>
      <c r="C62" s="19">
        <v>935</v>
      </c>
      <c r="D62" s="40">
        <v>1588</v>
      </c>
      <c r="E62" s="19">
        <v>1924</v>
      </c>
      <c r="F62" s="19">
        <v>488</v>
      </c>
      <c r="G62" s="19">
        <v>158</v>
      </c>
      <c r="H62" s="19">
        <v>5093</v>
      </c>
      <c r="I62" s="41"/>
    </row>
    <row r="63" spans="1:10" s="42" customFormat="1" ht="13" x14ac:dyDescent="0.3">
      <c r="A63" s="22">
        <v>2015</v>
      </c>
      <c r="B63" s="24"/>
      <c r="C63" s="19">
        <v>935</v>
      </c>
      <c r="D63" s="40">
        <v>1587</v>
      </c>
      <c r="E63" s="19">
        <v>1922</v>
      </c>
      <c r="F63" s="19">
        <v>488</v>
      </c>
      <c r="G63" s="19">
        <v>158</v>
      </c>
      <c r="H63" s="19">
        <v>5090</v>
      </c>
      <c r="I63" s="41"/>
    </row>
    <row r="64" spans="1:10" s="42" customFormat="1" ht="13" x14ac:dyDescent="0.3">
      <c r="A64" s="22">
        <v>2016</v>
      </c>
      <c r="B64" s="24"/>
      <c r="C64" s="19">
        <v>935.40750000000003</v>
      </c>
      <c r="D64" s="40">
        <v>1587.0930000000001</v>
      </c>
      <c r="E64" s="19">
        <v>1921.595</v>
      </c>
      <c r="F64" s="19">
        <v>487.7</v>
      </c>
      <c r="G64" s="19">
        <v>157.80000000000001</v>
      </c>
      <c r="H64" s="19">
        <v>5089.5955000000004</v>
      </c>
      <c r="I64" s="41"/>
    </row>
    <row r="65" spans="1:8" x14ac:dyDescent="0.25">
      <c r="A65" s="22">
        <v>2017</v>
      </c>
      <c r="C65" s="19">
        <v>935.40750000000003</v>
      </c>
      <c r="D65" s="40">
        <v>1587.0930000000001</v>
      </c>
      <c r="E65" s="19">
        <v>1921.595</v>
      </c>
      <c r="F65" s="19">
        <v>487.7</v>
      </c>
      <c r="G65" s="19">
        <v>157.80000000000001</v>
      </c>
      <c r="H65" s="19">
        <v>5089.4745000000003</v>
      </c>
    </row>
    <row r="66" spans="1:8" x14ac:dyDescent="0.25">
      <c r="A66" s="22">
        <v>2018</v>
      </c>
      <c r="C66" s="19">
        <v>935.33950000000004</v>
      </c>
      <c r="D66" s="40">
        <v>1586.9870000000001</v>
      </c>
      <c r="E66" s="19">
        <v>1921.3050000000001</v>
      </c>
      <c r="F66" s="19">
        <v>487.7</v>
      </c>
      <c r="G66" s="19">
        <v>157.80000000000001</v>
      </c>
      <c r="H66" s="19">
        <v>5089.1315000000004</v>
      </c>
    </row>
    <row r="67" spans="1:8" x14ac:dyDescent="0.25">
      <c r="A67" s="22">
        <v>2019</v>
      </c>
      <c r="C67" s="19">
        <v>935</v>
      </c>
      <c r="D67" s="40">
        <v>1587</v>
      </c>
      <c r="E67" s="19">
        <v>1921</v>
      </c>
      <c r="F67" s="19">
        <v>488</v>
      </c>
      <c r="G67" s="19">
        <v>158</v>
      </c>
      <c r="H67" s="19">
        <v>5089</v>
      </c>
    </row>
    <row r="68" spans="1:8" x14ac:dyDescent="0.25">
      <c r="A68" s="22">
        <v>2020</v>
      </c>
      <c r="C68" s="19">
        <v>935</v>
      </c>
      <c r="D68" s="40">
        <v>1587</v>
      </c>
      <c r="E68" s="19">
        <v>1921</v>
      </c>
      <c r="F68" s="19">
        <v>487.7</v>
      </c>
      <c r="G68" s="19">
        <v>158</v>
      </c>
      <c r="H68" s="19">
        <v>5088.7</v>
      </c>
    </row>
    <row r="69" spans="1:8" x14ac:dyDescent="0.25">
      <c r="A69" s="22">
        <v>2021</v>
      </c>
      <c r="C69" s="19">
        <v>935</v>
      </c>
      <c r="D69" s="40">
        <v>1587</v>
      </c>
      <c r="E69" s="19">
        <v>1921</v>
      </c>
      <c r="F69" s="19">
        <v>487.7</v>
      </c>
      <c r="G69" s="19">
        <v>158</v>
      </c>
      <c r="H69" s="19">
        <f>SUM(C69:G69)</f>
        <v>5088.7</v>
      </c>
    </row>
    <row r="70" spans="1:8" x14ac:dyDescent="0.25">
      <c r="A70" s="22">
        <v>2022</v>
      </c>
      <c r="C70" s="19">
        <v>935</v>
      </c>
      <c r="D70" s="40">
        <v>1587</v>
      </c>
      <c r="E70" s="19">
        <v>1921</v>
      </c>
      <c r="F70" s="19">
        <v>487.7</v>
      </c>
      <c r="G70" s="19">
        <v>158</v>
      </c>
      <c r="H70" s="19">
        <f>SUM(C70:G70)</f>
        <v>5088.7</v>
      </c>
    </row>
    <row r="71" spans="1:8" x14ac:dyDescent="0.25">
      <c r="A71" s="22">
        <v>2023</v>
      </c>
      <c r="C71" s="19">
        <v>935</v>
      </c>
      <c r="D71" s="40">
        <v>1586</v>
      </c>
      <c r="E71" s="19">
        <v>1921</v>
      </c>
      <c r="F71" s="19">
        <v>487</v>
      </c>
      <c r="G71" s="19">
        <v>158</v>
      </c>
      <c r="H71" s="19">
        <f>SUM(C71:G71)</f>
        <v>5087</v>
      </c>
    </row>
    <row r="72" spans="1:8" x14ac:dyDescent="0.25">
      <c r="A72" s="22">
        <v>2024</v>
      </c>
      <c r="C72" s="19">
        <v>935</v>
      </c>
      <c r="D72" s="40">
        <v>1586</v>
      </c>
      <c r="E72" s="19">
        <v>1921</v>
      </c>
      <c r="F72" s="19">
        <v>487</v>
      </c>
      <c r="G72" s="19">
        <v>158</v>
      </c>
      <c r="H72" s="19">
        <f>SUM(C72:G72)</f>
        <v>5087</v>
      </c>
    </row>
    <row r="73" spans="1:8" x14ac:dyDescent="0.25">
      <c r="A73" s="22">
        <v>2025</v>
      </c>
      <c r="C73" s="19">
        <v>935</v>
      </c>
      <c r="D73" s="40">
        <v>1585</v>
      </c>
      <c r="E73" s="19">
        <v>1920</v>
      </c>
      <c r="F73" s="19">
        <v>487</v>
      </c>
      <c r="G73" s="19">
        <v>158</v>
      </c>
      <c r="H73" s="19">
        <f>SUM(C73:G73)</f>
        <v>5085</v>
      </c>
    </row>
    <row r="74" spans="1:8" x14ac:dyDescent="0.25">
      <c r="A74" s="22"/>
      <c r="C74" s="19"/>
      <c r="D74" s="40"/>
      <c r="E74" s="19"/>
      <c r="F74" s="19"/>
      <c r="G74" s="19"/>
      <c r="H74" s="19"/>
    </row>
    <row r="75" spans="1:8" ht="13" x14ac:dyDescent="0.3">
      <c r="A75" s="28" t="s">
        <v>16</v>
      </c>
      <c r="B75" s="28"/>
      <c r="C75" s="28"/>
      <c r="D75" s="28"/>
      <c r="E75" s="28"/>
      <c r="F75" s="28"/>
      <c r="G75" s="28"/>
    </row>
    <row r="76" spans="1:8" ht="13" x14ac:dyDescent="0.3">
      <c r="A76" s="28" t="s">
        <v>9</v>
      </c>
      <c r="B76" s="28"/>
    </row>
  </sheetData>
  <printOptions horizontalCentered="1" verticalCentered="1"/>
  <pageMargins left="0.39370078740157483" right="0.39370078740157483" top="0.74803149606299213" bottom="0.6692913385826772" header="0.51181102362204722" footer="0.51181102362204722"/>
  <pageSetup paperSize="9" scale="84" orientation="portrait" r:id="rId1"/>
  <headerFooter alignWithMargins="0">
    <oddHeader>&amp;C&amp;"Calibri"&amp;10&amp;K000000 IN CONFIDENCE&amp;1#_x000D_</oddHeader>
    <oddFooter>&amp;LF3 tables - 2018
Ref #7503227 1.0&amp;C_x000D_&amp;1#&amp;"Calibri"&amp;10&amp;K000000 IN CONFIDENCE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Dollars</vt:lpstr>
      <vt:lpstr>L.S.D</vt:lpstr>
      <vt:lpstr>Dollars!Print_Titles</vt:lpstr>
      <vt:lpstr>L.S.D!Print_Titles</vt:lpstr>
    </vt:vector>
  </TitlesOfParts>
  <Company>Reserve Bank of New Zealand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 Luu</dc:creator>
  <cp:lastModifiedBy>Jean Zhou</cp:lastModifiedBy>
  <dcterms:created xsi:type="dcterms:W3CDTF">2017-04-27T22:10:54Z</dcterms:created>
  <dcterms:modified xsi:type="dcterms:W3CDTF">2025-04-29T23:19:17Z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Number">
    <vt:lpwstr>7503227</vt:lpwstr>
  </property>
  <property fmtid="{D5CDD505-2E9C-101B-9397-08002B2CF9AE}" pid="3" name="DocVersion">
    <vt:lpwstr>1.0</vt:lpwstr>
  </property>
  <property fmtid="{D5CDD505-2E9C-101B-9397-08002B2CF9AE}" pid="4" name="DocName">
    <vt:lpwstr>F3 tables - 2018</vt:lpwstr>
  </property>
  <property fmtid="{D5CDD505-2E9C-101B-9397-08002B2CF9AE}" pid="5" name="DocTitle">
    <vt:lpwstr/>
  </property>
  <property fmtid="{D5CDD505-2E9C-101B-9397-08002B2CF9AE}" pid="6" name="DocSubject">
    <vt:lpwstr/>
  </property>
  <property fmtid="{D5CDD505-2E9C-101B-9397-08002B2CF9AE}" pid="7" name="DocAuthors">
    <vt:lpwstr/>
  </property>
  <property fmtid="{D5CDD505-2E9C-101B-9397-08002B2CF9AE}" pid="8" name="DocKeywords">
    <vt:lpwstr/>
  </property>
  <property fmtid="{D5CDD505-2E9C-101B-9397-08002B2CF9AE}" pid="9" name="DocOwner">
    <vt:lpwstr>Thai Luu</vt:lpwstr>
  </property>
  <property fmtid="{D5CDD505-2E9C-101B-9397-08002B2CF9AE}" pid="10" name="DocObjectType">
    <vt:lpwstr>rbnz_administration</vt:lpwstr>
  </property>
  <property fmtid="{D5CDD505-2E9C-101B-9397-08002B2CF9AE}" pid="11" name="DocCreated">
    <vt:lpwstr>23/04/2018 4:47:24 PM</vt:lpwstr>
  </property>
  <property fmtid="{D5CDD505-2E9C-101B-9397-08002B2CF9AE}" pid="12" name="DocModified">
    <vt:lpwstr>23/04/2018 4:47:27 PM</vt:lpwstr>
  </property>
  <property fmtid="{D5CDD505-2E9C-101B-9397-08002B2CF9AE}" pid="13" name="DocModifier">
    <vt:lpwstr>Thai Luu</vt:lpwstr>
  </property>
  <property fmtid="{D5CDD505-2E9C-101B-9397-08002B2CF9AE}" pid="14" name="DocChronicleId">
    <vt:lpwstr>090000c380633b3b</vt:lpwstr>
  </property>
  <property fmtid="{D5CDD505-2E9C-101B-9397-08002B2CF9AE}" pid="15" name="DocFooter">
    <vt:lpwstr>F3 tables - 2018
Ref #7503227 1.0</vt:lpwstr>
  </property>
  <property fmtid="{D5CDD505-2E9C-101B-9397-08002B2CF9AE}" pid="16" name="MSIP_Label_61204ef0-88f2-468b-8ccc-80ef20191258_Enabled">
    <vt:lpwstr>true</vt:lpwstr>
  </property>
  <property fmtid="{D5CDD505-2E9C-101B-9397-08002B2CF9AE}" pid="17" name="MSIP_Label_61204ef0-88f2-468b-8ccc-80ef20191258_SetDate">
    <vt:lpwstr>2025-04-29T22:18:03Z</vt:lpwstr>
  </property>
  <property fmtid="{D5CDD505-2E9C-101B-9397-08002B2CF9AE}" pid="18" name="MSIP_Label_61204ef0-88f2-468b-8ccc-80ef20191258_Method">
    <vt:lpwstr>Privileged</vt:lpwstr>
  </property>
  <property fmtid="{D5CDD505-2E9C-101B-9397-08002B2CF9AE}" pid="19" name="MSIP_Label_61204ef0-88f2-468b-8ccc-80ef20191258_Name">
    <vt:lpwstr>IN CONFIDENCE_00</vt:lpwstr>
  </property>
  <property fmtid="{D5CDD505-2E9C-101B-9397-08002B2CF9AE}" pid="20" name="MSIP_Label_61204ef0-88f2-468b-8ccc-80ef20191258_SiteId">
    <vt:lpwstr>ef09e631-f62d-48d5-8cdb-02f838550358</vt:lpwstr>
  </property>
  <property fmtid="{D5CDD505-2E9C-101B-9397-08002B2CF9AE}" pid="21" name="MSIP_Label_61204ef0-88f2-468b-8ccc-80ef20191258_ActionId">
    <vt:lpwstr>7bbc69d3-373c-4269-b7dd-cd38b81dbf95</vt:lpwstr>
  </property>
  <property fmtid="{D5CDD505-2E9C-101B-9397-08002B2CF9AE}" pid="22" name="MSIP_Label_61204ef0-88f2-468b-8ccc-80ef20191258_ContentBits">
    <vt:lpwstr>3</vt:lpwstr>
  </property>
  <property fmtid="{D5CDD505-2E9C-101B-9397-08002B2CF9AE}" pid="23" name="MSIP_Label_61204ef0-88f2-468b-8ccc-80ef20191258_Tag">
    <vt:lpwstr>10, 0, 1, 1</vt:lpwstr>
  </property>
</Properties>
</file>