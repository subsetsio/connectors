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S:\findur_prod\data\reporting\EoM\imf_surveys\sdds\2025\2025_12_dec\e1\"/>
    </mc:Choice>
  </mc:AlternateContent>
  <xr:revisionPtr revIDLastSave="0" documentId="13_ncr:1_{15BDCB31-C924-4196-9527-92E8BBFDB8B2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Jan 1993 to Mar 2000" sheetId="1" r:id="rId1"/>
    <sheet name="Treasury" sheetId="3" r:id="rId2"/>
    <sheet name="Check Treasury Past" sheetId="5" r:id="rId3"/>
    <sheet name="Reserve Bank" sheetId="2" r:id="rId4"/>
    <sheet name="Check RB Past" sheetId="6" r:id="rId5"/>
    <sheet name="Notes" sheetId="4" r:id="rId6"/>
  </sheets>
  <definedNames>
    <definedName name="Backup">#REF!</definedName>
    <definedName name="Classification">#REF!</definedName>
    <definedName name="Created_by">#REF!</definedName>
    <definedName name="Date_Created">#REF!</definedName>
    <definedName name="Details">#REF!</definedName>
    <definedName name="Inputs">#REF!</definedName>
    <definedName name="Outputs">#REF!</definedName>
    <definedName name="Ownership">#REF!</definedName>
    <definedName name="PCDOCS">#REF!</definedName>
    <definedName name="_xlnm.Print_Area" localSheetId="3">'Reserve Bank'!$A$1:$J$322</definedName>
    <definedName name="_xlnm.Print_Titles" localSheetId="0">'Jan 1993 to Mar 2000'!$3:$7</definedName>
    <definedName name="_xlnm.Print_Titles" localSheetId="3">'Reserve Bank'!$4:$8</definedName>
    <definedName name="_xlnm.Print_Titles" localSheetId="1">Treasury!$4:$8</definedName>
    <definedName name="Procedural">#REF!</definedName>
    <definedName name="Purpose">#REF!</definedName>
    <definedName name="Title">#REF!</definedName>
  </definedNames>
  <calcPr calcId="191029" fullPrecision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17" i="6" l="1"/>
  <c r="O317" i="6"/>
  <c r="P317" i="6"/>
  <c r="Q317" i="6"/>
  <c r="R317" i="6"/>
  <c r="S317" i="6"/>
  <c r="T317" i="6"/>
  <c r="U317" i="6"/>
  <c r="N318" i="6"/>
  <c r="O318" i="6"/>
  <c r="P318" i="6"/>
  <c r="Q318" i="6"/>
  <c r="R318" i="6"/>
  <c r="S318" i="6"/>
  <c r="T318" i="6"/>
  <c r="U318" i="6"/>
  <c r="D318" i="6"/>
  <c r="F318" i="6" s="1"/>
  <c r="H318" i="6" s="1"/>
  <c r="D317" i="6"/>
  <c r="F317" i="6" s="1"/>
  <c r="H317" i="6" s="1"/>
  <c r="N317" i="5"/>
  <c r="O317" i="5"/>
  <c r="P317" i="5"/>
  <c r="Q317" i="5"/>
  <c r="R317" i="5"/>
  <c r="S317" i="5"/>
  <c r="T317" i="5"/>
  <c r="U317" i="5"/>
  <c r="V317" i="5"/>
  <c r="W317" i="5"/>
  <c r="N318" i="5"/>
  <c r="O318" i="5"/>
  <c r="P318" i="5"/>
  <c r="Q318" i="5"/>
  <c r="R318" i="5"/>
  <c r="S318" i="5"/>
  <c r="T318" i="5"/>
  <c r="U318" i="5"/>
  <c r="V318" i="5"/>
  <c r="W318" i="5"/>
  <c r="D318" i="5"/>
  <c r="H318" i="5" s="1"/>
  <c r="J318" i="5" s="1"/>
  <c r="N310" i="6" l="1"/>
  <c r="O310" i="6"/>
  <c r="P310" i="6"/>
  <c r="Q310" i="6"/>
  <c r="R310" i="6"/>
  <c r="S310" i="6"/>
  <c r="T310" i="6"/>
  <c r="U310" i="6"/>
  <c r="N311" i="6"/>
  <c r="O311" i="6"/>
  <c r="P311" i="6"/>
  <c r="Q311" i="6"/>
  <c r="R311" i="6"/>
  <c r="S311" i="6"/>
  <c r="T311" i="6"/>
  <c r="U311" i="6"/>
  <c r="N312" i="6"/>
  <c r="O312" i="6"/>
  <c r="P312" i="6"/>
  <c r="Q312" i="6"/>
  <c r="R312" i="6"/>
  <c r="S312" i="6"/>
  <c r="T312" i="6"/>
  <c r="U312" i="6"/>
  <c r="N313" i="6"/>
  <c r="O313" i="6"/>
  <c r="P313" i="6"/>
  <c r="Q313" i="6"/>
  <c r="R313" i="6"/>
  <c r="S313" i="6"/>
  <c r="T313" i="6"/>
  <c r="U313" i="6"/>
  <c r="N314" i="6"/>
  <c r="O314" i="6"/>
  <c r="P314" i="6"/>
  <c r="Q314" i="6"/>
  <c r="R314" i="6"/>
  <c r="S314" i="6"/>
  <c r="T314" i="6"/>
  <c r="U314" i="6"/>
  <c r="N315" i="6"/>
  <c r="O315" i="6"/>
  <c r="P315" i="6"/>
  <c r="Q315" i="6"/>
  <c r="R315" i="6"/>
  <c r="S315" i="6"/>
  <c r="T315" i="6"/>
  <c r="U315" i="6"/>
  <c r="N316" i="6"/>
  <c r="O316" i="6"/>
  <c r="P316" i="6"/>
  <c r="Q316" i="6"/>
  <c r="R316" i="6"/>
  <c r="S316" i="6"/>
  <c r="T316" i="6"/>
  <c r="U316" i="6"/>
  <c r="N316" i="5" l="1"/>
  <c r="O316" i="5"/>
  <c r="P316" i="5"/>
  <c r="Q316" i="5"/>
  <c r="R316" i="5"/>
  <c r="S316" i="5"/>
  <c r="T316" i="5"/>
  <c r="U316" i="5"/>
  <c r="V316" i="5"/>
  <c r="W316" i="5"/>
  <c r="N11" i="6" l="1"/>
  <c r="O11" i="6"/>
  <c r="P11" i="6"/>
  <c r="Q11" i="6"/>
  <c r="R11" i="6"/>
  <c r="S11" i="6"/>
  <c r="T11" i="6"/>
  <c r="U11" i="6"/>
  <c r="N12" i="6"/>
  <c r="O12" i="6"/>
  <c r="P12" i="6"/>
  <c r="Q12" i="6"/>
  <c r="R12" i="6"/>
  <c r="S12" i="6"/>
  <c r="T12" i="6"/>
  <c r="U12" i="6"/>
  <c r="N13" i="6"/>
  <c r="O13" i="6"/>
  <c r="P13" i="6"/>
  <c r="Q13" i="6"/>
  <c r="R13" i="6"/>
  <c r="S13" i="6"/>
  <c r="T13" i="6"/>
  <c r="U13" i="6"/>
  <c r="N14" i="6"/>
  <c r="O14" i="6"/>
  <c r="P14" i="6"/>
  <c r="Q14" i="6"/>
  <c r="R14" i="6"/>
  <c r="S14" i="6"/>
  <c r="T14" i="6"/>
  <c r="U14" i="6"/>
  <c r="N15" i="6"/>
  <c r="O15" i="6"/>
  <c r="P15" i="6"/>
  <c r="Q15" i="6"/>
  <c r="R15" i="6"/>
  <c r="S15" i="6"/>
  <c r="T15" i="6"/>
  <c r="U15" i="6"/>
  <c r="N16" i="6"/>
  <c r="O16" i="6"/>
  <c r="P16" i="6"/>
  <c r="Q16" i="6"/>
  <c r="R16" i="6"/>
  <c r="S16" i="6"/>
  <c r="T16" i="6"/>
  <c r="U16" i="6"/>
  <c r="N17" i="6"/>
  <c r="O17" i="6"/>
  <c r="P17" i="6"/>
  <c r="Q17" i="6"/>
  <c r="R17" i="6"/>
  <c r="S17" i="6"/>
  <c r="T17" i="6"/>
  <c r="U17" i="6"/>
  <c r="N18" i="6"/>
  <c r="O18" i="6"/>
  <c r="P18" i="6"/>
  <c r="Q18" i="6"/>
  <c r="R18" i="6"/>
  <c r="S18" i="6"/>
  <c r="T18" i="6"/>
  <c r="U18" i="6"/>
  <c r="N19" i="6"/>
  <c r="O19" i="6"/>
  <c r="P19" i="6"/>
  <c r="Q19" i="6"/>
  <c r="R19" i="6"/>
  <c r="S19" i="6"/>
  <c r="T19" i="6"/>
  <c r="U19" i="6"/>
  <c r="N20" i="6"/>
  <c r="O20" i="6"/>
  <c r="P20" i="6"/>
  <c r="Q20" i="6"/>
  <c r="R20" i="6"/>
  <c r="S20" i="6"/>
  <c r="T20" i="6"/>
  <c r="U20" i="6"/>
  <c r="N21" i="6"/>
  <c r="O21" i="6"/>
  <c r="P21" i="6"/>
  <c r="Q21" i="6"/>
  <c r="R21" i="6"/>
  <c r="S21" i="6"/>
  <c r="T21" i="6"/>
  <c r="U21" i="6"/>
  <c r="N22" i="6"/>
  <c r="O22" i="6"/>
  <c r="P22" i="6"/>
  <c r="Q22" i="6"/>
  <c r="R22" i="6"/>
  <c r="S22" i="6"/>
  <c r="T22" i="6"/>
  <c r="U22" i="6"/>
  <c r="N23" i="6"/>
  <c r="O23" i="6"/>
  <c r="P23" i="6"/>
  <c r="Q23" i="6"/>
  <c r="R23" i="6"/>
  <c r="S23" i="6"/>
  <c r="T23" i="6"/>
  <c r="U23" i="6"/>
  <c r="N24" i="6"/>
  <c r="O24" i="6"/>
  <c r="P24" i="6"/>
  <c r="Q24" i="6"/>
  <c r="R24" i="6"/>
  <c r="S24" i="6"/>
  <c r="T24" i="6"/>
  <c r="U24" i="6"/>
  <c r="N25" i="6"/>
  <c r="O25" i="6"/>
  <c r="P25" i="6"/>
  <c r="Q25" i="6"/>
  <c r="R25" i="6"/>
  <c r="S25" i="6"/>
  <c r="T25" i="6"/>
  <c r="U25" i="6"/>
  <c r="N26" i="6"/>
  <c r="O26" i="6"/>
  <c r="P26" i="6"/>
  <c r="Q26" i="6"/>
  <c r="R26" i="6"/>
  <c r="S26" i="6"/>
  <c r="T26" i="6"/>
  <c r="U26" i="6"/>
  <c r="N27" i="6"/>
  <c r="O27" i="6"/>
  <c r="P27" i="6"/>
  <c r="Q27" i="6"/>
  <c r="R27" i="6"/>
  <c r="S27" i="6"/>
  <c r="T27" i="6"/>
  <c r="U27" i="6"/>
  <c r="N28" i="6"/>
  <c r="O28" i="6"/>
  <c r="P28" i="6"/>
  <c r="Q28" i="6"/>
  <c r="R28" i="6"/>
  <c r="S28" i="6"/>
  <c r="T28" i="6"/>
  <c r="U28" i="6"/>
  <c r="N29" i="6"/>
  <c r="O29" i="6"/>
  <c r="P29" i="6"/>
  <c r="Q29" i="6"/>
  <c r="R29" i="6"/>
  <c r="S29" i="6"/>
  <c r="T29" i="6"/>
  <c r="U29" i="6"/>
  <c r="N30" i="6"/>
  <c r="O30" i="6"/>
  <c r="P30" i="6"/>
  <c r="Q30" i="6"/>
  <c r="R30" i="6"/>
  <c r="S30" i="6"/>
  <c r="T30" i="6"/>
  <c r="U30" i="6"/>
  <c r="N31" i="6"/>
  <c r="O31" i="6"/>
  <c r="P31" i="6"/>
  <c r="Q31" i="6"/>
  <c r="R31" i="6"/>
  <c r="S31" i="6"/>
  <c r="T31" i="6"/>
  <c r="U31" i="6"/>
  <c r="N32" i="6"/>
  <c r="O32" i="6"/>
  <c r="P32" i="6"/>
  <c r="Q32" i="6"/>
  <c r="R32" i="6"/>
  <c r="S32" i="6"/>
  <c r="T32" i="6"/>
  <c r="U32" i="6"/>
  <c r="N33" i="6"/>
  <c r="O33" i="6"/>
  <c r="P33" i="6"/>
  <c r="Q33" i="6"/>
  <c r="R33" i="6"/>
  <c r="S33" i="6"/>
  <c r="T33" i="6"/>
  <c r="U33" i="6"/>
  <c r="N34" i="6"/>
  <c r="O34" i="6"/>
  <c r="P34" i="6"/>
  <c r="Q34" i="6"/>
  <c r="R34" i="6"/>
  <c r="S34" i="6"/>
  <c r="T34" i="6"/>
  <c r="U34" i="6"/>
  <c r="N35" i="6"/>
  <c r="O35" i="6"/>
  <c r="P35" i="6"/>
  <c r="Q35" i="6"/>
  <c r="R35" i="6"/>
  <c r="S35" i="6"/>
  <c r="T35" i="6"/>
  <c r="U35" i="6"/>
  <c r="N36" i="6"/>
  <c r="O36" i="6"/>
  <c r="P36" i="6"/>
  <c r="Q36" i="6"/>
  <c r="R36" i="6"/>
  <c r="S36" i="6"/>
  <c r="T36" i="6"/>
  <c r="U36" i="6"/>
  <c r="N37" i="6"/>
  <c r="O37" i="6"/>
  <c r="P37" i="6"/>
  <c r="Q37" i="6"/>
  <c r="R37" i="6"/>
  <c r="S37" i="6"/>
  <c r="T37" i="6"/>
  <c r="U37" i="6"/>
  <c r="N38" i="6"/>
  <c r="O38" i="6"/>
  <c r="P38" i="6"/>
  <c r="Q38" i="6"/>
  <c r="R38" i="6"/>
  <c r="S38" i="6"/>
  <c r="T38" i="6"/>
  <c r="U38" i="6"/>
  <c r="N39" i="6"/>
  <c r="O39" i="6"/>
  <c r="P39" i="6"/>
  <c r="Q39" i="6"/>
  <c r="R39" i="6"/>
  <c r="S39" i="6"/>
  <c r="T39" i="6"/>
  <c r="U39" i="6"/>
  <c r="N40" i="6"/>
  <c r="O40" i="6"/>
  <c r="P40" i="6"/>
  <c r="Q40" i="6"/>
  <c r="R40" i="6"/>
  <c r="S40" i="6"/>
  <c r="T40" i="6"/>
  <c r="U40" i="6"/>
  <c r="N41" i="6"/>
  <c r="O41" i="6"/>
  <c r="P41" i="6"/>
  <c r="Q41" i="6"/>
  <c r="R41" i="6"/>
  <c r="S41" i="6"/>
  <c r="T41" i="6"/>
  <c r="U41" i="6"/>
  <c r="N42" i="6"/>
  <c r="O42" i="6"/>
  <c r="P42" i="6"/>
  <c r="Q42" i="6"/>
  <c r="R42" i="6"/>
  <c r="S42" i="6"/>
  <c r="T42" i="6"/>
  <c r="U42" i="6"/>
  <c r="N43" i="6"/>
  <c r="O43" i="6"/>
  <c r="P43" i="6"/>
  <c r="Q43" i="6"/>
  <c r="R43" i="6"/>
  <c r="S43" i="6"/>
  <c r="T43" i="6"/>
  <c r="U43" i="6"/>
  <c r="N44" i="6"/>
  <c r="O44" i="6"/>
  <c r="P44" i="6"/>
  <c r="Q44" i="6"/>
  <c r="R44" i="6"/>
  <c r="S44" i="6"/>
  <c r="T44" i="6"/>
  <c r="U44" i="6"/>
  <c r="N45" i="6"/>
  <c r="O45" i="6"/>
  <c r="P45" i="6"/>
  <c r="Q45" i="6"/>
  <c r="R45" i="6"/>
  <c r="S45" i="6"/>
  <c r="T45" i="6"/>
  <c r="U45" i="6"/>
  <c r="N46" i="6"/>
  <c r="O46" i="6"/>
  <c r="P46" i="6"/>
  <c r="Q46" i="6"/>
  <c r="R46" i="6"/>
  <c r="S46" i="6"/>
  <c r="T46" i="6"/>
  <c r="U46" i="6"/>
  <c r="N47" i="6"/>
  <c r="O47" i="6"/>
  <c r="P47" i="6"/>
  <c r="Q47" i="6"/>
  <c r="R47" i="6"/>
  <c r="S47" i="6"/>
  <c r="T47" i="6"/>
  <c r="U47" i="6"/>
  <c r="N48" i="6"/>
  <c r="O48" i="6"/>
  <c r="P48" i="6"/>
  <c r="Q48" i="6"/>
  <c r="R48" i="6"/>
  <c r="S48" i="6"/>
  <c r="T48" i="6"/>
  <c r="U48" i="6"/>
  <c r="N49" i="6"/>
  <c r="O49" i="6"/>
  <c r="P49" i="6"/>
  <c r="Q49" i="6"/>
  <c r="R49" i="6"/>
  <c r="S49" i="6"/>
  <c r="T49" i="6"/>
  <c r="U49" i="6"/>
  <c r="N50" i="6"/>
  <c r="O50" i="6"/>
  <c r="P50" i="6"/>
  <c r="Q50" i="6"/>
  <c r="R50" i="6"/>
  <c r="S50" i="6"/>
  <c r="T50" i="6"/>
  <c r="U50" i="6"/>
  <c r="N51" i="6"/>
  <c r="O51" i="6"/>
  <c r="P51" i="6"/>
  <c r="Q51" i="6"/>
  <c r="R51" i="6"/>
  <c r="S51" i="6"/>
  <c r="T51" i="6"/>
  <c r="U51" i="6"/>
  <c r="N52" i="6"/>
  <c r="O52" i="6"/>
  <c r="P52" i="6"/>
  <c r="Q52" i="6"/>
  <c r="R52" i="6"/>
  <c r="S52" i="6"/>
  <c r="T52" i="6"/>
  <c r="U52" i="6"/>
  <c r="N53" i="6"/>
  <c r="O53" i="6"/>
  <c r="P53" i="6"/>
  <c r="Q53" i="6"/>
  <c r="R53" i="6"/>
  <c r="S53" i="6"/>
  <c r="T53" i="6"/>
  <c r="U53" i="6"/>
  <c r="N54" i="6"/>
  <c r="O54" i="6"/>
  <c r="P54" i="6"/>
  <c r="Q54" i="6"/>
  <c r="R54" i="6"/>
  <c r="S54" i="6"/>
  <c r="T54" i="6"/>
  <c r="U54" i="6"/>
  <c r="N55" i="6"/>
  <c r="O55" i="6"/>
  <c r="P55" i="6"/>
  <c r="Q55" i="6"/>
  <c r="R55" i="6"/>
  <c r="S55" i="6"/>
  <c r="T55" i="6"/>
  <c r="U55" i="6"/>
  <c r="N56" i="6"/>
  <c r="O56" i="6"/>
  <c r="P56" i="6"/>
  <c r="Q56" i="6"/>
  <c r="R56" i="6"/>
  <c r="S56" i="6"/>
  <c r="T56" i="6"/>
  <c r="U56" i="6"/>
  <c r="N57" i="6"/>
  <c r="O57" i="6"/>
  <c r="P57" i="6"/>
  <c r="Q57" i="6"/>
  <c r="R57" i="6"/>
  <c r="S57" i="6"/>
  <c r="T57" i="6"/>
  <c r="U57" i="6"/>
  <c r="N58" i="6"/>
  <c r="O58" i="6"/>
  <c r="P58" i="6"/>
  <c r="Q58" i="6"/>
  <c r="R58" i="6"/>
  <c r="S58" i="6"/>
  <c r="T58" i="6"/>
  <c r="U58" i="6"/>
  <c r="N59" i="6"/>
  <c r="O59" i="6"/>
  <c r="P59" i="6"/>
  <c r="Q59" i="6"/>
  <c r="R59" i="6"/>
  <c r="S59" i="6"/>
  <c r="T59" i="6"/>
  <c r="U59" i="6"/>
  <c r="N60" i="6"/>
  <c r="O60" i="6"/>
  <c r="P60" i="6"/>
  <c r="Q60" i="6"/>
  <c r="R60" i="6"/>
  <c r="S60" i="6"/>
  <c r="T60" i="6"/>
  <c r="U60" i="6"/>
  <c r="N61" i="6"/>
  <c r="O61" i="6"/>
  <c r="P61" i="6"/>
  <c r="Q61" i="6"/>
  <c r="R61" i="6"/>
  <c r="S61" i="6"/>
  <c r="T61" i="6"/>
  <c r="U61" i="6"/>
  <c r="N62" i="6"/>
  <c r="O62" i="6"/>
  <c r="P62" i="6"/>
  <c r="Q62" i="6"/>
  <c r="R62" i="6"/>
  <c r="S62" i="6"/>
  <c r="T62" i="6"/>
  <c r="U62" i="6"/>
  <c r="N63" i="6"/>
  <c r="O63" i="6"/>
  <c r="P63" i="6"/>
  <c r="Q63" i="6"/>
  <c r="R63" i="6"/>
  <c r="S63" i="6"/>
  <c r="T63" i="6"/>
  <c r="U63" i="6"/>
  <c r="N64" i="6"/>
  <c r="O64" i="6"/>
  <c r="P64" i="6"/>
  <c r="Q64" i="6"/>
  <c r="R64" i="6"/>
  <c r="S64" i="6"/>
  <c r="T64" i="6"/>
  <c r="U64" i="6"/>
  <c r="N65" i="6"/>
  <c r="O65" i="6"/>
  <c r="P65" i="6"/>
  <c r="Q65" i="6"/>
  <c r="R65" i="6"/>
  <c r="S65" i="6"/>
  <c r="T65" i="6"/>
  <c r="U65" i="6"/>
  <c r="N66" i="6"/>
  <c r="O66" i="6"/>
  <c r="P66" i="6"/>
  <c r="Q66" i="6"/>
  <c r="R66" i="6"/>
  <c r="S66" i="6"/>
  <c r="T66" i="6"/>
  <c r="U66" i="6"/>
  <c r="N67" i="6"/>
  <c r="O67" i="6"/>
  <c r="P67" i="6"/>
  <c r="Q67" i="6"/>
  <c r="R67" i="6"/>
  <c r="S67" i="6"/>
  <c r="T67" i="6"/>
  <c r="U67" i="6"/>
  <c r="N68" i="6"/>
  <c r="O68" i="6"/>
  <c r="P68" i="6"/>
  <c r="Q68" i="6"/>
  <c r="R68" i="6"/>
  <c r="S68" i="6"/>
  <c r="T68" i="6"/>
  <c r="U68" i="6"/>
  <c r="N69" i="6"/>
  <c r="O69" i="6"/>
  <c r="P69" i="6"/>
  <c r="Q69" i="6"/>
  <c r="R69" i="6"/>
  <c r="S69" i="6"/>
  <c r="T69" i="6"/>
  <c r="U69" i="6"/>
  <c r="N70" i="6"/>
  <c r="O70" i="6"/>
  <c r="P70" i="6"/>
  <c r="Q70" i="6"/>
  <c r="R70" i="6"/>
  <c r="S70" i="6"/>
  <c r="T70" i="6"/>
  <c r="U70" i="6"/>
  <c r="N71" i="6"/>
  <c r="O71" i="6"/>
  <c r="P71" i="6"/>
  <c r="Q71" i="6"/>
  <c r="R71" i="6"/>
  <c r="S71" i="6"/>
  <c r="T71" i="6"/>
  <c r="U71" i="6"/>
  <c r="N72" i="6"/>
  <c r="O72" i="6"/>
  <c r="P72" i="6"/>
  <c r="Q72" i="6"/>
  <c r="R72" i="6"/>
  <c r="S72" i="6"/>
  <c r="T72" i="6"/>
  <c r="U72" i="6"/>
  <c r="N73" i="6"/>
  <c r="O73" i="6"/>
  <c r="P73" i="6"/>
  <c r="Q73" i="6"/>
  <c r="R73" i="6"/>
  <c r="S73" i="6"/>
  <c r="T73" i="6"/>
  <c r="U73" i="6"/>
  <c r="N74" i="6"/>
  <c r="O74" i="6"/>
  <c r="P74" i="6"/>
  <c r="Q74" i="6"/>
  <c r="R74" i="6"/>
  <c r="S74" i="6"/>
  <c r="T74" i="6"/>
  <c r="U74" i="6"/>
  <c r="N75" i="6"/>
  <c r="O75" i="6"/>
  <c r="P75" i="6"/>
  <c r="Q75" i="6"/>
  <c r="R75" i="6"/>
  <c r="S75" i="6"/>
  <c r="T75" i="6"/>
  <c r="U75" i="6"/>
  <c r="N76" i="6"/>
  <c r="O76" i="6"/>
  <c r="P76" i="6"/>
  <c r="Q76" i="6"/>
  <c r="R76" i="6"/>
  <c r="S76" i="6"/>
  <c r="T76" i="6"/>
  <c r="U76" i="6"/>
  <c r="N77" i="6"/>
  <c r="O77" i="6"/>
  <c r="P77" i="6"/>
  <c r="Q77" i="6"/>
  <c r="R77" i="6"/>
  <c r="S77" i="6"/>
  <c r="T77" i="6"/>
  <c r="U77" i="6"/>
  <c r="N78" i="6"/>
  <c r="O78" i="6"/>
  <c r="P78" i="6"/>
  <c r="Q78" i="6"/>
  <c r="R78" i="6"/>
  <c r="S78" i="6"/>
  <c r="T78" i="6"/>
  <c r="U78" i="6"/>
  <c r="N79" i="6"/>
  <c r="O79" i="6"/>
  <c r="P79" i="6"/>
  <c r="Q79" i="6"/>
  <c r="R79" i="6"/>
  <c r="S79" i="6"/>
  <c r="T79" i="6"/>
  <c r="U79" i="6"/>
  <c r="N80" i="6"/>
  <c r="O80" i="6"/>
  <c r="P80" i="6"/>
  <c r="Q80" i="6"/>
  <c r="R80" i="6"/>
  <c r="S80" i="6"/>
  <c r="T80" i="6"/>
  <c r="U80" i="6"/>
  <c r="N81" i="6"/>
  <c r="O81" i="6"/>
  <c r="P81" i="6"/>
  <c r="Q81" i="6"/>
  <c r="R81" i="6"/>
  <c r="S81" i="6"/>
  <c r="T81" i="6"/>
  <c r="U81" i="6"/>
  <c r="N82" i="6"/>
  <c r="O82" i="6"/>
  <c r="P82" i="6"/>
  <c r="Q82" i="6"/>
  <c r="R82" i="6"/>
  <c r="S82" i="6"/>
  <c r="T82" i="6"/>
  <c r="U82" i="6"/>
  <c r="N83" i="6"/>
  <c r="O83" i="6"/>
  <c r="P83" i="6"/>
  <c r="Q83" i="6"/>
  <c r="R83" i="6"/>
  <c r="S83" i="6"/>
  <c r="T83" i="6"/>
  <c r="U83" i="6"/>
  <c r="N84" i="6"/>
  <c r="O84" i="6"/>
  <c r="P84" i="6"/>
  <c r="Q84" i="6"/>
  <c r="R84" i="6"/>
  <c r="S84" i="6"/>
  <c r="T84" i="6"/>
  <c r="U84" i="6"/>
  <c r="N85" i="6"/>
  <c r="O85" i="6"/>
  <c r="P85" i="6"/>
  <c r="Q85" i="6"/>
  <c r="R85" i="6"/>
  <c r="S85" i="6"/>
  <c r="T85" i="6"/>
  <c r="U85" i="6"/>
  <c r="N86" i="6"/>
  <c r="O86" i="6"/>
  <c r="P86" i="6"/>
  <c r="Q86" i="6"/>
  <c r="R86" i="6"/>
  <c r="S86" i="6"/>
  <c r="T86" i="6"/>
  <c r="U86" i="6"/>
  <c r="N87" i="6"/>
  <c r="O87" i="6"/>
  <c r="P87" i="6"/>
  <c r="Q87" i="6"/>
  <c r="R87" i="6"/>
  <c r="S87" i="6"/>
  <c r="T87" i="6"/>
  <c r="U87" i="6"/>
  <c r="N88" i="6"/>
  <c r="O88" i="6"/>
  <c r="P88" i="6"/>
  <c r="Q88" i="6"/>
  <c r="R88" i="6"/>
  <c r="S88" i="6"/>
  <c r="T88" i="6"/>
  <c r="U88" i="6"/>
  <c r="N89" i="6"/>
  <c r="O89" i="6"/>
  <c r="P89" i="6"/>
  <c r="Q89" i="6"/>
  <c r="R89" i="6"/>
  <c r="S89" i="6"/>
  <c r="T89" i="6"/>
  <c r="U89" i="6"/>
  <c r="N90" i="6"/>
  <c r="O90" i="6"/>
  <c r="P90" i="6"/>
  <c r="Q90" i="6"/>
  <c r="R90" i="6"/>
  <c r="S90" i="6"/>
  <c r="T90" i="6"/>
  <c r="U90" i="6"/>
  <c r="N91" i="6"/>
  <c r="O91" i="6"/>
  <c r="P91" i="6"/>
  <c r="Q91" i="6"/>
  <c r="R91" i="6"/>
  <c r="S91" i="6"/>
  <c r="T91" i="6"/>
  <c r="U91" i="6"/>
  <c r="N92" i="6"/>
  <c r="O92" i="6"/>
  <c r="P92" i="6"/>
  <c r="Q92" i="6"/>
  <c r="R92" i="6"/>
  <c r="S92" i="6"/>
  <c r="T92" i="6"/>
  <c r="U92" i="6"/>
  <c r="N93" i="6"/>
  <c r="O93" i="6"/>
  <c r="P93" i="6"/>
  <c r="Q93" i="6"/>
  <c r="R93" i="6"/>
  <c r="S93" i="6"/>
  <c r="T93" i="6"/>
  <c r="U93" i="6"/>
  <c r="N94" i="6"/>
  <c r="O94" i="6"/>
  <c r="P94" i="6"/>
  <c r="Q94" i="6"/>
  <c r="R94" i="6"/>
  <c r="S94" i="6"/>
  <c r="T94" i="6"/>
  <c r="U94" i="6"/>
  <c r="N95" i="6"/>
  <c r="O95" i="6"/>
  <c r="P95" i="6"/>
  <c r="Q95" i="6"/>
  <c r="R95" i="6"/>
  <c r="S95" i="6"/>
  <c r="T95" i="6"/>
  <c r="U95" i="6"/>
  <c r="N96" i="6"/>
  <c r="O96" i="6"/>
  <c r="P96" i="6"/>
  <c r="Q96" i="6"/>
  <c r="R96" i="6"/>
  <c r="S96" i="6"/>
  <c r="T96" i="6"/>
  <c r="U96" i="6"/>
  <c r="N97" i="6"/>
  <c r="O97" i="6"/>
  <c r="P97" i="6"/>
  <c r="Q97" i="6"/>
  <c r="R97" i="6"/>
  <c r="S97" i="6"/>
  <c r="T97" i="6"/>
  <c r="U97" i="6"/>
  <c r="N98" i="6"/>
  <c r="O98" i="6"/>
  <c r="P98" i="6"/>
  <c r="Q98" i="6"/>
  <c r="R98" i="6"/>
  <c r="S98" i="6"/>
  <c r="T98" i="6"/>
  <c r="U98" i="6"/>
  <c r="N99" i="6"/>
  <c r="O99" i="6"/>
  <c r="P99" i="6"/>
  <c r="Q99" i="6"/>
  <c r="R99" i="6"/>
  <c r="S99" i="6"/>
  <c r="T99" i="6"/>
  <c r="U99" i="6"/>
  <c r="N100" i="6"/>
  <c r="O100" i="6"/>
  <c r="P100" i="6"/>
  <c r="Q100" i="6"/>
  <c r="R100" i="6"/>
  <c r="S100" i="6"/>
  <c r="T100" i="6"/>
  <c r="U100" i="6"/>
  <c r="N101" i="6"/>
  <c r="O101" i="6"/>
  <c r="P101" i="6"/>
  <c r="Q101" i="6"/>
  <c r="R101" i="6"/>
  <c r="S101" i="6"/>
  <c r="T101" i="6"/>
  <c r="U101" i="6"/>
  <c r="N102" i="6"/>
  <c r="O102" i="6"/>
  <c r="P102" i="6"/>
  <c r="Q102" i="6"/>
  <c r="R102" i="6"/>
  <c r="S102" i="6"/>
  <c r="T102" i="6"/>
  <c r="U102" i="6"/>
  <c r="N103" i="6"/>
  <c r="O103" i="6"/>
  <c r="P103" i="6"/>
  <c r="Q103" i="6"/>
  <c r="R103" i="6"/>
  <c r="S103" i="6"/>
  <c r="T103" i="6"/>
  <c r="U103" i="6"/>
  <c r="N104" i="6"/>
  <c r="O104" i="6"/>
  <c r="P104" i="6"/>
  <c r="Q104" i="6"/>
  <c r="R104" i="6"/>
  <c r="S104" i="6"/>
  <c r="T104" i="6"/>
  <c r="U104" i="6"/>
  <c r="N105" i="6"/>
  <c r="O105" i="6"/>
  <c r="P105" i="6"/>
  <c r="Q105" i="6"/>
  <c r="R105" i="6"/>
  <c r="S105" i="6"/>
  <c r="T105" i="6"/>
  <c r="U105" i="6"/>
  <c r="N106" i="6"/>
  <c r="O106" i="6"/>
  <c r="P106" i="6"/>
  <c r="Q106" i="6"/>
  <c r="R106" i="6"/>
  <c r="S106" i="6"/>
  <c r="T106" i="6"/>
  <c r="U106" i="6"/>
  <c r="N107" i="6"/>
  <c r="O107" i="6"/>
  <c r="P107" i="6"/>
  <c r="Q107" i="6"/>
  <c r="R107" i="6"/>
  <c r="S107" i="6"/>
  <c r="T107" i="6"/>
  <c r="U107" i="6"/>
  <c r="N108" i="6"/>
  <c r="O108" i="6"/>
  <c r="P108" i="6"/>
  <c r="Q108" i="6"/>
  <c r="R108" i="6"/>
  <c r="S108" i="6"/>
  <c r="T108" i="6"/>
  <c r="U108" i="6"/>
  <c r="N109" i="6"/>
  <c r="O109" i="6"/>
  <c r="P109" i="6"/>
  <c r="Q109" i="6"/>
  <c r="R109" i="6"/>
  <c r="S109" i="6"/>
  <c r="T109" i="6"/>
  <c r="U109" i="6"/>
  <c r="N110" i="6"/>
  <c r="O110" i="6"/>
  <c r="P110" i="6"/>
  <c r="Q110" i="6"/>
  <c r="R110" i="6"/>
  <c r="S110" i="6"/>
  <c r="T110" i="6"/>
  <c r="U110" i="6"/>
  <c r="N111" i="6"/>
  <c r="O111" i="6"/>
  <c r="P111" i="6"/>
  <c r="Q111" i="6"/>
  <c r="R111" i="6"/>
  <c r="S111" i="6"/>
  <c r="T111" i="6"/>
  <c r="U111" i="6"/>
  <c r="N112" i="6"/>
  <c r="O112" i="6"/>
  <c r="P112" i="6"/>
  <c r="Q112" i="6"/>
  <c r="R112" i="6"/>
  <c r="S112" i="6"/>
  <c r="T112" i="6"/>
  <c r="U112" i="6"/>
  <c r="N113" i="6"/>
  <c r="O113" i="6"/>
  <c r="P113" i="6"/>
  <c r="Q113" i="6"/>
  <c r="R113" i="6"/>
  <c r="S113" i="6"/>
  <c r="T113" i="6"/>
  <c r="U113" i="6"/>
  <c r="N114" i="6"/>
  <c r="O114" i="6"/>
  <c r="P114" i="6"/>
  <c r="Q114" i="6"/>
  <c r="R114" i="6"/>
  <c r="S114" i="6"/>
  <c r="T114" i="6"/>
  <c r="U114" i="6"/>
  <c r="N115" i="6"/>
  <c r="O115" i="6"/>
  <c r="P115" i="6"/>
  <c r="Q115" i="6"/>
  <c r="R115" i="6"/>
  <c r="S115" i="6"/>
  <c r="T115" i="6"/>
  <c r="U115" i="6"/>
  <c r="N116" i="6"/>
  <c r="O116" i="6"/>
  <c r="P116" i="6"/>
  <c r="Q116" i="6"/>
  <c r="R116" i="6"/>
  <c r="S116" i="6"/>
  <c r="T116" i="6"/>
  <c r="U116" i="6"/>
  <c r="N117" i="6"/>
  <c r="O117" i="6"/>
  <c r="P117" i="6"/>
  <c r="Q117" i="6"/>
  <c r="R117" i="6"/>
  <c r="S117" i="6"/>
  <c r="T117" i="6"/>
  <c r="U117" i="6"/>
  <c r="N118" i="6"/>
  <c r="O118" i="6"/>
  <c r="P118" i="6"/>
  <c r="Q118" i="6"/>
  <c r="R118" i="6"/>
  <c r="S118" i="6"/>
  <c r="T118" i="6"/>
  <c r="U118" i="6"/>
  <c r="N119" i="6"/>
  <c r="O119" i="6"/>
  <c r="P119" i="6"/>
  <c r="Q119" i="6"/>
  <c r="R119" i="6"/>
  <c r="S119" i="6"/>
  <c r="T119" i="6"/>
  <c r="U119" i="6"/>
  <c r="N120" i="6"/>
  <c r="O120" i="6"/>
  <c r="P120" i="6"/>
  <c r="Q120" i="6"/>
  <c r="R120" i="6"/>
  <c r="S120" i="6"/>
  <c r="T120" i="6"/>
  <c r="U120" i="6"/>
  <c r="N121" i="6"/>
  <c r="O121" i="6"/>
  <c r="P121" i="6"/>
  <c r="Q121" i="6"/>
  <c r="R121" i="6"/>
  <c r="S121" i="6"/>
  <c r="T121" i="6"/>
  <c r="U121" i="6"/>
  <c r="N122" i="6"/>
  <c r="O122" i="6"/>
  <c r="P122" i="6"/>
  <c r="Q122" i="6"/>
  <c r="R122" i="6"/>
  <c r="S122" i="6"/>
  <c r="T122" i="6"/>
  <c r="U122" i="6"/>
  <c r="N123" i="6"/>
  <c r="O123" i="6"/>
  <c r="P123" i="6"/>
  <c r="Q123" i="6"/>
  <c r="R123" i="6"/>
  <c r="S123" i="6"/>
  <c r="T123" i="6"/>
  <c r="U123" i="6"/>
  <c r="N124" i="6"/>
  <c r="O124" i="6"/>
  <c r="P124" i="6"/>
  <c r="Q124" i="6"/>
  <c r="R124" i="6"/>
  <c r="S124" i="6"/>
  <c r="T124" i="6"/>
  <c r="U124" i="6"/>
  <c r="N125" i="6"/>
  <c r="O125" i="6"/>
  <c r="P125" i="6"/>
  <c r="Q125" i="6"/>
  <c r="R125" i="6"/>
  <c r="S125" i="6"/>
  <c r="T125" i="6"/>
  <c r="U125" i="6"/>
  <c r="N126" i="6"/>
  <c r="O126" i="6"/>
  <c r="P126" i="6"/>
  <c r="Q126" i="6"/>
  <c r="R126" i="6"/>
  <c r="S126" i="6"/>
  <c r="T126" i="6"/>
  <c r="U126" i="6"/>
  <c r="N127" i="6"/>
  <c r="O127" i="6"/>
  <c r="P127" i="6"/>
  <c r="Q127" i="6"/>
  <c r="R127" i="6"/>
  <c r="S127" i="6"/>
  <c r="T127" i="6"/>
  <c r="U127" i="6"/>
  <c r="N128" i="6"/>
  <c r="O128" i="6"/>
  <c r="P128" i="6"/>
  <c r="Q128" i="6"/>
  <c r="R128" i="6"/>
  <c r="S128" i="6"/>
  <c r="T128" i="6"/>
  <c r="U128" i="6"/>
  <c r="N129" i="6"/>
  <c r="O129" i="6"/>
  <c r="P129" i="6"/>
  <c r="Q129" i="6"/>
  <c r="R129" i="6"/>
  <c r="S129" i="6"/>
  <c r="T129" i="6"/>
  <c r="U129" i="6"/>
  <c r="N130" i="6"/>
  <c r="O130" i="6"/>
  <c r="P130" i="6"/>
  <c r="Q130" i="6"/>
  <c r="R130" i="6"/>
  <c r="S130" i="6"/>
  <c r="T130" i="6"/>
  <c r="U130" i="6"/>
  <c r="N131" i="6"/>
  <c r="O131" i="6"/>
  <c r="P131" i="6"/>
  <c r="Q131" i="6"/>
  <c r="R131" i="6"/>
  <c r="S131" i="6"/>
  <c r="T131" i="6"/>
  <c r="U131" i="6"/>
  <c r="N132" i="6"/>
  <c r="O132" i="6"/>
  <c r="P132" i="6"/>
  <c r="Q132" i="6"/>
  <c r="R132" i="6"/>
  <c r="S132" i="6"/>
  <c r="T132" i="6"/>
  <c r="U132" i="6"/>
  <c r="N133" i="6"/>
  <c r="O133" i="6"/>
  <c r="P133" i="6"/>
  <c r="Q133" i="6"/>
  <c r="R133" i="6"/>
  <c r="S133" i="6"/>
  <c r="T133" i="6"/>
  <c r="U133" i="6"/>
  <c r="N134" i="6"/>
  <c r="O134" i="6"/>
  <c r="P134" i="6"/>
  <c r="Q134" i="6"/>
  <c r="R134" i="6"/>
  <c r="S134" i="6"/>
  <c r="T134" i="6"/>
  <c r="U134" i="6"/>
  <c r="N135" i="6"/>
  <c r="O135" i="6"/>
  <c r="P135" i="6"/>
  <c r="Q135" i="6"/>
  <c r="R135" i="6"/>
  <c r="S135" i="6"/>
  <c r="T135" i="6"/>
  <c r="U135" i="6"/>
  <c r="N136" i="6"/>
  <c r="O136" i="6"/>
  <c r="P136" i="6"/>
  <c r="Q136" i="6"/>
  <c r="R136" i="6"/>
  <c r="S136" i="6"/>
  <c r="T136" i="6"/>
  <c r="U136" i="6"/>
  <c r="N137" i="6"/>
  <c r="O137" i="6"/>
  <c r="P137" i="6"/>
  <c r="Q137" i="6"/>
  <c r="R137" i="6"/>
  <c r="S137" i="6"/>
  <c r="T137" i="6"/>
  <c r="U137" i="6"/>
  <c r="N138" i="6"/>
  <c r="O138" i="6"/>
  <c r="P138" i="6"/>
  <c r="Q138" i="6"/>
  <c r="R138" i="6"/>
  <c r="S138" i="6"/>
  <c r="T138" i="6"/>
  <c r="U138" i="6"/>
  <c r="N139" i="6"/>
  <c r="O139" i="6"/>
  <c r="P139" i="6"/>
  <c r="Q139" i="6"/>
  <c r="R139" i="6"/>
  <c r="S139" i="6"/>
  <c r="T139" i="6"/>
  <c r="U139" i="6"/>
  <c r="N140" i="6"/>
  <c r="O140" i="6"/>
  <c r="P140" i="6"/>
  <c r="Q140" i="6"/>
  <c r="R140" i="6"/>
  <c r="S140" i="6"/>
  <c r="T140" i="6"/>
  <c r="U140" i="6"/>
  <c r="N141" i="6"/>
  <c r="O141" i="6"/>
  <c r="P141" i="6"/>
  <c r="Q141" i="6"/>
  <c r="R141" i="6"/>
  <c r="S141" i="6"/>
  <c r="T141" i="6"/>
  <c r="U141" i="6"/>
  <c r="N142" i="6"/>
  <c r="O142" i="6"/>
  <c r="P142" i="6"/>
  <c r="Q142" i="6"/>
  <c r="R142" i="6"/>
  <c r="S142" i="6"/>
  <c r="T142" i="6"/>
  <c r="U142" i="6"/>
  <c r="N143" i="6"/>
  <c r="O143" i="6"/>
  <c r="P143" i="6"/>
  <c r="Q143" i="6"/>
  <c r="R143" i="6"/>
  <c r="S143" i="6"/>
  <c r="T143" i="6"/>
  <c r="U143" i="6"/>
  <c r="N144" i="6"/>
  <c r="O144" i="6"/>
  <c r="P144" i="6"/>
  <c r="Q144" i="6"/>
  <c r="R144" i="6"/>
  <c r="S144" i="6"/>
  <c r="T144" i="6"/>
  <c r="U144" i="6"/>
  <c r="N145" i="6"/>
  <c r="O145" i="6"/>
  <c r="P145" i="6"/>
  <c r="Q145" i="6"/>
  <c r="R145" i="6"/>
  <c r="S145" i="6"/>
  <c r="T145" i="6"/>
  <c r="U145" i="6"/>
  <c r="N146" i="6"/>
  <c r="O146" i="6"/>
  <c r="P146" i="6"/>
  <c r="Q146" i="6"/>
  <c r="R146" i="6"/>
  <c r="S146" i="6"/>
  <c r="T146" i="6"/>
  <c r="U146" i="6"/>
  <c r="N147" i="6"/>
  <c r="O147" i="6"/>
  <c r="P147" i="6"/>
  <c r="Q147" i="6"/>
  <c r="R147" i="6"/>
  <c r="S147" i="6"/>
  <c r="T147" i="6"/>
  <c r="U147" i="6"/>
  <c r="N148" i="6"/>
  <c r="O148" i="6"/>
  <c r="P148" i="6"/>
  <c r="Q148" i="6"/>
  <c r="R148" i="6"/>
  <c r="S148" i="6"/>
  <c r="T148" i="6"/>
  <c r="U148" i="6"/>
  <c r="N149" i="6"/>
  <c r="O149" i="6"/>
  <c r="P149" i="6"/>
  <c r="Q149" i="6"/>
  <c r="R149" i="6"/>
  <c r="S149" i="6"/>
  <c r="T149" i="6"/>
  <c r="U149" i="6"/>
  <c r="N150" i="6"/>
  <c r="O150" i="6"/>
  <c r="P150" i="6"/>
  <c r="Q150" i="6"/>
  <c r="R150" i="6"/>
  <c r="S150" i="6"/>
  <c r="T150" i="6"/>
  <c r="U150" i="6"/>
  <c r="N151" i="6"/>
  <c r="O151" i="6"/>
  <c r="P151" i="6"/>
  <c r="Q151" i="6"/>
  <c r="R151" i="6"/>
  <c r="S151" i="6"/>
  <c r="T151" i="6"/>
  <c r="U151" i="6"/>
  <c r="N152" i="6"/>
  <c r="O152" i="6"/>
  <c r="P152" i="6"/>
  <c r="Q152" i="6"/>
  <c r="R152" i="6"/>
  <c r="S152" i="6"/>
  <c r="T152" i="6"/>
  <c r="U152" i="6"/>
  <c r="N153" i="6"/>
  <c r="O153" i="6"/>
  <c r="P153" i="6"/>
  <c r="Q153" i="6"/>
  <c r="R153" i="6"/>
  <c r="S153" i="6"/>
  <c r="T153" i="6"/>
  <c r="U153" i="6"/>
  <c r="N154" i="6"/>
  <c r="O154" i="6"/>
  <c r="P154" i="6"/>
  <c r="Q154" i="6"/>
  <c r="R154" i="6"/>
  <c r="S154" i="6"/>
  <c r="T154" i="6"/>
  <c r="U154" i="6"/>
  <c r="N155" i="6"/>
  <c r="O155" i="6"/>
  <c r="P155" i="6"/>
  <c r="Q155" i="6"/>
  <c r="R155" i="6"/>
  <c r="S155" i="6"/>
  <c r="T155" i="6"/>
  <c r="U155" i="6"/>
  <c r="N156" i="6"/>
  <c r="O156" i="6"/>
  <c r="P156" i="6"/>
  <c r="Q156" i="6"/>
  <c r="R156" i="6"/>
  <c r="S156" i="6"/>
  <c r="T156" i="6"/>
  <c r="U156" i="6"/>
  <c r="N157" i="6"/>
  <c r="O157" i="6"/>
  <c r="P157" i="6"/>
  <c r="Q157" i="6"/>
  <c r="R157" i="6"/>
  <c r="S157" i="6"/>
  <c r="T157" i="6"/>
  <c r="U157" i="6"/>
  <c r="N158" i="6"/>
  <c r="O158" i="6"/>
  <c r="P158" i="6"/>
  <c r="Q158" i="6"/>
  <c r="R158" i="6"/>
  <c r="S158" i="6"/>
  <c r="T158" i="6"/>
  <c r="U158" i="6"/>
  <c r="N159" i="6"/>
  <c r="O159" i="6"/>
  <c r="P159" i="6"/>
  <c r="Q159" i="6"/>
  <c r="R159" i="6"/>
  <c r="S159" i="6"/>
  <c r="T159" i="6"/>
  <c r="U159" i="6"/>
  <c r="N160" i="6"/>
  <c r="O160" i="6"/>
  <c r="P160" i="6"/>
  <c r="Q160" i="6"/>
  <c r="R160" i="6"/>
  <c r="S160" i="6"/>
  <c r="T160" i="6"/>
  <c r="U160" i="6"/>
  <c r="N161" i="6"/>
  <c r="O161" i="6"/>
  <c r="P161" i="6"/>
  <c r="Q161" i="6"/>
  <c r="R161" i="6"/>
  <c r="S161" i="6"/>
  <c r="T161" i="6"/>
  <c r="U161" i="6"/>
  <c r="N162" i="6"/>
  <c r="O162" i="6"/>
  <c r="P162" i="6"/>
  <c r="Q162" i="6"/>
  <c r="R162" i="6"/>
  <c r="S162" i="6"/>
  <c r="T162" i="6"/>
  <c r="U162" i="6"/>
  <c r="N163" i="6"/>
  <c r="O163" i="6"/>
  <c r="P163" i="6"/>
  <c r="Q163" i="6"/>
  <c r="R163" i="6"/>
  <c r="S163" i="6"/>
  <c r="T163" i="6"/>
  <c r="U163" i="6"/>
  <c r="N164" i="6"/>
  <c r="O164" i="6"/>
  <c r="P164" i="6"/>
  <c r="Q164" i="6"/>
  <c r="R164" i="6"/>
  <c r="S164" i="6"/>
  <c r="T164" i="6"/>
  <c r="U164" i="6"/>
  <c r="N165" i="6"/>
  <c r="O165" i="6"/>
  <c r="P165" i="6"/>
  <c r="Q165" i="6"/>
  <c r="R165" i="6"/>
  <c r="S165" i="6"/>
  <c r="T165" i="6"/>
  <c r="U165" i="6"/>
  <c r="N166" i="6"/>
  <c r="O166" i="6"/>
  <c r="P166" i="6"/>
  <c r="Q166" i="6"/>
  <c r="R166" i="6"/>
  <c r="S166" i="6"/>
  <c r="T166" i="6"/>
  <c r="U166" i="6"/>
  <c r="N167" i="6"/>
  <c r="O167" i="6"/>
  <c r="P167" i="6"/>
  <c r="Q167" i="6"/>
  <c r="R167" i="6"/>
  <c r="S167" i="6"/>
  <c r="T167" i="6"/>
  <c r="U167" i="6"/>
  <c r="N168" i="6"/>
  <c r="O168" i="6"/>
  <c r="P168" i="6"/>
  <c r="Q168" i="6"/>
  <c r="R168" i="6"/>
  <c r="S168" i="6"/>
  <c r="T168" i="6"/>
  <c r="U168" i="6"/>
  <c r="N169" i="6"/>
  <c r="O169" i="6"/>
  <c r="P169" i="6"/>
  <c r="Q169" i="6"/>
  <c r="R169" i="6"/>
  <c r="S169" i="6"/>
  <c r="T169" i="6"/>
  <c r="U169" i="6"/>
  <c r="N170" i="6"/>
  <c r="O170" i="6"/>
  <c r="P170" i="6"/>
  <c r="Q170" i="6"/>
  <c r="R170" i="6"/>
  <c r="S170" i="6"/>
  <c r="T170" i="6"/>
  <c r="U170" i="6"/>
  <c r="N171" i="6"/>
  <c r="O171" i="6"/>
  <c r="P171" i="6"/>
  <c r="Q171" i="6"/>
  <c r="R171" i="6"/>
  <c r="S171" i="6"/>
  <c r="T171" i="6"/>
  <c r="U171" i="6"/>
  <c r="N172" i="6"/>
  <c r="O172" i="6"/>
  <c r="P172" i="6"/>
  <c r="Q172" i="6"/>
  <c r="R172" i="6"/>
  <c r="S172" i="6"/>
  <c r="T172" i="6"/>
  <c r="U172" i="6"/>
  <c r="N173" i="6"/>
  <c r="O173" i="6"/>
  <c r="P173" i="6"/>
  <c r="Q173" i="6"/>
  <c r="R173" i="6"/>
  <c r="S173" i="6"/>
  <c r="T173" i="6"/>
  <c r="U173" i="6"/>
  <c r="N174" i="6"/>
  <c r="O174" i="6"/>
  <c r="P174" i="6"/>
  <c r="Q174" i="6"/>
  <c r="R174" i="6"/>
  <c r="S174" i="6"/>
  <c r="T174" i="6"/>
  <c r="U174" i="6"/>
  <c r="N175" i="6"/>
  <c r="O175" i="6"/>
  <c r="P175" i="6"/>
  <c r="Q175" i="6"/>
  <c r="R175" i="6"/>
  <c r="S175" i="6"/>
  <c r="T175" i="6"/>
  <c r="U175" i="6"/>
  <c r="N176" i="6"/>
  <c r="O176" i="6"/>
  <c r="P176" i="6"/>
  <c r="Q176" i="6"/>
  <c r="R176" i="6"/>
  <c r="S176" i="6"/>
  <c r="T176" i="6"/>
  <c r="U176" i="6"/>
  <c r="N177" i="6"/>
  <c r="O177" i="6"/>
  <c r="P177" i="6"/>
  <c r="Q177" i="6"/>
  <c r="R177" i="6"/>
  <c r="S177" i="6"/>
  <c r="T177" i="6"/>
  <c r="U177" i="6"/>
  <c r="N178" i="6"/>
  <c r="O178" i="6"/>
  <c r="P178" i="6"/>
  <c r="Q178" i="6"/>
  <c r="R178" i="6"/>
  <c r="S178" i="6"/>
  <c r="T178" i="6"/>
  <c r="U178" i="6"/>
  <c r="N179" i="6"/>
  <c r="O179" i="6"/>
  <c r="P179" i="6"/>
  <c r="Q179" i="6"/>
  <c r="R179" i="6"/>
  <c r="S179" i="6"/>
  <c r="T179" i="6"/>
  <c r="U179" i="6"/>
  <c r="N180" i="6"/>
  <c r="O180" i="6"/>
  <c r="P180" i="6"/>
  <c r="Q180" i="6"/>
  <c r="R180" i="6"/>
  <c r="S180" i="6"/>
  <c r="T180" i="6"/>
  <c r="U180" i="6"/>
  <c r="N181" i="6"/>
  <c r="O181" i="6"/>
  <c r="P181" i="6"/>
  <c r="Q181" i="6"/>
  <c r="R181" i="6"/>
  <c r="S181" i="6"/>
  <c r="T181" i="6"/>
  <c r="U181" i="6"/>
  <c r="N182" i="6"/>
  <c r="O182" i="6"/>
  <c r="P182" i="6"/>
  <c r="Q182" i="6"/>
  <c r="R182" i="6"/>
  <c r="S182" i="6"/>
  <c r="T182" i="6"/>
  <c r="U182" i="6"/>
  <c r="N183" i="6"/>
  <c r="O183" i="6"/>
  <c r="P183" i="6"/>
  <c r="Q183" i="6"/>
  <c r="R183" i="6"/>
  <c r="S183" i="6"/>
  <c r="T183" i="6"/>
  <c r="U183" i="6"/>
  <c r="N184" i="6"/>
  <c r="O184" i="6"/>
  <c r="P184" i="6"/>
  <c r="Q184" i="6"/>
  <c r="R184" i="6"/>
  <c r="S184" i="6"/>
  <c r="T184" i="6"/>
  <c r="U184" i="6"/>
  <c r="N185" i="6"/>
  <c r="O185" i="6"/>
  <c r="P185" i="6"/>
  <c r="Q185" i="6"/>
  <c r="R185" i="6"/>
  <c r="S185" i="6"/>
  <c r="T185" i="6"/>
  <c r="U185" i="6"/>
  <c r="N186" i="6"/>
  <c r="O186" i="6"/>
  <c r="P186" i="6"/>
  <c r="Q186" i="6"/>
  <c r="R186" i="6"/>
  <c r="S186" i="6"/>
  <c r="T186" i="6"/>
  <c r="U186" i="6"/>
  <c r="N187" i="6"/>
  <c r="O187" i="6"/>
  <c r="P187" i="6"/>
  <c r="Q187" i="6"/>
  <c r="R187" i="6"/>
  <c r="S187" i="6"/>
  <c r="T187" i="6"/>
  <c r="U187" i="6"/>
  <c r="N188" i="6"/>
  <c r="O188" i="6"/>
  <c r="P188" i="6"/>
  <c r="Q188" i="6"/>
  <c r="R188" i="6"/>
  <c r="S188" i="6"/>
  <c r="T188" i="6"/>
  <c r="U188" i="6"/>
  <c r="N189" i="6"/>
  <c r="O189" i="6"/>
  <c r="P189" i="6"/>
  <c r="Q189" i="6"/>
  <c r="R189" i="6"/>
  <c r="S189" i="6"/>
  <c r="T189" i="6"/>
  <c r="U189" i="6"/>
  <c r="N190" i="6"/>
  <c r="O190" i="6"/>
  <c r="P190" i="6"/>
  <c r="Q190" i="6"/>
  <c r="R190" i="6"/>
  <c r="S190" i="6"/>
  <c r="T190" i="6"/>
  <c r="U190" i="6"/>
  <c r="N191" i="6"/>
  <c r="O191" i="6"/>
  <c r="P191" i="6"/>
  <c r="Q191" i="6"/>
  <c r="R191" i="6"/>
  <c r="S191" i="6"/>
  <c r="T191" i="6"/>
  <c r="U191" i="6"/>
  <c r="N192" i="6"/>
  <c r="O192" i="6"/>
  <c r="P192" i="6"/>
  <c r="Q192" i="6"/>
  <c r="R192" i="6"/>
  <c r="S192" i="6"/>
  <c r="T192" i="6"/>
  <c r="U192" i="6"/>
  <c r="N193" i="6"/>
  <c r="O193" i="6"/>
  <c r="P193" i="6"/>
  <c r="Q193" i="6"/>
  <c r="R193" i="6"/>
  <c r="S193" i="6"/>
  <c r="T193" i="6"/>
  <c r="U193" i="6"/>
  <c r="N194" i="6"/>
  <c r="O194" i="6"/>
  <c r="P194" i="6"/>
  <c r="Q194" i="6"/>
  <c r="R194" i="6"/>
  <c r="S194" i="6"/>
  <c r="T194" i="6"/>
  <c r="U194" i="6"/>
  <c r="N195" i="6"/>
  <c r="O195" i="6"/>
  <c r="P195" i="6"/>
  <c r="Q195" i="6"/>
  <c r="R195" i="6"/>
  <c r="S195" i="6"/>
  <c r="T195" i="6"/>
  <c r="U195" i="6"/>
  <c r="N196" i="6"/>
  <c r="O196" i="6"/>
  <c r="P196" i="6"/>
  <c r="Q196" i="6"/>
  <c r="R196" i="6"/>
  <c r="S196" i="6"/>
  <c r="T196" i="6"/>
  <c r="U196" i="6"/>
  <c r="N197" i="6"/>
  <c r="O197" i="6"/>
  <c r="P197" i="6"/>
  <c r="Q197" i="6"/>
  <c r="R197" i="6"/>
  <c r="S197" i="6"/>
  <c r="T197" i="6"/>
  <c r="U197" i="6"/>
  <c r="N198" i="6"/>
  <c r="O198" i="6"/>
  <c r="P198" i="6"/>
  <c r="Q198" i="6"/>
  <c r="R198" i="6"/>
  <c r="S198" i="6"/>
  <c r="T198" i="6"/>
  <c r="U198" i="6"/>
  <c r="N199" i="6"/>
  <c r="O199" i="6"/>
  <c r="P199" i="6"/>
  <c r="Q199" i="6"/>
  <c r="R199" i="6"/>
  <c r="S199" i="6"/>
  <c r="T199" i="6"/>
  <c r="U199" i="6"/>
  <c r="N200" i="6"/>
  <c r="O200" i="6"/>
  <c r="P200" i="6"/>
  <c r="Q200" i="6"/>
  <c r="R200" i="6"/>
  <c r="S200" i="6"/>
  <c r="T200" i="6"/>
  <c r="U200" i="6"/>
  <c r="N201" i="6"/>
  <c r="O201" i="6"/>
  <c r="P201" i="6"/>
  <c r="Q201" i="6"/>
  <c r="R201" i="6"/>
  <c r="S201" i="6"/>
  <c r="T201" i="6"/>
  <c r="U201" i="6"/>
  <c r="N202" i="6"/>
  <c r="O202" i="6"/>
  <c r="P202" i="6"/>
  <c r="Q202" i="6"/>
  <c r="R202" i="6"/>
  <c r="S202" i="6"/>
  <c r="T202" i="6"/>
  <c r="U202" i="6"/>
  <c r="N203" i="6"/>
  <c r="O203" i="6"/>
  <c r="P203" i="6"/>
  <c r="Q203" i="6"/>
  <c r="R203" i="6"/>
  <c r="S203" i="6"/>
  <c r="T203" i="6"/>
  <c r="U203" i="6"/>
  <c r="N204" i="6"/>
  <c r="O204" i="6"/>
  <c r="P204" i="6"/>
  <c r="Q204" i="6"/>
  <c r="R204" i="6"/>
  <c r="S204" i="6"/>
  <c r="T204" i="6"/>
  <c r="U204" i="6"/>
  <c r="N205" i="6"/>
  <c r="O205" i="6"/>
  <c r="P205" i="6"/>
  <c r="Q205" i="6"/>
  <c r="R205" i="6"/>
  <c r="S205" i="6"/>
  <c r="T205" i="6"/>
  <c r="U205" i="6"/>
  <c r="N206" i="6"/>
  <c r="O206" i="6"/>
  <c r="P206" i="6"/>
  <c r="Q206" i="6"/>
  <c r="R206" i="6"/>
  <c r="S206" i="6"/>
  <c r="T206" i="6"/>
  <c r="U206" i="6"/>
  <c r="N207" i="6"/>
  <c r="O207" i="6"/>
  <c r="P207" i="6"/>
  <c r="Q207" i="6"/>
  <c r="R207" i="6"/>
  <c r="S207" i="6"/>
  <c r="T207" i="6"/>
  <c r="U207" i="6"/>
  <c r="N208" i="6"/>
  <c r="O208" i="6"/>
  <c r="P208" i="6"/>
  <c r="Q208" i="6"/>
  <c r="R208" i="6"/>
  <c r="S208" i="6"/>
  <c r="T208" i="6"/>
  <c r="U208" i="6"/>
  <c r="N209" i="6"/>
  <c r="O209" i="6"/>
  <c r="P209" i="6"/>
  <c r="Q209" i="6"/>
  <c r="R209" i="6"/>
  <c r="S209" i="6"/>
  <c r="T209" i="6"/>
  <c r="U209" i="6"/>
  <c r="N210" i="6"/>
  <c r="O210" i="6"/>
  <c r="P210" i="6"/>
  <c r="Q210" i="6"/>
  <c r="R210" i="6"/>
  <c r="S210" i="6"/>
  <c r="T210" i="6"/>
  <c r="U210" i="6"/>
  <c r="N211" i="6"/>
  <c r="O211" i="6"/>
  <c r="P211" i="6"/>
  <c r="Q211" i="6"/>
  <c r="R211" i="6"/>
  <c r="S211" i="6"/>
  <c r="T211" i="6"/>
  <c r="U211" i="6"/>
  <c r="N212" i="6"/>
  <c r="O212" i="6"/>
  <c r="P212" i="6"/>
  <c r="Q212" i="6"/>
  <c r="R212" i="6"/>
  <c r="S212" i="6"/>
  <c r="T212" i="6"/>
  <c r="U212" i="6"/>
  <c r="N213" i="6"/>
  <c r="O213" i="6"/>
  <c r="P213" i="6"/>
  <c r="Q213" i="6"/>
  <c r="R213" i="6"/>
  <c r="S213" i="6"/>
  <c r="T213" i="6"/>
  <c r="U213" i="6"/>
  <c r="N214" i="6"/>
  <c r="O214" i="6"/>
  <c r="P214" i="6"/>
  <c r="Q214" i="6"/>
  <c r="R214" i="6"/>
  <c r="S214" i="6"/>
  <c r="T214" i="6"/>
  <c r="U214" i="6"/>
  <c r="N215" i="6"/>
  <c r="O215" i="6"/>
  <c r="P215" i="6"/>
  <c r="Q215" i="6"/>
  <c r="R215" i="6"/>
  <c r="S215" i="6"/>
  <c r="T215" i="6"/>
  <c r="U215" i="6"/>
  <c r="N216" i="6"/>
  <c r="O216" i="6"/>
  <c r="P216" i="6"/>
  <c r="Q216" i="6"/>
  <c r="R216" i="6"/>
  <c r="S216" i="6"/>
  <c r="T216" i="6"/>
  <c r="U216" i="6"/>
  <c r="N217" i="6"/>
  <c r="O217" i="6"/>
  <c r="P217" i="6"/>
  <c r="Q217" i="6"/>
  <c r="R217" i="6"/>
  <c r="S217" i="6"/>
  <c r="T217" i="6"/>
  <c r="U217" i="6"/>
  <c r="N218" i="6"/>
  <c r="O218" i="6"/>
  <c r="P218" i="6"/>
  <c r="Q218" i="6"/>
  <c r="R218" i="6"/>
  <c r="S218" i="6"/>
  <c r="T218" i="6"/>
  <c r="U218" i="6"/>
  <c r="N219" i="6"/>
  <c r="O219" i="6"/>
  <c r="P219" i="6"/>
  <c r="Q219" i="6"/>
  <c r="R219" i="6"/>
  <c r="S219" i="6"/>
  <c r="T219" i="6"/>
  <c r="U219" i="6"/>
  <c r="N220" i="6"/>
  <c r="O220" i="6"/>
  <c r="P220" i="6"/>
  <c r="Q220" i="6"/>
  <c r="R220" i="6"/>
  <c r="S220" i="6"/>
  <c r="T220" i="6"/>
  <c r="U220" i="6"/>
  <c r="N221" i="6"/>
  <c r="O221" i="6"/>
  <c r="P221" i="6"/>
  <c r="Q221" i="6"/>
  <c r="R221" i="6"/>
  <c r="S221" i="6"/>
  <c r="T221" i="6"/>
  <c r="U221" i="6"/>
  <c r="N222" i="6"/>
  <c r="O222" i="6"/>
  <c r="P222" i="6"/>
  <c r="Q222" i="6"/>
  <c r="R222" i="6"/>
  <c r="S222" i="6"/>
  <c r="T222" i="6"/>
  <c r="U222" i="6"/>
  <c r="N223" i="6"/>
  <c r="O223" i="6"/>
  <c r="P223" i="6"/>
  <c r="Q223" i="6"/>
  <c r="R223" i="6"/>
  <c r="S223" i="6"/>
  <c r="T223" i="6"/>
  <c r="U223" i="6"/>
  <c r="N224" i="6"/>
  <c r="O224" i="6"/>
  <c r="P224" i="6"/>
  <c r="Q224" i="6"/>
  <c r="R224" i="6"/>
  <c r="S224" i="6"/>
  <c r="T224" i="6"/>
  <c r="U224" i="6"/>
  <c r="N225" i="6"/>
  <c r="O225" i="6"/>
  <c r="P225" i="6"/>
  <c r="Q225" i="6"/>
  <c r="R225" i="6"/>
  <c r="S225" i="6"/>
  <c r="T225" i="6"/>
  <c r="U225" i="6"/>
  <c r="N226" i="6"/>
  <c r="O226" i="6"/>
  <c r="P226" i="6"/>
  <c r="Q226" i="6"/>
  <c r="R226" i="6"/>
  <c r="S226" i="6"/>
  <c r="T226" i="6"/>
  <c r="U226" i="6"/>
  <c r="N227" i="6"/>
  <c r="O227" i="6"/>
  <c r="P227" i="6"/>
  <c r="Q227" i="6"/>
  <c r="R227" i="6"/>
  <c r="S227" i="6"/>
  <c r="T227" i="6"/>
  <c r="U227" i="6"/>
  <c r="N228" i="6"/>
  <c r="O228" i="6"/>
  <c r="P228" i="6"/>
  <c r="Q228" i="6"/>
  <c r="R228" i="6"/>
  <c r="S228" i="6"/>
  <c r="T228" i="6"/>
  <c r="U228" i="6"/>
  <c r="N229" i="6"/>
  <c r="O229" i="6"/>
  <c r="P229" i="6"/>
  <c r="Q229" i="6"/>
  <c r="R229" i="6"/>
  <c r="S229" i="6"/>
  <c r="T229" i="6"/>
  <c r="U229" i="6"/>
  <c r="N230" i="6"/>
  <c r="O230" i="6"/>
  <c r="P230" i="6"/>
  <c r="Q230" i="6"/>
  <c r="R230" i="6"/>
  <c r="S230" i="6"/>
  <c r="T230" i="6"/>
  <c r="U230" i="6"/>
  <c r="N231" i="6"/>
  <c r="O231" i="6"/>
  <c r="P231" i="6"/>
  <c r="Q231" i="6"/>
  <c r="R231" i="6"/>
  <c r="S231" i="6"/>
  <c r="T231" i="6"/>
  <c r="U231" i="6"/>
  <c r="N232" i="6"/>
  <c r="O232" i="6"/>
  <c r="P232" i="6"/>
  <c r="Q232" i="6"/>
  <c r="R232" i="6"/>
  <c r="S232" i="6"/>
  <c r="T232" i="6"/>
  <c r="U232" i="6"/>
  <c r="N233" i="6"/>
  <c r="O233" i="6"/>
  <c r="P233" i="6"/>
  <c r="Q233" i="6"/>
  <c r="R233" i="6"/>
  <c r="S233" i="6"/>
  <c r="T233" i="6"/>
  <c r="U233" i="6"/>
  <c r="N234" i="6"/>
  <c r="O234" i="6"/>
  <c r="P234" i="6"/>
  <c r="Q234" i="6"/>
  <c r="R234" i="6"/>
  <c r="S234" i="6"/>
  <c r="T234" i="6"/>
  <c r="U234" i="6"/>
  <c r="N235" i="6"/>
  <c r="O235" i="6"/>
  <c r="P235" i="6"/>
  <c r="Q235" i="6"/>
  <c r="R235" i="6"/>
  <c r="S235" i="6"/>
  <c r="T235" i="6"/>
  <c r="U235" i="6"/>
  <c r="N236" i="6"/>
  <c r="O236" i="6"/>
  <c r="P236" i="6"/>
  <c r="Q236" i="6"/>
  <c r="R236" i="6"/>
  <c r="S236" i="6"/>
  <c r="T236" i="6"/>
  <c r="U236" i="6"/>
  <c r="N237" i="6"/>
  <c r="O237" i="6"/>
  <c r="P237" i="6"/>
  <c r="Q237" i="6"/>
  <c r="R237" i="6"/>
  <c r="S237" i="6"/>
  <c r="T237" i="6"/>
  <c r="U237" i="6"/>
  <c r="N238" i="6"/>
  <c r="O238" i="6"/>
  <c r="P238" i="6"/>
  <c r="Q238" i="6"/>
  <c r="R238" i="6"/>
  <c r="S238" i="6"/>
  <c r="T238" i="6"/>
  <c r="U238" i="6"/>
  <c r="N239" i="6"/>
  <c r="O239" i="6"/>
  <c r="P239" i="6"/>
  <c r="Q239" i="6"/>
  <c r="R239" i="6"/>
  <c r="S239" i="6"/>
  <c r="T239" i="6"/>
  <c r="U239" i="6"/>
  <c r="N240" i="6"/>
  <c r="O240" i="6"/>
  <c r="P240" i="6"/>
  <c r="Q240" i="6"/>
  <c r="R240" i="6"/>
  <c r="S240" i="6"/>
  <c r="T240" i="6"/>
  <c r="U240" i="6"/>
  <c r="N241" i="6"/>
  <c r="O241" i="6"/>
  <c r="P241" i="6"/>
  <c r="Q241" i="6"/>
  <c r="R241" i="6"/>
  <c r="S241" i="6"/>
  <c r="T241" i="6"/>
  <c r="U241" i="6"/>
  <c r="N242" i="6"/>
  <c r="O242" i="6"/>
  <c r="P242" i="6"/>
  <c r="Q242" i="6"/>
  <c r="R242" i="6"/>
  <c r="S242" i="6"/>
  <c r="T242" i="6"/>
  <c r="U242" i="6"/>
  <c r="N243" i="6"/>
  <c r="O243" i="6"/>
  <c r="P243" i="6"/>
  <c r="Q243" i="6"/>
  <c r="R243" i="6"/>
  <c r="S243" i="6"/>
  <c r="T243" i="6"/>
  <c r="U243" i="6"/>
  <c r="N244" i="6"/>
  <c r="O244" i="6"/>
  <c r="P244" i="6"/>
  <c r="Q244" i="6"/>
  <c r="R244" i="6"/>
  <c r="S244" i="6"/>
  <c r="T244" i="6"/>
  <c r="U244" i="6"/>
  <c r="N245" i="6"/>
  <c r="O245" i="6"/>
  <c r="P245" i="6"/>
  <c r="Q245" i="6"/>
  <c r="R245" i="6"/>
  <c r="S245" i="6"/>
  <c r="T245" i="6"/>
  <c r="U245" i="6"/>
  <c r="N246" i="6"/>
  <c r="O246" i="6"/>
  <c r="P246" i="6"/>
  <c r="Q246" i="6"/>
  <c r="R246" i="6"/>
  <c r="S246" i="6"/>
  <c r="T246" i="6"/>
  <c r="U246" i="6"/>
  <c r="N247" i="6"/>
  <c r="O247" i="6"/>
  <c r="P247" i="6"/>
  <c r="Q247" i="6"/>
  <c r="R247" i="6"/>
  <c r="S247" i="6"/>
  <c r="T247" i="6"/>
  <c r="U247" i="6"/>
  <c r="N248" i="6"/>
  <c r="O248" i="6"/>
  <c r="P248" i="6"/>
  <c r="Q248" i="6"/>
  <c r="R248" i="6"/>
  <c r="S248" i="6"/>
  <c r="T248" i="6"/>
  <c r="U248" i="6"/>
  <c r="N249" i="6"/>
  <c r="O249" i="6"/>
  <c r="P249" i="6"/>
  <c r="Q249" i="6"/>
  <c r="R249" i="6"/>
  <c r="S249" i="6"/>
  <c r="T249" i="6"/>
  <c r="U249" i="6"/>
  <c r="N250" i="6"/>
  <c r="O250" i="6"/>
  <c r="P250" i="6"/>
  <c r="Q250" i="6"/>
  <c r="R250" i="6"/>
  <c r="S250" i="6"/>
  <c r="T250" i="6"/>
  <c r="U250" i="6"/>
  <c r="N251" i="6"/>
  <c r="O251" i="6"/>
  <c r="P251" i="6"/>
  <c r="Q251" i="6"/>
  <c r="R251" i="6"/>
  <c r="S251" i="6"/>
  <c r="T251" i="6"/>
  <c r="U251" i="6"/>
  <c r="N252" i="6"/>
  <c r="O252" i="6"/>
  <c r="P252" i="6"/>
  <c r="Q252" i="6"/>
  <c r="R252" i="6"/>
  <c r="S252" i="6"/>
  <c r="T252" i="6"/>
  <c r="U252" i="6"/>
  <c r="N253" i="6"/>
  <c r="O253" i="6"/>
  <c r="P253" i="6"/>
  <c r="Q253" i="6"/>
  <c r="R253" i="6"/>
  <c r="S253" i="6"/>
  <c r="T253" i="6"/>
  <c r="U253" i="6"/>
  <c r="N254" i="6"/>
  <c r="O254" i="6"/>
  <c r="P254" i="6"/>
  <c r="Q254" i="6"/>
  <c r="R254" i="6"/>
  <c r="S254" i="6"/>
  <c r="T254" i="6"/>
  <c r="U254" i="6"/>
  <c r="N255" i="6"/>
  <c r="O255" i="6"/>
  <c r="P255" i="6"/>
  <c r="Q255" i="6"/>
  <c r="R255" i="6"/>
  <c r="S255" i="6"/>
  <c r="T255" i="6"/>
  <c r="U255" i="6"/>
  <c r="N256" i="6"/>
  <c r="O256" i="6"/>
  <c r="P256" i="6"/>
  <c r="Q256" i="6"/>
  <c r="R256" i="6"/>
  <c r="S256" i="6"/>
  <c r="T256" i="6"/>
  <c r="U256" i="6"/>
  <c r="N257" i="6"/>
  <c r="O257" i="6"/>
  <c r="P257" i="6"/>
  <c r="Q257" i="6"/>
  <c r="R257" i="6"/>
  <c r="S257" i="6"/>
  <c r="T257" i="6"/>
  <c r="U257" i="6"/>
  <c r="N258" i="6"/>
  <c r="O258" i="6"/>
  <c r="P258" i="6"/>
  <c r="Q258" i="6"/>
  <c r="R258" i="6"/>
  <c r="S258" i="6"/>
  <c r="T258" i="6"/>
  <c r="U258" i="6"/>
  <c r="N259" i="6"/>
  <c r="O259" i="6"/>
  <c r="P259" i="6"/>
  <c r="Q259" i="6"/>
  <c r="R259" i="6"/>
  <c r="S259" i="6"/>
  <c r="T259" i="6"/>
  <c r="U259" i="6"/>
  <c r="N260" i="6"/>
  <c r="O260" i="6"/>
  <c r="P260" i="6"/>
  <c r="Q260" i="6"/>
  <c r="R260" i="6"/>
  <c r="S260" i="6"/>
  <c r="T260" i="6"/>
  <c r="U260" i="6"/>
  <c r="N261" i="6"/>
  <c r="O261" i="6"/>
  <c r="P261" i="6"/>
  <c r="Q261" i="6"/>
  <c r="R261" i="6"/>
  <c r="S261" i="6"/>
  <c r="T261" i="6"/>
  <c r="U261" i="6"/>
  <c r="N262" i="6"/>
  <c r="O262" i="6"/>
  <c r="P262" i="6"/>
  <c r="Q262" i="6"/>
  <c r="R262" i="6"/>
  <c r="S262" i="6"/>
  <c r="T262" i="6"/>
  <c r="U262" i="6"/>
  <c r="N263" i="6"/>
  <c r="O263" i="6"/>
  <c r="P263" i="6"/>
  <c r="Q263" i="6"/>
  <c r="R263" i="6"/>
  <c r="S263" i="6"/>
  <c r="T263" i="6"/>
  <c r="U263" i="6"/>
  <c r="N264" i="6"/>
  <c r="O264" i="6"/>
  <c r="P264" i="6"/>
  <c r="Q264" i="6"/>
  <c r="R264" i="6"/>
  <c r="S264" i="6"/>
  <c r="T264" i="6"/>
  <c r="U264" i="6"/>
  <c r="N265" i="6"/>
  <c r="O265" i="6"/>
  <c r="P265" i="6"/>
  <c r="Q265" i="6"/>
  <c r="R265" i="6"/>
  <c r="S265" i="6"/>
  <c r="T265" i="6"/>
  <c r="U265" i="6"/>
  <c r="N266" i="6"/>
  <c r="O266" i="6"/>
  <c r="P266" i="6"/>
  <c r="Q266" i="6"/>
  <c r="R266" i="6"/>
  <c r="S266" i="6"/>
  <c r="T266" i="6"/>
  <c r="U266" i="6"/>
  <c r="N267" i="6"/>
  <c r="O267" i="6"/>
  <c r="P267" i="6"/>
  <c r="Q267" i="6"/>
  <c r="R267" i="6"/>
  <c r="S267" i="6"/>
  <c r="T267" i="6"/>
  <c r="U267" i="6"/>
  <c r="N268" i="6"/>
  <c r="O268" i="6"/>
  <c r="P268" i="6"/>
  <c r="Q268" i="6"/>
  <c r="R268" i="6"/>
  <c r="S268" i="6"/>
  <c r="T268" i="6"/>
  <c r="U268" i="6"/>
  <c r="N269" i="6"/>
  <c r="O269" i="6"/>
  <c r="P269" i="6"/>
  <c r="Q269" i="6"/>
  <c r="R269" i="6"/>
  <c r="S269" i="6"/>
  <c r="T269" i="6"/>
  <c r="U269" i="6"/>
  <c r="N270" i="6"/>
  <c r="O270" i="6"/>
  <c r="P270" i="6"/>
  <c r="Q270" i="6"/>
  <c r="R270" i="6"/>
  <c r="S270" i="6"/>
  <c r="T270" i="6"/>
  <c r="U270" i="6"/>
  <c r="N271" i="6"/>
  <c r="O271" i="6"/>
  <c r="P271" i="6"/>
  <c r="Q271" i="6"/>
  <c r="R271" i="6"/>
  <c r="S271" i="6"/>
  <c r="T271" i="6"/>
  <c r="U271" i="6"/>
  <c r="N272" i="6"/>
  <c r="O272" i="6"/>
  <c r="P272" i="6"/>
  <c r="Q272" i="6"/>
  <c r="R272" i="6"/>
  <c r="S272" i="6"/>
  <c r="T272" i="6"/>
  <c r="U272" i="6"/>
  <c r="N273" i="6"/>
  <c r="O273" i="6"/>
  <c r="P273" i="6"/>
  <c r="Q273" i="6"/>
  <c r="R273" i="6"/>
  <c r="S273" i="6"/>
  <c r="T273" i="6"/>
  <c r="U273" i="6"/>
  <c r="N274" i="6"/>
  <c r="O274" i="6"/>
  <c r="P274" i="6"/>
  <c r="Q274" i="6"/>
  <c r="R274" i="6"/>
  <c r="S274" i="6"/>
  <c r="T274" i="6"/>
  <c r="U274" i="6"/>
  <c r="N275" i="6"/>
  <c r="O275" i="6"/>
  <c r="P275" i="6"/>
  <c r="Q275" i="6"/>
  <c r="R275" i="6"/>
  <c r="S275" i="6"/>
  <c r="T275" i="6"/>
  <c r="U275" i="6"/>
  <c r="N276" i="6"/>
  <c r="O276" i="6"/>
  <c r="P276" i="6"/>
  <c r="Q276" i="6"/>
  <c r="R276" i="6"/>
  <c r="S276" i="6"/>
  <c r="T276" i="6"/>
  <c r="U276" i="6"/>
  <c r="N277" i="6"/>
  <c r="O277" i="6"/>
  <c r="P277" i="6"/>
  <c r="Q277" i="6"/>
  <c r="R277" i="6"/>
  <c r="S277" i="6"/>
  <c r="T277" i="6"/>
  <c r="U277" i="6"/>
  <c r="N278" i="6"/>
  <c r="O278" i="6"/>
  <c r="P278" i="6"/>
  <c r="Q278" i="6"/>
  <c r="R278" i="6"/>
  <c r="S278" i="6"/>
  <c r="T278" i="6"/>
  <c r="U278" i="6"/>
  <c r="N279" i="6"/>
  <c r="O279" i="6"/>
  <c r="P279" i="6"/>
  <c r="Q279" i="6"/>
  <c r="R279" i="6"/>
  <c r="S279" i="6"/>
  <c r="T279" i="6"/>
  <c r="U279" i="6"/>
  <c r="N280" i="6"/>
  <c r="O280" i="6"/>
  <c r="P280" i="6"/>
  <c r="Q280" i="6"/>
  <c r="R280" i="6"/>
  <c r="S280" i="6"/>
  <c r="T280" i="6"/>
  <c r="U280" i="6"/>
  <c r="N281" i="6"/>
  <c r="O281" i="6"/>
  <c r="P281" i="6"/>
  <c r="Q281" i="6"/>
  <c r="R281" i="6"/>
  <c r="S281" i="6"/>
  <c r="T281" i="6"/>
  <c r="U281" i="6"/>
  <c r="N282" i="6"/>
  <c r="O282" i="6"/>
  <c r="P282" i="6"/>
  <c r="Q282" i="6"/>
  <c r="R282" i="6"/>
  <c r="S282" i="6"/>
  <c r="T282" i="6"/>
  <c r="U282" i="6"/>
  <c r="N283" i="6"/>
  <c r="O283" i="6"/>
  <c r="P283" i="6"/>
  <c r="Q283" i="6"/>
  <c r="R283" i="6"/>
  <c r="S283" i="6"/>
  <c r="T283" i="6"/>
  <c r="U283" i="6"/>
  <c r="N284" i="6"/>
  <c r="O284" i="6"/>
  <c r="P284" i="6"/>
  <c r="Q284" i="6"/>
  <c r="R284" i="6"/>
  <c r="S284" i="6"/>
  <c r="T284" i="6"/>
  <c r="U284" i="6"/>
  <c r="N285" i="6"/>
  <c r="O285" i="6"/>
  <c r="P285" i="6"/>
  <c r="Q285" i="6"/>
  <c r="R285" i="6"/>
  <c r="S285" i="6"/>
  <c r="T285" i="6"/>
  <c r="U285" i="6"/>
  <c r="N286" i="6"/>
  <c r="O286" i="6"/>
  <c r="P286" i="6"/>
  <c r="Q286" i="6"/>
  <c r="R286" i="6"/>
  <c r="S286" i="6"/>
  <c r="T286" i="6"/>
  <c r="U286" i="6"/>
  <c r="N287" i="6"/>
  <c r="O287" i="6"/>
  <c r="P287" i="6"/>
  <c r="Q287" i="6"/>
  <c r="R287" i="6"/>
  <c r="S287" i="6"/>
  <c r="T287" i="6"/>
  <c r="U287" i="6"/>
  <c r="N288" i="6"/>
  <c r="O288" i="6"/>
  <c r="P288" i="6"/>
  <c r="Q288" i="6"/>
  <c r="R288" i="6"/>
  <c r="S288" i="6"/>
  <c r="T288" i="6"/>
  <c r="U288" i="6"/>
  <c r="N289" i="6"/>
  <c r="O289" i="6"/>
  <c r="P289" i="6"/>
  <c r="Q289" i="6"/>
  <c r="R289" i="6"/>
  <c r="S289" i="6"/>
  <c r="T289" i="6"/>
  <c r="U289" i="6"/>
  <c r="N290" i="6"/>
  <c r="O290" i="6"/>
  <c r="P290" i="6"/>
  <c r="Q290" i="6"/>
  <c r="R290" i="6"/>
  <c r="S290" i="6"/>
  <c r="T290" i="6"/>
  <c r="U290" i="6"/>
  <c r="N291" i="6"/>
  <c r="O291" i="6"/>
  <c r="P291" i="6"/>
  <c r="Q291" i="6"/>
  <c r="R291" i="6"/>
  <c r="S291" i="6"/>
  <c r="T291" i="6"/>
  <c r="U291" i="6"/>
  <c r="N292" i="6"/>
  <c r="O292" i="6"/>
  <c r="P292" i="6"/>
  <c r="Q292" i="6"/>
  <c r="R292" i="6"/>
  <c r="S292" i="6"/>
  <c r="T292" i="6"/>
  <c r="U292" i="6"/>
  <c r="N293" i="6"/>
  <c r="O293" i="6"/>
  <c r="P293" i="6"/>
  <c r="Q293" i="6"/>
  <c r="R293" i="6"/>
  <c r="S293" i="6"/>
  <c r="T293" i="6"/>
  <c r="U293" i="6"/>
  <c r="N294" i="6"/>
  <c r="O294" i="6"/>
  <c r="P294" i="6"/>
  <c r="Q294" i="6"/>
  <c r="R294" i="6"/>
  <c r="S294" i="6"/>
  <c r="T294" i="6"/>
  <c r="U294" i="6"/>
  <c r="N295" i="6"/>
  <c r="O295" i="6"/>
  <c r="P295" i="6"/>
  <c r="Q295" i="6"/>
  <c r="R295" i="6"/>
  <c r="S295" i="6"/>
  <c r="T295" i="6"/>
  <c r="U295" i="6"/>
  <c r="N296" i="6"/>
  <c r="O296" i="6"/>
  <c r="P296" i="6"/>
  <c r="Q296" i="6"/>
  <c r="R296" i="6"/>
  <c r="S296" i="6"/>
  <c r="T296" i="6"/>
  <c r="U296" i="6"/>
  <c r="N297" i="6"/>
  <c r="O297" i="6"/>
  <c r="P297" i="6"/>
  <c r="Q297" i="6"/>
  <c r="R297" i="6"/>
  <c r="S297" i="6"/>
  <c r="T297" i="6"/>
  <c r="U297" i="6"/>
  <c r="N298" i="6"/>
  <c r="O298" i="6"/>
  <c r="P298" i="6"/>
  <c r="Q298" i="6"/>
  <c r="R298" i="6"/>
  <c r="S298" i="6"/>
  <c r="T298" i="6"/>
  <c r="U298" i="6"/>
  <c r="N299" i="6"/>
  <c r="O299" i="6"/>
  <c r="P299" i="6"/>
  <c r="Q299" i="6"/>
  <c r="R299" i="6"/>
  <c r="S299" i="6"/>
  <c r="T299" i="6"/>
  <c r="U299" i="6"/>
  <c r="N300" i="6"/>
  <c r="O300" i="6"/>
  <c r="P300" i="6"/>
  <c r="Q300" i="6"/>
  <c r="R300" i="6"/>
  <c r="S300" i="6"/>
  <c r="T300" i="6"/>
  <c r="U300" i="6"/>
  <c r="N301" i="6"/>
  <c r="O301" i="6"/>
  <c r="P301" i="6"/>
  <c r="Q301" i="6"/>
  <c r="R301" i="6"/>
  <c r="S301" i="6"/>
  <c r="T301" i="6"/>
  <c r="U301" i="6"/>
  <c r="N302" i="6"/>
  <c r="O302" i="6"/>
  <c r="P302" i="6"/>
  <c r="Q302" i="6"/>
  <c r="R302" i="6"/>
  <c r="S302" i="6"/>
  <c r="T302" i="6"/>
  <c r="U302" i="6"/>
  <c r="N303" i="6"/>
  <c r="O303" i="6"/>
  <c r="P303" i="6"/>
  <c r="Q303" i="6"/>
  <c r="R303" i="6"/>
  <c r="S303" i="6"/>
  <c r="T303" i="6"/>
  <c r="U303" i="6"/>
  <c r="N304" i="6"/>
  <c r="O304" i="6"/>
  <c r="P304" i="6"/>
  <c r="Q304" i="6"/>
  <c r="R304" i="6"/>
  <c r="S304" i="6"/>
  <c r="T304" i="6"/>
  <c r="U304" i="6"/>
  <c r="N305" i="6"/>
  <c r="O305" i="6"/>
  <c r="P305" i="6"/>
  <c r="Q305" i="6"/>
  <c r="R305" i="6"/>
  <c r="S305" i="6"/>
  <c r="T305" i="6"/>
  <c r="U305" i="6"/>
  <c r="N306" i="6"/>
  <c r="O306" i="6"/>
  <c r="P306" i="6"/>
  <c r="Q306" i="6"/>
  <c r="R306" i="6"/>
  <c r="S306" i="6"/>
  <c r="T306" i="6"/>
  <c r="U306" i="6"/>
  <c r="N307" i="6"/>
  <c r="O307" i="6"/>
  <c r="P307" i="6"/>
  <c r="Q307" i="6"/>
  <c r="R307" i="6"/>
  <c r="S307" i="6"/>
  <c r="T307" i="6"/>
  <c r="U307" i="6"/>
  <c r="N308" i="6"/>
  <c r="O308" i="6"/>
  <c r="P308" i="6"/>
  <c r="Q308" i="6"/>
  <c r="R308" i="6"/>
  <c r="S308" i="6"/>
  <c r="T308" i="6"/>
  <c r="U308" i="6"/>
  <c r="N309" i="6"/>
  <c r="O309" i="6"/>
  <c r="P309" i="6"/>
  <c r="Q309" i="6"/>
  <c r="R309" i="6"/>
  <c r="S309" i="6"/>
  <c r="T309" i="6"/>
  <c r="U309" i="6"/>
  <c r="O10" i="6"/>
  <c r="P10" i="6"/>
  <c r="Q10" i="6"/>
  <c r="R10" i="6"/>
  <c r="S10" i="6"/>
  <c r="T10" i="6"/>
  <c r="U10" i="6"/>
  <c r="N10" i="6"/>
  <c r="N11" i="5"/>
  <c r="O11" i="5"/>
  <c r="P11" i="5"/>
  <c r="Q11" i="5"/>
  <c r="R11" i="5"/>
  <c r="S11" i="5"/>
  <c r="T11" i="5"/>
  <c r="U11" i="5"/>
  <c r="V11" i="5"/>
  <c r="W11" i="5"/>
  <c r="N12" i="5"/>
  <c r="O12" i="5"/>
  <c r="P12" i="5"/>
  <c r="Q12" i="5"/>
  <c r="R12" i="5"/>
  <c r="S12" i="5"/>
  <c r="T12" i="5"/>
  <c r="U12" i="5"/>
  <c r="V12" i="5"/>
  <c r="W12" i="5"/>
  <c r="N13" i="5"/>
  <c r="O13" i="5"/>
  <c r="P13" i="5"/>
  <c r="Q13" i="5"/>
  <c r="R13" i="5"/>
  <c r="S13" i="5"/>
  <c r="T13" i="5"/>
  <c r="U13" i="5"/>
  <c r="V13" i="5"/>
  <c r="W13" i="5"/>
  <c r="N14" i="5"/>
  <c r="O14" i="5"/>
  <c r="P14" i="5"/>
  <c r="Q14" i="5"/>
  <c r="R14" i="5"/>
  <c r="S14" i="5"/>
  <c r="T14" i="5"/>
  <c r="U14" i="5"/>
  <c r="V14" i="5"/>
  <c r="W14" i="5"/>
  <c r="N15" i="5"/>
  <c r="O15" i="5"/>
  <c r="P15" i="5"/>
  <c r="Q15" i="5"/>
  <c r="R15" i="5"/>
  <c r="S15" i="5"/>
  <c r="T15" i="5"/>
  <c r="U15" i="5"/>
  <c r="V15" i="5"/>
  <c r="W15" i="5"/>
  <c r="N16" i="5"/>
  <c r="O16" i="5"/>
  <c r="P16" i="5"/>
  <c r="Q16" i="5"/>
  <c r="R16" i="5"/>
  <c r="S16" i="5"/>
  <c r="T16" i="5"/>
  <c r="U16" i="5"/>
  <c r="V16" i="5"/>
  <c r="W16" i="5"/>
  <c r="N17" i="5"/>
  <c r="O17" i="5"/>
  <c r="P17" i="5"/>
  <c r="Q17" i="5"/>
  <c r="R17" i="5"/>
  <c r="S17" i="5"/>
  <c r="T17" i="5"/>
  <c r="U17" i="5"/>
  <c r="V17" i="5"/>
  <c r="W17" i="5"/>
  <c r="N18" i="5"/>
  <c r="O18" i="5"/>
  <c r="P18" i="5"/>
  <c r="Q18" i="5"/>
  <c r="R18" i="5"/>
  <c r="S18" i="5"/>
  <c r="T18" i="5"/>
  <c r="U18" i="5"/>
  <c r="V18" i="5"/>
  <c r="W18" i="5"/>
  <c r="N19" i="5"/>
  <c r="O19" i="5"/>
  <c r="P19" i="5"/>
  <c r="Q19" i="5"/>
  <c r="R19" i="5"/>
  <c r="S19" i="5"/>
  <c r="T19" i="5"/>
  <c r="U19" i="5"/>
  <c r="V19" i="5"/>
  <c r="W19" i="5"/>
  <c r="N20" i="5"/>
  <c r="O20" i="5"/>
  <c r="P20" i="5"/>
  <c r="Q20" i="5"/>
  <c r="R20" i="5"/>
  <c r="S20" i="5"/>
  <c r="T20" i="5"/>
  <c r="U20" i="5"/>
  <c r="V20" i="5"/>
  <c r="W20" i="5"/>
  <c r="N21" i="5"/>
  <c r="O21" i="5"/>
  <c r="P21" i="5"/>
  <c r="Q21" i="5"/>
  <c r="R21" i="5"/>
  <c r="S21" i="5"/>
  <c r="T21" i="5"/>
  <c r="U21" i="5"/>
  <c r="V21" i="5"/>
  <c r="W21" i="5"/>
  <c r="N22" i="5"/>
  <c r="O22" i="5"/>
  <c r="P22" i="5"/>
  <c r="Q22" i="5"/>
  <c r="R22" i="5"/>
  <c r="S22" i="5"/>
  <c r="T22" i="5"/>
  <c r="U22" i="5"/>
  <c r="V22" i="5"/>
  <c r="W22" i="5"/>
  <c r="N23" i="5"/>
  <c r="O23" i="5"/>
  <c r="P23" i="5"/>
  <c r="Q23" i="5"/>
  <c r="R23" i="5"/>
  <c r="S23" i="5"/>
  <c r="T23" i="5"/>
  <c r="U23" i="5"/>
  <c r="V23" i="5"/>
  <c r="W23" i="5"/>
  <c r="N24" i="5"/>
  <c r="O24" i="5"/>
  <c r="P24" i="5"/>
  <c r="Q24" i="5"/>
  <c r="R24" i="5"/>
  <c r="S24" i="5"/>
  <c r="T24" i="5"/>
  <c r="U24" i="5"/>
  <c r="V24" i="5"/>
  <c r="W24" i="5"/>
  <c r="N25" i="5"/>
  <c r="O25" i="5"/>
  <c r="P25" i="5"/>
  <c r="Q25" i="5"/>
  <c r="R25" i="5"/>
  <c r="S25" i="5"/>
  <c r="T25" i="5"/>
  <c r="U25" i="5"/>
  <c r="V25" i="5"/>
  <c r="W25" i="5"/>
  <c r="N26" i="5"/>
  <c r="O26" i="5"/>
  <c r="P26" i="5"/>
  <c r="Q26" i="5"/>
  <c r="R26" i="5"/>
  <c r="S26" i="5"/>
  <c r="T26" i="5"/>
  <c r="U26" i="5"/>
  <c r="V26" i="5"/>
  <c r="W26" i="5"/>
  <c r="N27" i="5"/>
  <c r="O27" i="5"/>
  <c r="P27" i="5"/>
  <c r="Q27" i="5"/>
  <c r="R27" i="5"/>
  <c r="S27" i="5"/>
  <c r="T27" i="5"/>
  <c r="U27" i="5"/>
  <c r="V27" i="5"/>
  <c r="W27" i="5"/>
  <c r="N28" i="5"/>
  <c r="O28" i="5"/>
  <c r="P28" i="5"/>
  <c r="Q28" i="5"/>
  <c r="R28" i="5"/>
  <c r="S28" i="5"/>
  <c r="T28" i="5"/>
  <c r="U28" i="5"/>
  <c r="V28" i="5"/>
  <c r="W28" i="5"/>
  <c r="N29" i="5"/>
  <c r="O29" i="5"/>
  <c r="P29" i="5"/>
  <c r="Q29" i="5"/>
  <c r="R29" i="5"/>
  <c r="S29" i="5"/>
  <c r="T29" i="5"/>
  <c r="U29" i="5"/>
  <c r="V29" i="5"/>
  <c r="W29" i="5"/>
  <c r="N30" i="5"/>
  <c r="O30" i="5"/>
  <c r="P30" i="5"/>
  <c r="Q30" i="5"/>
  <c r="R30" i="5"/>
  <c r="S30" i="5"/>
  <c r="T30" i="5"/>
  <c r="U30" i="5"/>
  <c r="V30" i="5"/>
  <c r="W30" i="5"/>
  <c r="N31" i="5"/>
  <c r="O31" i="5"/>
  <c r="P31" i="5"/>
  <c r="Q31" i="5"/>
  <c r="R31" i="5"/>
  <c r="S31" i="5"/>
  <c r="T31" i="5"/>
  <c r="U31" i="5"/>
  <c r="V31" i="5"/>
  <c r="W31" i="5"/>
  <c r="N32" i="5"/>
  <c r="O32" i="5"/>
  <c r="P32" i="5"/>
  <c r="Q32" i="5"/>
  <c r="R32" i="5"/>
  <c r="S32" i="5"/>
  <c r="T32" i="5"/>
  <c r="U32" i="5"/>
  <c r="V32" i="5"/>
  <c r="W32" i="5"/>
  <c r="N33" i="5"/>
  <c r="O33" i="5"/>
  <c r="P33" i="5"/>
  <c r="Q33" i="5"/>
  <c r="R33" i="5"/>
  <c r="S33" i="5"/>
  <c r="T33" i="5"/>
  <c r="U33" i="5"/>
  <c r="V33" i="5"/>
  <c r="W33" i="5"/>
  <c r="N34" i="5"/>
  <c r="O34" i="5"/>
  <c r="P34" i="5"/>
  <c r="Q34" i="5"/>
  <c r="R34" i="5"/>
  <c r="S34" i="5"/>
  <c r="T34" i="5"/>
  <c r="U34" i="5"/>
  <c r="V34" i="5"/>
  <c r="W34" i="5"/>
  <c r="N35" i="5"/>
  <c r="O35" i="5"/>
  <c r="P35" i="5"/>
  <c r="Q35" i="5"/>
  <c r="R35" i="5"/>
  <c r="S35" i="5"/>
  <c r="T35" i="5"/>
  <c r="U35" i="5"/>
  <c r="V35" i="5"/>
  <c r="W35" i="5"/>
  <c r="N36" i="5"/>
  <c r="O36" i="5"/>
  <c r="P36" i="5"/>
  <c r="Q36" i="5"/>
  <c r="R36" i="5"/>
  <c r="S36" i="5"/>
  <c r="T36" i="5"/>
  <c r="U36" i="5"/>
  <c r="V36" i="5"/>
  <c r="W36" i="5"/>
  <c r="N37" i="5"/>
  <c r="O37" i="5"/>
  <c r="P37" i="5"/>
  <c r="Q37" i="5"/>
  <c r="R37" i="5"/>
  <c r="S37" i="5"/>
  <c r="T37" i="5"/>
  <c r="U37" i="5"/>
  <c r="V37" i="5"/>
  <c r="W37" i="5"/>
  <c r="N38" i="5"/>
  <c r="O38" i="5"/>
  <c r="P38" i="5"/>
  <c r="Q38" i="5"/>
  <c r="R38" i="5"/>
  <c r="S38" i="5"/>
  <c r="T38" i="5"/>
  <c r="U38" i="5"/>
  <c r="V38" i="5"/>
  <c r="W38" i="5"/>
  <c r="N39" i="5"/>
  <c r="O39" i="5"/>
  <c r="P39" i="5"/>
  <c r="Q39" i="5"/>
  <c r="R39" i="5"/>
  <c r="S39" i="5"/>
  <c r="T39" i="5"/>
  <c r="U39" i="5"/>
  <c r="V39" i="5"/>
  <c r="W39" i="5"/>
  <c r="N40" i="5"/>
  <c r="O40" i="5"/>
  <c r="P40" i="5"/>
  <c r="Q40" i="5"/>
  <c r="R40" i="5"/>
  <c r="S40" i="5"/>
  <c r="T40" i="5"/>
  <c r="U40" i="5"/>
  <c r="V40" i="5"/>
  <c r="W40" i="5"/>
  <c r="N41" i="5"/>
  <c r="O41" i="5"/>
  <c r="P41" i="5"/>
  <c r="Q41" i="5"/>
  <c r="R41" i="5"/>
  <c r="S41" i="5"/>
  <c r="T41" i="5"/>
  <c r="U41" i="5"/>
  <c r="V41" i="5"/>
  <c r="W41" i="5"/>
  <c r="N42" i="5"/>
  <c r="O42" i="5"/>
  <c r="P42" i="5"/>
  <c r="Q42" i="5"/>
  <c r="R42" i="5"/>
  <c r="S42" i="5"/>
  <c r="T42" i="5"/>
  <c r="U42" i="5"/>
  <c r="V42" i="5"/>
  <c r="W42" i="5"/>
  <c r="N43" i="5"/>
  <c r="O43" i="5"/>
  <c r="P43" i="5"/>
  <c r="Q43" i="5"/>
  <c r="R43" i="5"/>
  <c r="S43" i="5"/>
  <c r="T43" i="5"/>
  <c r="U43" i="5"/>
  <c r="V43" i="5"/>
  <c r="W43" i="5"/>
  <c r="N44" i="5"/>
  <c r="O44" i="5"/>
  <c r="P44" i="5"/>
  <c r="Q44" i="5"/>
  <c r="R44" i="5"/>
  <c r="S44" i="5"/>
  <c r="T44" i="5"/>
  <c r="U44" i="5"/>
  <c r="V44" i="5"/>
  <c r="W44" i="5"/>
  <c r="N45" i="5"/>
  <c r="O45" i="5"/>
  <c r="P45" i="5"/>
  <c r="Q45" i="5"/>
  <c r="R45" i="5"/>
  <c r="S45" i="5"/>
  <c r="T45" i="5"/>
  <c r="U45" i="5"/>
  <c r="V45" i="5"/>
  <c r="W45" i="5"/>
  <c r="N46" i="5"/>
  <c r="O46" i="5"/>
  <c r="P46" i="5"/>
  <c r="Q46" i="5"/>
  <c r="R46" i="5"/>
  <c r="S46" i="5"/>
  <c r="T46" i="5"/>
  <c r="U46" i="5"/>
  <c r="V46" i="5"/>
  <c r="W46" i="5"/>
  <c r="N47" i="5"/>
  <c r="O47" i="5"/>
  <c r="P47" i="5"/>
  <c r="Q47" i="5"/>
  <c r="R47" i="5"/>
  <c r="S47" i="5"/>
  <c r="T47" i="5"/>
  <c r="U47" i="5"/>
  <c r="V47" i="5"/>
  <c r="W47" i="5"/>
  <c r="N48" i="5"/>
  <c r="O48" i="5"/>
  <c r="P48" i="5"/>
  <c r="Q48" i="5"/>
  <c r="R48" i="5"/>
  <c r="S48" i="5"/>
  <c r="T48" i="5"/>
  <c r="U48" i="5"/>
  <c r="V48" i="5"/>
  <c r="W48" i="5"/>
  <c r="N49" i="5"/>
  <c r="O49" i="5"/>
  <c r="P49" i="5"/>
  <c r="Q49" i="5"/>
  <c r="R49" i="5"/>
  <c r="S49" i="5"/>
  <c r="T49" i="5"/>
  <c r="U49" i="5"/>
  <c r="V49" i="5"/>
  <c r="W49" i="5"/>
  <c r="N50" i="5"/>
  <c r="O50" i="5"/>
  <c r="P50" i="5"/>
  <c r="Q50" i="5"/>
  <c r="R50" i="5"/>
  <c r="S50" i="5"/>
  <c r="T50" i="5"/>
  <c r="U50" i="5"/>
  <c r="V50" i="5"/>
  <c r="W50" i="5"/>
  <c r="N51" i="5"/>
  <c r="O51" i="5"/>
  <c r="P51" i="5"/>
  <c r="Q51" i="5"/>
  <c r="R51" i="5"/>
  <c r="S51" i="5"/>
  <c r="T51" i="5"/>
  <c r="U51" i="5"/>
  <c r="V51" i="5"/>
  <c r="W51" i="5"/>
  <c r="N52" i="5"/>
  <c r="O52" i="5"/>
  <c r="P52" i="5"/>
  <c r="Q52" i="5"/>
  <c r="R52" i="5"/>
  <c r="S52" i="5"/>
  <c r="T52" i="5"/>
  <c r="U52" i="5"/>
  <c r="V52" i="5"/>
  <c r="W52" i="5"/>
  <c r="N53" i="5"/>
  <c r="O53" i="5"/>
  <c r="P53" i="5"/>
  <c r="Q53" i="5"/>
  <c r="R53" i="5"/>
  <c r="S53" i="5"/>
  <c r="T53" i="5"/>
  <c r="U53" i="5"/>
  <c r="V53" i="5"/>
  <c r="W53" i="5"/>
  <c r="N54" i="5"/>
  <c r="O54" i="5"/>
  <c r="P54" i="5"/>
  <c r="Q54" i="5"/>
  <c r="R54" i="5"/>
  <c r="S54" i="5"/>
  <c r="T54" i="5"/>
  <c r="U54" i="5"/>
  <c r="V54" i="5"/>
  <c r="W54" i="5"/>
  <c r="N55" i="5"/>
  <c r="O55" i="5"/>
  <c r="P55" i="5"/>
  <c r="Q55" i="5"/>
  <c r="R55" i="5"/>
  <c r="S55" i="5"/>
  <c r="T55" i="5"/>
  <c r="U55" i="5"/>
  <c r="V55" i="5"/>
  <c r="W55" i="5"/>
  <c r="N56" i="5"/>
  <c r="O56" i="5"/>
  <c r="P56" i="5"/>
  <c r="Q56" i="5"/>
  <c r="R56" i="5"/>
  <c r="S56" i="5"/>
  <c r="T56" i="5"/>
  <c r="U56" i="5"/>
  <c r="V56" i="5"/>
  <c r="W56" i="5"/>
  <c r="N57" i="5"/>
  <c r="O57" i="5"/>
  <c r="P57" i="5"/>
  <c r="Q57" i="5"/>
  <c r="R57" i="5"/>
  <c r="S57" i="5"/>
  <c r="T57" i="5"/>
  <c r="U57" i="5"/>
  <c r="V57" i="5"/>
  <c r="W57" i="5"/>
  <c r="N58" i="5"/>
  <c r="O58" i="5"/>
  <c r="P58" i="5"/>
  <c r="Q58" i="5"/>
  <c r="R58" i="5"/>
  <c r="S58" i="5"/>
  <c r="T58" i="5"/>
  <c r="U58" i="5"/>
  <c r="V58" i="5"/>
  <c r="W58" i="5"/>
  <c r="N59" i="5"/>
  <c r="O59" i="5"/>
  <c r="P59" i="5"/>
  <c r="Q59" i="5"/>
  <c r="R59" i="5"/>
  <c r="S59" i="5"/>
  <c r="T59" i="5"/>
  <c r="U59" i="5"/>
  <c r="V59" i="5"/>
  <c r="W59" i="5"/>
  <c r="N60" i="5"/>
  <c r="O60" i="5"/>
  <c r="P60" i="5"/>
  <c r="Q60" i="5"/>
  <c r="R60" i="5"/>
  <c r="S60" i="5"/>
  <c r="T60" i="5"/>
  <c r="U60" i="5"/>
  <c r="V60" i="5"/>
  <c r="W60" i="5"/>
  <c r="N61" i="5"/>
  <c r="O61" i="5"/>
  <c r="P61" i="5"/>
  <c r="Q61" i="5"/>
  <c r="R61" i="5"/>
  <c r="S61" i="5"/>
  <c r="T61" i="5"/>
  <c r="U61" i="5"/>
  <c r="V61" i="5"/>
  <c r="W61" i="5"/>
  <c r="N62" i="5"/>
  <c r="O62" i="5"/>
  <c r="P62" i="5"/>
  <c r="Q62" i="5"/>
  <c r="R62" i="5"/>
  <c r="S62" i="5"/>
  <c r="T62" i="5"/>
  <c r="U62" i="5"/>
  <c r="V62" i="5"/>
  <c r="W62" i="5"/>
  <c r="N63" i="5"/>
  <c r="O63" i="5"/>
  <c r="P63" i="5"/>
  <c r="Q63" i="5"/>
  <c r="R63" i="5"/>
  <c r="S63" i="5"/>
  <c r="T63" i="5"/>
  <c r="U63" i="5"/>
  <c r="V63" i="5"/>
  <c r="W63" i="5"/>
  <c r="N64" i="5"/>
  <c r="O64" i="5"/>
  <c r="P64" i="5"/>
  <c r="Q64" i="5"/>
  <c r="R64" i="5"/>
  <c r="S64" i="5"/>
  <c r="T64" i="5"/>
  <c r="U64" i="5"/>
  <c r="V64" i="5"/>
  <c r="W64" i="5"/>
  <c r="N65" i="5"/>
  <c r="O65" i="5"/>
  <c r="P65" i="5"/>
  <c r="Q65" i="5"/>
  <c r="R65" i="5"/>
  <c r="S65" i="5"/>
  <c r="T65" i="5"/>
  <c r="U65" i="5"/>
  <c r="V65" i="5"/>
  <c r="W65" i="5"/>
  <c r="N66" i="5"/>
  <c r="O66" i="5"/>
  <c r="P66" i="5"/>
  <c r="Q66" i="5"/>
  <c r="R66" i="5"/>
  <c r="S66" i="5"/>
  <c r="T66" i="5"/>
  <c r="U66" i="5"/>
  <c r="V66" i="5"/>
  <c r="W66" i="5"/>
  <c r="N67" i="5"/>
  <c r="O67" i="5"/>
  <c r="P67" i="5"/>
  <c r="Q67" i="5"/>
  <c r="R67" i="5"/>
  <c r="S67" i="5"/>
  <c r="T67" i="5"/>
  <c r="U67" i="5"/>
  <c r="V67" i="5"/>
  <c r="W67" i="5"/>
  <c r="N68" i="5"/>
  <c r="O68" i="5"/>
  <c r="P68" i="5"/>
  <c r="Q68" i="5"/>
  <c r="R68" i="5"/>
  <c r="S68" i="5"/>
  <c r="T68" i="5"/>
  <c r="U68" i="5"/>
  <c r="V68" i="5"/>
  <c r="W68" i="5"/>
  <c r="N69" i="5"/>
  <c r="O69" i="5"/>
  <c r="P69" i="5"/>
  <c r="Q69" i="5"/>
  <c r="R69" i="5"/>
  <c r="S69" i="5"/>
  <c r="T69" i="5"/>
  <c r="U69" i="5"/>
  <c r="V69" i="5"/>
  <c r="W69" i="5"/>
  <c r="N70" i="5"/>
  <c r="O70" i="5"/>
  <c r="P70" i="5"/>
  <c r="Q70" i="5"/>
  <c r="R70" i="5"/>
  <c r="S70" i="5"/>
  <c r="T70" i="5"/>
  <c r="U70" i="5"/>
  <c r="V70" i="5"/>
  <c r="W70" i="5"/>
  <c r="N71" i="5"/>
  <c r="O71" i="5"/>
  <c r="P71" i="5"/>
  <c r="Q71" i="5"/>
  <c r="R71" i="5"/>
  <c r="S71" i="5"/>
  <c r="T71" i="5"/>
  <c r="U71" i="5"/>
  <c r="V71" i="5"/>
  <c r="W71" i="5"/>
  <c r="N72" i="5"/>
  <c r="O72" i="5"/>
  <c r="P72" i="5"/>
  <c r="Q72" i="5"/>
  <c r="R72" i="5"/>
  <c r="S72" i="5"/>
  <c r="T72" i="5"/>
  <c r="U72" i="5"/>
  <c r="V72" i="5"/>
  <c r="W72" i="5"/>
  <c r="N73" i="5"/>
  <c r="O73" i="5"/>
  <c r="P73" i="5"/>
  <c r="Q73" i="5"/>
  <c r="R73" i="5"/>
  <c r="S73" i="5"/>
  <c r="T73" i="5"/>
  <c r="U73" i="5"/>
  <c r="V73" i="5"/>
  <c r="W73" i="5"/>
  <c r="N74" i="5"/>
  <c r="O74" i="5"/>
  <c r="P74" i="5"/>
  <c r="Q74" i="5"/>
  <c r="R74" i="5"/>
  <c r="S74" i="5"/>
  <c r="T74" i="5"/>
  <c r="U74" i="5"/>
  <c r="V74" i="5"/>
  <c r="W74" i="5"/>
  <c r="N75" i="5"/>
  <c r="O75" i="5"/>
  <c r="P75" i="5"/>
  <c r="Q75" i="5"/>
  <c r="R75" i="5"/>
  <c r="S75" i="5"/>
  <c r="T75" i="5"/>
  <c r="U75" i="5"/>
  <c r="V75" i="5"/>
  <c r="W75" i="5"/>
  <c r="N76" i="5"/>
  <c r="O76" i="5"/>
  <c r="P76" i="5"/>
  <c r="Q76" i="5"/>
  <c r="R76" i="5"/>
  <c r="S76" i="5"/>
  <c r="T76" i="5"/>
  <c r="U76" i="5"/>
  <c r="V76" i="5"/>
  <c r="W76" i="5"/>
  <c r="N77" i="5"/>
  <c r="O77" i="5"/>
  <c r="P77" i="5"/>
  <c r="Q77" i="5"/>
  <c r="R77" i="5"/>
  <c r="S77" i="5"/>
  <c r="T77" i="5"/>
  <c r="U77" i="5"/>
  <c r="V77" i="5"/>
  <c r="W77" i="5"/>
  <c r="N78" i="5"/>
  <c r="O78" i="5"/>
  <c r="P78" i="5"/>
  <c r="Q78" i="5"/>
  <c r="R78" i="5"/>
  <c r="S78" i="5"/>
  <c r="T78" i="5"/>
  <c r="U78" i="5"/>
  <c r="V78" i="5"/>
  <c r="W78" i="5"/>
  <c r="N79" i="5"/>
  <c r="O79" i="5"/>
  <c r="P79" i="5"/>
  <c r="Q79" i="5"/>
  <c r="R79" i="5"/>
  <c r="S79" i="5"/>
  <c r="T79" i="5"/>
  <c r="U79" i="5"/>
  <c r="V79" i="5"/>
  <c r="W79" i="5"/>
  <c r="N80" i="5"/>
  <c r="O80" i="5"/>
  <c r="P80" i="5"/>
  <c r="Q80" i="5"/>
  <c r="R80" i="5"/>
  <c r="S80" i="5"/>
  <c r="T80" i="5"/>
  <c r="U80" i="5"/>
  <c r="V80" i="5"/>
  <c r="W80" i="5"/>
  <c r="N81" i="5"/>
  <c r="O81" i="5"/>
  <c r="P81" i="5"/>
  <c r="Q81" i="5"/>
  <c r="R81" i="5"/>
  <c r="S81" i="5"/>
  <c r="T81" i="5"/>
  <c r="U81" i="5"/>
  <c r="V81" i="5"/>
  <c r="W81" i="5"/>
  <c r="N82" i="5"/>
  <c r="O82" i="5"/>
  <c r="P82" i="5"/>
  <c r="Q82" i="5"/>
  <c r="R82" i="5"/>
  <c r="S82" i="5"/>
  <c r="T82" i="5"/>
  <c r="U82" i="5"/>
  <c r="V82" i="5"/>
  <c r="W82" i="5"/>
  <c r="N83" i="5"/>
  <c r="O83" i="5"/>
  <c r="P83" i="5"/>
  <c r="Q83" i="5"/>
  <c r="R83" i="5"/>
  <c r="S83" i="5"/>
  <c r="T83" i="5"/>
  <c r="U83" i="5"/>
  <c r="V83" i="5"/>
  <c r="W83" i="5"/>
  <c r="N84" i="5"/>
  <c r="O84" i="5"/>
  <c r="P84" i="5"/>
  <c r="Q84" i="5"/>
  <c r="R84" i="5"/>
  <c r="S84" i="5"/>
  <c r="T84" i="5"/>
  <c r="U84" i="5"/>
  <c r="V84" i="5"/>
  <c r="W84" i="5"/>
  <c r="N85" i="5"/>
  <c r="O85" i="5"/>
  <c r="P85" i="5"/>
  <c r="Q85" i="5"/>
  <c r="R85" i="5"/>
  <c r="S85" i="5"/>
  <c r="T85" i="5"/>
  <c r="U85" i="5"/>
  <c r="V85" i="5"/>
  <c r="W85" i="5"/>
  <c r="N86" i="5"/>
  <c r="O86" i="5"/>
  <c r="P86" i="5"/>
  <c r="Q86" i="5"/>
  <c r="R86" i="5"/>
  <c r="S86" i="5"/>
  <c r="T86" i="5"/>
  <c r="U86" i="5"/>
  <c r="V86" i="5"/>
  <c r="W86" i="5"/>
  <c r="N87" i="5"/>
  <c r="O87" i="5"/>
  <c r="P87" i="5"/>
  <c r="Q87" i="5"/>
  <c r="R87" i="5"/>
  <c r="S87" i="5"/>
  <c r="T87" i="5"/>
  <c r="U87" i="5"/>
  <c r="V87" i="5"/>
  <c r="W87" i="5"/>
  <c r="N88" i="5"/>
  <c r="O88" i="5"/>
  <c r="P88" i="5"/>
  <c r="Q88" i="5"/>
  <c r="R88" i="5"/>
  <c r="S88" i="5"/>
  <c r="T88" i="5"/>
  <c r="U88" i="5"/>
  <c r="V88" i="5"/>
  <c r="W88" i="5"/>
  <c r="N89" i="5"/>
  <c r="O89" i="5"/>
  <c r="P89" i="5"/>
  <c r="Q89" i="5"/>
  <c r="R89" i="5"/>
  <c r="S89" i="5"/>
  <c r="T89" i="5"/>
  <c r="U89" i="5"/>
  <c r="V89" i="5"/>
  <c r="W89" i="5"/>
  <c r="N90" i="5"/>
  <c r="O90" i="5"/>
  <c r="P90" i="5"/>
  <c r="Q90" i="5"/>
  <c r="R90" i="5"/>
  <c r="S90" i="5"/>
  <c r="T90" i="5"/>
  <c r="U90" i="5"/>
  <c r="V90" i="5"/>
  <c r="W90" i="5"/>
  <c r="N91" i="5"/>
  <c r="O91" i="5"/>
  <c r="P91" i="5"/>
  <c r="Q91" i="5"/>
  <c r="R91" i="5"/>
  <c r="S91" i="5"/>
  <c r="T91" i="5"/>
  <c r="U91" i="5"/>
  <c r="V91" i="5"/>
  <c r="W91" i="5"/>
  <c r="N92" i="5"/>
  <c r="O92" i="5"/>
  <c r="P92" i="5"/>
  <c r="Q92" i="5"/>
  <c r="R92" i="5"/>
  <c r="S92" i="5"/>
  <c r="T92" i="5"/>
  <c r="U92" i="5"/>
  <c r="V92" i="5"/>
  <c r="W92" i="5"/>
  <c r="N93" i="5"/>
  <c r="O93" i="5"/>
  <c r="P93" i="5"/>
  <c r="Q93" i="5"/>
  <c r="R93" i="5"/>
  <c r="S93" i="5"/>
  <c r="T93" i="5"/>
  <c r="U93" i="5"/>
  <c r="V93" i="5"/>
  <c r="W93" i="5"/>
  <c r="N94" i="5"/>
  <c r="O94" i="5"/>
  <c r="P94" i="5"/>
  <c r="Q94" i="5"/>
  <c r="R94" i="5"/>
  <c r="S94" i="5"/>
  <c r="T94" i="5"/>
  <c r="U94" i="5"/>
  <c r="V94" i="5"/>
  <c r="W94" i="5"/>
  <c r="N95" i="5"/>
  <c r="O95" i="5"/>
  <c r="P95" i="5"/>
  <c r="Q95" i="5"/>
  <c r="R95" i="5"/>
  <c r="S95" i="5"/>
  <c r="T95" i="5"/>
  <c r="U95" i="5"/>
  <c r="V95" i="5"/>
  <c r="W95" i="5"/>
  <c r="N96" i="5"/>
  <c r="O96" i="5"/>
  <c r="P96" i="5"/>
  <c r="Q96" i="5"/>
  <c r="R96" i="5"/>
  <c r="S96" i="5"/>
  <c r="T96" i="5"/>
  <c r="U96" i="5"/>
  <c r="V96" i="5"/>
  <c r="W96" i="5"/>
  <c r="N97" i="5"/>
  <c r="O97" i="5"/>
  <c r="P97" i="5"/>
  <c r="Q97" i="5"/>
  <c r="R97" i="5"/>
  <c r="S97" i="5"/>
  <c r="T97" i="5"/>
  <c r="U97" i="5"/>
  <c r="V97" i="5"/>
  <c r="W97" i="5"/>
  <c r="N98" i="5"/>
  <c r="O98" i="5"/>
  <c r="P98" i="5"/>
  <c r="Q98" i="5"/>
  <c r="R98" i="5"/>
  <c r="S98" i="5"/>
  <c r="T98" i="5"/>
  <c r="U98" i="5"/>
  <c r="V98" i="5"/>
  <c r="W98" i="5"/>
  <c r="N99" i="5"/>
  <c r="O99" i="5"/>
  <c r="P99" i="5"/>
  <c r="Q99" i="5"/>
  <c r="R99" i="5"/>
  <c r="S99" i="5"/>
  <c r="T99" i="5"/>
  <c r="U99" i="5"/>
  <c r="V99" i="5"/>
  <c r="W99" i="5"/>
  <c r="N100" i="5"/>
  <c r="O100" i="5"/>
  <c r="P100" i="5"/>
  <c r="Q100" i="5"/>
  <c r="R100" i="5"/>
  <c r="S100" i="5"/>
  <c r="T100" i="5"/>
  <c r="U100" i="5"/>
  <c r="V100" i="5"/>
  <c r="W100" i="5"/>
  <c r="N101" i="5"/>
  <c r="O101" i="5"/>
  <c r="P101" i="5"/>
  <c r="Q101" i="5"/>
  <c r="R101" i="5"/>
  <c r="S101" i="5"/>
  <c r="T101" i="5"/>
  <c r="U101" i="5"/>
  <c r="V101" i="5"/>
  <c r="W101" i="5"/>
  <c r="N102" i="5"/>
  <c r="O102" i="5"/>
  <c r="P102" i="5"/>
  <c r="Q102" i="5"/>
  <c r="R102" i="5"/>
  <c r="S102" i="5"/>
  <c r="T102" i="5"/>
  <c r="U102" i="5"/>
  <c r="V102" i="5"/>
  <c r="W102" i="5"/>
  <c r="N103" i="5"/>
  <c r="O103" i="5"/>
  <c r="P103" i="5"/>
  <c r="Q103" i="5"/>
  <c r="R103" i="5"/>
  <c r="S103" i="5"/>
  <c r="T103" i="5"/>
  <c r="U103" i="5"/>
  <c r="V103" i="5"/>
  <c r="W103" i="5"/>
  <c r="N104" i="5"/>
  <c r="O104" i="5"/>
  <c r="P104" i="5"/>
  <c r="Q104" i="5"/>
  <c r="R104" i="5"/>
  <c r="S104" i="5"/>
  <c r="T104" i="5"/>
  <c r="U104" i="5"/>
  <c r="V104" i="5"/>
  <c r="W104" i="5"/>
  <c r="N105" i="5"/>
  <c r="O105" i="5"/>
  <c r="P105" i="5"/>
  <c r="Q105" i="5"/>
  <c r="R105" i="5"/>
  <c r="S105" i="5"/>
  <c r="T105" i="5"/>
  <c r="U105" i="5"/>
  <c r="V105" i="5"/>
  <c r="W105" i="5"/>
  <c r="N106" i="5"/>
  <c r="O106" i="5"/>
  <c r="P106" i="5"/>
  <c r="Q106" i="5"/>
  <c r="R106" i="5"/>
  <c r="S106" i="5"/>
  <c r="T106" i="5"/>
  <c r="U106" i="5"/>
  <c r="V106" i="5"/>
  <c r="W106" i="5"/>
  <c r="N107" i="5"/>
  <c r="O107" i="5"/>
  <c r="P107" i="5"/>
  <c r="Q107" i="5"/>
  <c r="R107" i="5"/>
  <c r="S107" i="5"/>
  <c r="T107" i="5"/>
  <c r="U107" i="5"/>
  <c r="V107" i="5"/>
  <c r="W107" i="5"/>
  <c r="N108" i="5"/>
  <c r="O108" i="5"/>
  <c r="P108" i="5"/>
  <c r="Q108" i="5"/>
  <c r="R108" i="5"/>
  <c r="S108" i="5"/>
  <c r="T108" i="5"/>
  <c r="U108" i="5"/>
  <c r="V108" i="5"/>
  <c r="W108" i="5"/>
  <c r="N109" i="5"/>
  <c r="O109" i="5"/>
  <c r="P109" i="5"/>
  <c r="Q109" i="5"/>
  <c r="R109" i="5"/>
  <c r="S109" i="5"/>
  <c r="T109" i="5"/>
  <c r="U109" i="5"/>
  <c r="V109" i="5"/>
  <c r="W109" i="5"/>
  <c r="N110" i="5"/>
  <c r="O110" i="5"/>
  <c r="P110" i="5"/>
  <c r="Q110" i="5"/>
  <c r="R110" i="5"/>
  <c r="S110" i="5"/>
  <c r="T110" i="5"/>
  <c r="U110" i="5"/>
  <c r="V110" i="5"/>
  <c r="W110" i="5"/>
  <c r="N111" i="5"/>
  <c r="O111" i="5"/>
  <c r="P111" i="5"/>
  <c r="Q111" i="5"/>
  <c r="R111" i="5"/>
  <c r="S111" i="5"/>
  <c r="T111" i="5"/>
  <c r="U111" i="5"/>
  <c r="V111" i="5"/>
  <c r="W111" i="5"/>
  <c r="N112" i="5"/>
  <c r="O112" i="5"/>
  <c r="P112" i="5"/>
  <c r="Q112" i="5"/>
  <c r="R112" i="5"/>
  <c r="S112" i="5"/>
  <c r="T112" i="5"/>
  <c r="U112" i="5"/>
  <c r="V112" i="5"/>
  <c r="W112" i="5"/>
  <c r="N113" i="5"/>
  <c r="O113" i="5"/>
  <c r="P113" i="5"/>
  <c r="Q113" i="5"/>
  <c r="R113" i="5"/>
  <c r="S113" i="5"/>
  <c r="T113" i="5"/>
  <c r="U113" i="5"/>
  <c r="V113" i="5"/>
  <c r="W113" i="5"/>
  <c r="N114" i="5"/>
  <c r="O114" i="5"/>
  <c r="P114" i="5"/>
  <c r="Q114" i="5"/>
  <c r="R114" i="5"/>
  <c r="S114" i="5"/>
  <c r="T114" i="5"/>
  <c r="U114" i="5"/>
  <c r="V114" i="5"/>
  <c r="W114" i="5"/>
  <c r="N115" i="5"/>
  <c r="O115" i="5"/>
  <c r="P115" i="5"/>
  <c r="Q115" i="5"/>
  <c r="R115" i="5"/>
  <c r="S115" i="5"/>
  <c r="T115" i="5"/>
  <c r="U115" i="5"/>
  <c r="V115" i="5"/>
  <c r="W115" i="5"/>
  <c r="N116" i="5"/>
  <c r="O116" i="5"/>
  <c r="P116" i="5"/>
  <c r="Q116" i="5"/>
  <c r="R116" i="5"/>
  <c r="S116" i="5"/>
  <c r="T116" i="5"/>
  <c r="U116" i="5"/>
  <c r="V116" i="5"/>
  <c r="W116" i="5"/>
  <c r="N117" i="5"/>
  <c r="O117" i="5"/>
  <c r="P117" i="5"/>
  <c r="Q117" i="5"/>
  <c r="R117" i="5"/>
  <c r="S117" i="5"/>
  <c r="T117" i="5"/>
  <c r="U117" i="5"/>
  <c r="V117" i="5"/>
  <c r="W117" i="5"/>
  <c r="N118" i="5"/>
  <c r="O118" i="5"/>
  <c r="P118" i="5"/>
  <c r="Q118" i="5"/>
  <c r="R118" i="5"/>
  <c r="S118" i="5"/>
  <c r="T118" i="5"/>
  <c r="U118" i="5"/>
  <c r="V118" i="5"/>
  <c r="W118" i="5"/>
  <c r="N119" i="5"/>
  <c r="O119" i="5"/>
  <c r="P119" i="5"/>
  <c r="Q119" i="5"/>
  <c r="R119" i="5"/>
  <c r="S119" i="5"/>
  <c r="T119" i="5"/>
  <c r="U119" i="5"/>
  <c r="V119" i="5"/>
  <c r="W119" i="5"/>
  <c r="N120" i="5"/>
  <c r="O120" i="5"/>
  <c r="P120" i="5"/>
  <c r="Q120" i="5"/>
  <c r="R120" i="5"/>
  <c r="S120" i="5"/>
  <c r="T120" i="5"/>
  <c r="U120" i="5"/>
  <c r="V120" i="5"/>
  <c r="W120" i="5"/>
  <c r="N121" i="5"/>
  <c r="O121" i="5"/>
  <c r="P121" i="5"/>
  <c r="Q121" i="5"/>
  <c r="R121" i="5"/>
  <c r="S121" i="5"/>
  <c r="T121" i="5"/>
  <c r="U121" i="5"/>
  <c r="V121" i="5"/>
  <c r="W121" i="5"/>
  <c r="N122" i="5"/>
  <c r="O122" i="5"/>
  <c r="P122" i="5"/>
  <c r="Q122" i="5"/>
  <c r="R122" i="5"/>
  <c r="S122" i="5"/>
  <c r="T122" i="5"/>
  <c r="U122" i="5"/>
  <c r="V122" i="5"/>
  <c r="W122" i="5"/>
  <c r="N123" i="5"/>
  <c r="O123" i="5"/>
  <c r="P123" i="5"/>
  <c r="Q123" i="5"/>
  <c r="R123" i="5"/>
  <c r="S123" i="5"/>
  <c r="T123" i="5"/>
  <c r="U123" i="5"/>
  <c r="V123" i="5"/>
  <c r="W123" i="5"/>
  <c r="N124" i="5"/>
  <c r="O124" i="5"/>
  <c r="P124" i="5"/>
  <c r="Q124" i="5"/>
  <c r="R124" i="5"/>
  <c r="S124" i="5"/>
  <c r="T124" i="5"/>
  <c r="U124" i="5"/>
  <c r="V124" i="5"/>
  <c r="W124" i="5"/>
  <c r="N125" i="5"/>
  <c r="O125" i="5"/>
  <c r="P125" i="5"/>
  <c r="Q125" i="5"/>
  <c r="R125" i="5"/>
  <c r="S125" i="5"/>
  <c r="T125" i="5"/>
  <c r="U125" i="5"/>
  <c r="V125" i="5"/>
  <c r="W125" i="5"/>
  <c r="N126" i="5"/>
  <c r="O126" i="5"/>
  <c r="P126" i="5"/>
  <c r="Q126" i="5"/>
  <c r="R126" i="5"/>
  <c r="S126" i="5"/>
  <c r="T126" i="5"/>
  <c r="U126" i="5"/>
  <c r="V126" i="5"/>
  <c r="W126" i="5"/>
  <c r="N127" i="5"/>
  <c r="O127" i="5"/>
  <c r="P127" i="5"/>
  <c r="Q127" i="5"/>
  <c r="R127" i="5"/>
  <c r="S127" i="5"/>
  <c r="T127" i="5"/>
  <c r="U127" i="5"/>
  <c r="V127" i="5"/>
  <c r="W127" i="5"/>
  <c r="N128" i="5"/>
  <c r="O128" i="5"/>
  <c r="P128" i="5"/>
  <c r="Q128" i="5"/>
  <c r="R128" i="5"/>
  <c r="S128" i="5"/>
  <c r="T128" i="5"/>
  <c r="U128" i="5"/>
  <c r="V128" i="5"/>
  <c r="W128" i="5"/>
  <c r="N129" i="5"/>
  <c r="O129" i="5"/>
  <c r="P129" i="5"/>
  <c r="Q129" i="5"/>
  <c r="R129" i="5"/>
  <c r="S129" i="5"/>
  <c r="T129" i="5"/>
  <c r="U129" i="5"/>
  <c r="V129" i="5"/>
  <c r="W129" i="5"/>
  <c r="N130" i="5"/>
  <c r="O130" i="5"/>
  <c r="P130" i="5"/>
  <c r="Q130" i="5"/>
  <c r="R130" i="5"/>
  <c r="S130" i="5"/>
  <c r="T130" i="5"/>
  <c r="U130" i="5"/>
  <c r="V130" i="5"/>
  <c r="W130" i="5"/>
  <c r="N131" i="5"/>
  <c r="O131" i="5"/>
  <c r="P131" i="5"/>
  <c r="Q131" i="5"/>
  <c r="R131" i="5"/>
  <c r="S131" i="5"/>
  <c r="T131" i="5"/>
  <c r="U131" i="5"/>
  <c r="V131" i="5"/>
  <c r="W131" i="5"/>
  <c r="N132" i="5"/>
  <c r="O132" i="5"/>
  <c r="P132" i="5"/>
  <c r="Q132" i="5"/>
  <c r="R132" i="5"/>
  <c r="S132" i="5"/>
  <c r="T132" i="5"/>
  <c r="U132" i="5"/>
  <c r="V132" i="5"/>
  <c r="W132" i="5"/>
  <c r="N133" i="5"/>
  <c r="O133" i="5"/>
  <c r="P133" i="5"/>
  <c r="Q133" i="5"/>
  <c r="R133" i="5"/>
  <c r="S133" i="5"/>
  <c r="T133" i="5"/>
  <c r="U133" i="5"/>
  <c r="V133" i="5"/>
  <c r="W133" i="5"/>
  <c r="N134" i="5"/>
  <c r="O134" i="5"/>
  <c r="P134" i="5"/>
  <c r="Q134" i="5"/>
  <c r="R134" i="5"/>
  <c r="S134" i="5"/>
  <c r="T134" i="5"/>
  <c r="U134" i="5"/>
  <c r="V134" i="5"/>
  <c r="W134" i="5"/>
  <c r="N135" i="5"/>
  <c r="O135" i="5"/>
  <c r="P135" i="5"/>
  <c r="Q135" i="5"/>
  <c r="R135" i="5"/>
  <c r="S135" i="5"/>
  <c r="T135" i="5"/>
  <c r="U135" i="5"/>
  <c r="V135" i="5"/>
  <c r="W135" i="5"/>
  <c r="N136" i="5"/>
  <c r="O136" i="5"/>
  <c r="P136" i="5"/>
  <c r="Q136" i="5"/>
  <c r="R136" i="5"/>
  <c r="S136" i="5"/>
  <c r="T136" i="5"/>
  <c r="U136" i="5"/>
  <c r="V136" i="5"/>
  <c r="W136" i="5"/>
  <c r="N137" i="5"/>
  <c r="O137" i="5"/>
  <c r="P137" i="5"/>
  <c r="Q137" i="5"/>
  <c r="R137" i="5"/>
  <c r="S137" i="5"/>
  <c r="T137" i="5"/>
  <c r="U137" i="5"/>
  <c r="V137" i="5"/>
  <c r="W137" i="5"/>
  <c r="N138" i="5"/>
  <c r="O138" i="5"/>
  <c r="P138" i="5"/>
  <c r="Q138" i="5"/>
  <c r="R138" i="5"/>
  <c r="S138" i="5"/>
  <c r="T138" i="5"/>
  <c r="U138" i="5"/>
  <c r="V138" i="5"/>
  <c r="W138" i="5"/>
  <c r="N139" i="5"/>
  <c r="O139" i="5"/>
  <c r="P139" i="5"/>
  <c r="Q139" i="5"/>
  <c r="R139" i="5"/>
  <c r="S139" i="5"/>
  <c r="T139" i="5"/>
  <c r="U139" i="5"/>
  <c r="V139" i="5"/>
  <c r="W139" i="5"/>
  <c r="N140" i="5"/>
  <c r="O140" i="5"/>
  <c r="P140" i="5"/>
  <c r="Q140" i="5"/>
  <c r="R140" i="5"/>
  <c r="S140" i="5"/>
  <c r="T140" i="5"/>
  <c r="U140" i="5"/>
  <c r="V140" i="5"/>
  <c r="W140" i="5"/>
  <c r="N141" i="5"/>
  <c r="O141" i="5"/>
  <c r="P141" i="5"/>
  <c r="Q141" i="5"/>
  <c r="R141" i="5"/>
  <c r="S141" i="5"/>
  <c r="T141" i="5"/>
  <c r="U141" i="5"/>
  <c r="V141" i="5"/>
  <c r="W141" i="5"/>
  <c r="N142" i="5"/>
  <c r="O142" i="5"/>
  <c r="P142" i="5"/>
  <c r="Q142" i="5"/>
  <c r="R142" i="5"/>
  <c r="S142" i="5"/>
  <c r="T142" i="5"/>
  <c r="U142" i="5"/>
  <c r="V142" i="5"/>
  <c r="W142" i="5"/>
  <c r="N143" i="5"/>
  <c r="O143" i="5"/>
  <c r="P143" i="5"/>
  <c r="Q143" i="5"/>
  <c r="R143" i="5"/>
  <c r="S143" i="5"/>
  <c r="T143" i="5"/>
  <c r="U143" i="5"/>
  <c r="V143" i="5"/>
  <c r="W143" i="5"/>
  <c r="N144" i="5"/>
  <c r="O144" i="5"/>
  <c r="P144" i="5"/>
  <c r="Q144" i="5"/>
  <c r="R144" i="5"/>
  <c r="S144" i="5"/>
  <c r="T144" i="5"/>
  <c r="U144" i="5"/>
  <c r="V144" i="5"/>
  <c r="W144" i="5"/>
  <c r="N145" i="5"/>
  <c r="O145" i="5"/>
  <c r="P145" i="5"/>
  <c r="Q145" i="5"/>
  <c r="R145" i="5"/>
  <c r="S145" i="5"/>
  <c r="T145" i="5"/>
  <c r="U145" i="5"/>
  <c r="V145" i="5"/>
  <c r="W145" i="5"/>
  <c r="N146" i="5"/>
  <c r="O146" i="5"/>
  <c r="P146" i="5"/>
  <c r="Q146" i="5"/>
  <c r="R146" i="5"/>
  <c r="S146" i="5"/>
  <c r="T146" i="5"/>
  <c r="U146" i="5"/>
  <c r="V146" i="5"/>
  <c r="W146" i="5"/>
  <c r="N147" i="5"/>
  <c r="O147" i="5"/>
  <c r="P147" i="5"/>
  <c r="Q147" i="5"/>
  <c r="R147" i="5"/>
  <c r="S147" i="5"/>
  <c r="T147" i="5"/>
  <c r="U147" i="5"/>
  <c r="V147" i="5"/>
  <c r="W147" i="5"/>
  <c r="N148" i="5"/>
  <c r="O148" i="5"/>
  <c r="P148" i="5"/>
  <c r="Q148" i="5"/>
  <c r="R148" i="5"/>
  <c r="S148" i="5"/>
  <c r="T148" i="5"/>
  <c r="U148" i="5"/>
  <c r="V148" i="5"/>
  <c r="W148" i="5"/>
  <c r="N149" i="5"/>
  <c r="O149" i="5"/>
  <c r="P149" i="5"/>
  <c r="Q149" i="5"/>
  <c r="R149" i="5"/>
  <c r="S149" i="5"/>
  <c r="T149" i="5"/>
  <c r="U149" i="5"/>
  <c r="V149" i="5"/>
  <c r="W149" i="5"/>
  <c r="N150" i="5"/>
  <c r="O150" i="5"/>
  <c r="P150" i="5"/>
  <c r="Q150" i="5"/>
  <c r="R150" i="5"/>
  <c r="S150" i="5"/>
  <c r="T150" i="5"/>
  <c r="U150" i="5"/>
  <c r="V150" i="5"/>
  <c r="W150" i="5"/>
  <c r="N151" i="5"/>
  <c r="O151" i="5"/>
  <c r="P151" i="5"/>
  <c r="Q151" i="5"/>
  <c r="R151" i="5"/>
  <c r="S151" i="5"/>
  <c r="T151" i="5"/>
  <c r="U151" i="5"/>
  <c r="V151" i="5"/>
  <c r="W151" i="5"/>
  <c r="N152" i="5"/>
  <c r="O152" i="5"/>
  <c r="P152" i="5"/>
  <c r="Q152" i="5"/>
  <c r="R152" i="5"/>
  <c r="S152" i="5"/>
  <c r="T152" i="5"/>
  <c r="U152" i="5"/>
  <c r="V152" i="5"/>
  <c r="W152" i="5"/>
  <c r="N153" i="5"/>
  <c r="O153" i="5"/>
  <c r="P153" i="5"/>
  <c r="Q153" i="5"/>
  <c r="R153" i="5"/>
  <c r="S153" i="5"/>
  <c r="T153" i="5"/>
  <c r="U153" i="5"/>
  <c r="V153" i="5"/>
  <c r="W153" i="5"/>
  <c r="N154" i="5"/>
  <c r="O154" i="5"/>
  <c r="P154" i="5"/>
  <c r="Q154" i="5"/>
  <c r="R154" i="5"/>
  <c r="S154" i="5"/>
  <c r="T154" i="5"/>
  <c r="U154" i="5"/>
  <c r="V154" i="5"/>
  <c r="W154" i="5"/>
  <c r="N155" i="5"/>
  <c r="O155" i="5"/>
  <c r="P155" i="5"/>
  <c r="Q155" i="5"/>
  <c r="R155" i="5"/>
  <c r="S155" i="5"/>
  <c r="T155" i="5"/>
  <c r="U155" i="5"/>
  <c r="V155" i="5"/>
  <c r="W155" i="5"/>
  <c r="N156" i="5"/>
  <c r="O156" i="5"/>
  <c r="P156" i="5"/>
  <c r="Q156" i="5"/>
  <c r="R156" i="5"/>
  <c r="S156" i="5"/>
  <c r="T156" i="5"/>
  <c r="U156" i="5"/>
  <c r="V156" i="5"/>
  <c r="W156" i="5"/>
  <c r="N157" i="5"/>
  <c r="O157" i="5"/>
  <c r="P157" i="5"/>
  <c r="Q157" i="5"/>
  <c r="R157" i="5"/>
  <c r="S157" i="5"/>
  <c r="T157" i="5"/>
  <c r="U157" i="5"/>
  <c r="V157" i="5"/>
  <c r="W157" i="5"/>
  <c r="N158" i="5"/>
  <c r="O158" i="5"/>
  <c r="P158" i="5"/>
  <c r="Q158" i="5"/>
  <c r="R158" i="5"/>
  <c r="S158" i="5"/>
  <c r="T158" i="5"/>
  <c r="U158" i="5"/>
  <c r="V158" i="5"/>
  <c r="W158" i="5"/>
  <c r="N159" i="5"/>
  <c r="O159" i="5"/>
  <c r="P159" i="5"/>
  <c r="Q159" i="5"/>
  <c r="R159" i="5"/>
  <c r="S159" i="5"/>
  <c r="T159" i="5"/>
  <c r="U159" i="5"/>
  <c r="V159" i="5"/>
  <c r="W159" i="5"/>
  <c r="N160" i="5"/>
  <c r="O160" i="5"/>
  <c r="P160" i="5"/>
  <c r="Q160" i="5"/>
  <c r="R160" i="5"/>
  <c r="S160" i="5"/>
  <c r="T160" i="5"/>
  <c r="U160" i="5"/>
  <c r="V160" i="5"/>
  <c r="W160" i="5"/>
  <c r="N161" i="5"/>
  <c r="O161" i="5"/>
  <c r="P161" i="5"/>
  <c r="Q161" i="5"/>
  <c r="R161" i="5"/>
  <c r="S161" i="5"/>
  <c r="T161" i="5"/>
  <c r="U161" i="5"/>
  <c r="V161" i="5"/>
  <c r="W161" i="5"/>
  <c r="N162" i="5"/>
  <c r="O162" i="5"/>
  <c r="P162" i="5"/>
  <c r="Q162" i="5"/>
  <c r="R162" i="5"/>
  <c r="S162" i="5"/>
  <c r="T162" i="5"/>
  <c r="U162" i="5"/>
  <c r="V162" i="5"/>
  <c r="W162" i="5"/>
  <c r="N163" i="5"/>
  <c r="O163" i="5"/>
  <c r="P163" i="5"/>
  <c r="Q163" i="5"/>
  <c r="R163" i="5"/>
  <c r="S163" i="5"/>
  <c r="T163" i="5"/>
  <c r="U163" i="5"/>
  <c r="V163" i="5"/>
  <c r="W163" i="5"/>
  <c r="N164" i="5"/>
  <c r="O164" i="5"/>
  <c r="P164" i="5"/>
  <c r="Q164" i="5"/>
  <c r="R164" i="5"/>
  <c r="S164" i="5"/>
  <c r="T164" i="5"/>
  <c r="U164" i="5"/>
  <c r="V164" i="5"/>
  <c r="W164" i="5"/>
  <c r="N165" i="5"/>
  <c r="O165" i="5"/>
  <c r="P165" i="5"/>
  <c r="Q165" i="5"/>
  <c r="R165" i="5"/>
  <c r="S165" i="5"/>
  <c r="T165" i="5"/>
  <c r="U165" i="5"/>
  <c r="V165" i="5"/>
  <c r="W165" i="5"/>
  <c r="N166" i="5"/>
  <c r="O166" i="5"/>
  <c r="P166" i="5"/>
  <c r="Q166" i="5"/>
  <c r="R166" i="5"/>
  <c r="S166" i="5"/>
  <c r="T166" i="5"/>
  <c r="U166" i="5"/>
  <c r="V166" i="5"/>
  <c r="W166" i="5"/>
  <c r="N167" i="5"/>
  <c r="O167" i="5"/>
  <c r="P167" i="5"/>
  <c r="Q167" i="5"/>
  <c r="R167" i="5"/>
  <c r="S167" i="5"/>
  <c r="T167" i="5"/>
  <c r="U167" i="5"/>
  <c r="V167" i="5"/>
  <c r="W167" i="5"/>
  <c r="N168" i="5"/>
  <c r="O168" i="5"/>
  <c r="P168" i="5"/>
  <c r="Q168" i="5"/>
  <c r="R168" i="5"/>
  <c r="S168" i="5"/>
  <c r="T168" i="5"/>
  <c r="U168" i="5"/>
  <c r="V168" i="5"/>
  <c r="W168" i="5"/>
  <c r="N169" i="5"/>
  <c r="O169" i="5"/>
  <c r="P169" i="5"/>
  <c r="Q169" i="5"/>
  <c r="R169" i="5"/>
  <c r="S169" i="5"/>
  <c r="T169" i="5"/>
  <c r="U169" i="5"/>
  <c r="V169" i="5"/>
  <c r="W169" i="5"/>
  <c r="N170" i="5"/>
  <c r="O170" i="5"/>
  <c r="P170" i="5"/>
  <c r="Q170" i="5"/>
  <c r="R170" i="5"/>
  <c r="S170" i="5"/>
  <c r="T170" i="5"/>
  <c r="U170" i="5"/>
  <c r="V170" i="5"/>
  <c r="W170" i="5"/>
  <c r="N171" i="5"/>
  <c r="O171" i="5"/>
  <c r="P171" i="5"/>
  <c r="Q171" i="5"/>
  <c r="R171" i="5"/>
  <c r="S171" i="5"/>
  <c r="T171" i="5"/>
  <c r="U171" i="5"/>
  <c r="V171" i="5"/>
  <c r="W171" i="5"/>
  <c r="N172" i="5"/>
  <c r="O172" i="5"/>
  <c r="P172" i="5"/>
  <c r="Q172" i="5"/>
  <c r="R172" i="5"/>
  <c r="S172" i="5"/>
  <c r="T172" i="5"/>
  <c r="U172" i="5"/>
  <c r="V172" i="5"/>
  <c r="W172" i="5"/>
  <c r="N173" i="5"/>
  <c r="O173" i="5"/>
  <c r="P173" i="5"/>
  <c r="Q173" i="5"/>
  <c r="R173" i="5"/>
  <c r="S173" i="5"/>
  <c r="T173" i="5"/>
  <c r="U173" i="5"/>
  <c r="V173" i="5"/>
  <c r="W173" i="5"/>
  <c r="N174" i="5"/>
  <c r="O174" i="5"/>
  <c r="P174" i="5"/>
  <c r="Q174" i="5"/>
  <c r="R174" i="5"/>
  <c r="S174" i="5"/>
  <c r="T174" i="5"/>
  <c r="U174" i="5"/>
  <c r="V174" i="5"/>
  <c r="W174" i="5"/>
  <c r="N175" i="5"/>
  <c r="O175" i="5"/>
  <c r="P175" i="5"/>
  <c r="Q175" i="5"/>
  <c r="R175" i="5"/>
  <c r="S175" i="5"/>
  <c r="T175" i="5"/>
  <c r="U175" i="5"/>
  <c r="V175" i="5"/>
  <c r="W175" i="5"/>
  <c r="N176" i="5"/>
  <c r="O176" i="5"/>
  <c r="P176" i="5"/>
  <c r="Q176" i="5"/>
  <c r="R176" i="5"/>
  <c r="S176" i="5"/>
  <c r="T176" i="5"/>
  <c r="U176" i="5"/>
  <c r="V176" i="5"/>
  <c r="W176" i="5"/>
  <c r="N177" i="5"/>
  <c r="O177" i="5"/>
  <c r="P177" i="5"/>
  <c r="Q177" i="5"/>
  <c r="R177" i="5"/>
  <c r="S177" i="5"/>
  <c r="T177" i="5"/>
  <c r="U177" i="5"/>
  <c r="V177" i="5"/>
  <c r="W177" i="5"/>
  <c r="N178" i="5"/>
  <c r="O178" i="5"/>
  <c r="P178" i="5"/>
  <c r="Q178" i="5"/>
  <c r="R178" i="5"/>
  <c r="S178" i="5"/>
  <c r="T178" i="5"/>
  <c r="U178" i="5"/>
  <c r="V178" i="5"/>
  <c r="W178" i="5"/>
  <c r="N179" i="5"/>
  <c r="O179" i="5"/>
  <c r="P179" i="5"/>
  <c r="Q179" i="5"/>
  <c r="R179" i="5"/>
  <c r="S179" i="5"/>
  <c r="T179" i="5"/>
  <c r="U179" i="5"/>
  <c r="V179" i="5"/>
  <c r="W179" i="5"/>
  <c r="N180" i="5"/>
  <c r="O180" i="5"/>
  <c r="P180" i="5"/>
  <c r="Q180" i="5"/>
  <c r="R180" i="5"/>
  <c r="S180" i="5"/>
  <c r="T180" i="5"/>
  <c r="U180" i="5"/>
  <c r="V180" i="5"/>
  <c r="W180" i="5"/>
  <c r="N181" i="5"/>
  <c r="O181" i="5"/>
  <c r="P181" i="5"/>
  <c r="Q181" i="5"/>
  <c r="R181" i="5"/>
  <c r="S181" i="5"/>
  <c r="T181" i="5"/>
  <c r="U181" i="5"/>
  <c r="V181" i="5"/>
  <c r="W181" i="5"/>
  <c r="N182" i="5"/>
  <c r="O182" i="5"/>
  <c r="P182" i="5"/>
  <c r="Q182" i="5"/>
  <c r="R182" i="5"/>
  <c r="S182" i="5"/>
  <c r="T182" i="5"/>
  <c r="U182" i="5"/>
  <c r="V182" i="5"/>
  <c r="W182" i="5"/>
  <c r="N183" i="5"/>
  <c r="O183" i="5"/>
  <c r="P183" i="5"/>
  <c r="Q183" i="5"/>
  <c r="R183" i="5"/>
  <c r="S183" i="5"/>
  <c r="T183" i="5"/>
  <c r="U183" i="5"/>
  <c r="V183" i="5"/>
  <c r="W183" i="5"/>
  <c r="N184" i="5"/>
  <c r="O184" i="5"/>
  <c r="P184" i="5"/>
  <c r="Q184" i="5"/>
  <c r="R184" i="5"/>
  <c r="S184" i="5"/>
  <c r="T184" i="5"/>
  <c r="U184" i="5"/>
  <c r="V184" i="5"/>
  <c r="W184" i="5"/>
  <c r="N185" i="5"/>
  <c r="O185" i="5"/>
  <c r="P185" i="5"/>
  <c r="Q185" i="5"/>
  <c r="R185" i="5"/>
  <c r="S185" i="5"/>
  <c r="T185" i="5"/>
  <c r="U185" i="5"/>
  <c r="V185" i="5"/>
  <c r="W185" i="5"/>
  <c r="N186" i="5"/>
  <c r="O186" i="5"/>
  <c r="P186" i="5"/>
  <c r="Q186" i="5"/>
  <c r="R186" i="5"/>
  <c r="S186" i="5"/>
  <c r="T186" i="5"/>
  <c r="U186" i="5"/>
  <c r="V186" i="5"/>
  <c r="W186" i="5"/>
  <c r="N187" i="5"/>
  <c r="O187" i="5"/>
  <c r="P187" i="5"/>
  <c r="Q187" i="5"/>
  <c r="R187" i="5"/>
  <c r="S187" i="5"/>
  <c r="T187" i="5"/>
  <c r="U187" i="5"/>
  <c r="V187" i="5"/>
  <c r="W187" i="5"/>
  <c r="N188" i="5"/>
  <c r="O188" i="5"/>
  <c r="P188" i="5"/>
  <c r="Q188" i="5"/>
  <c r="R188" i="5"/>
  <c r="S188" i="5"/>
  <c r="T188" i="5"/>
  <c r="U188" i="5"/>
  <c r="V188" i="5"/>
  <c r="W188" i="5"/>
  <c r="N189" i="5"/>
  <c r="O189" i="5"/>
  <c r="P189" i="5"/>
  <c r="Q189" i="5"/>
  <c r="R189" i="5"/>
  <c r="S189" i="5"/>
  <c r="T189" i="5"/>
  <c r="U189" i="5"/>
  <c r="V189" i="5"/>
  <c r="W189" i="5"/>
  <c r="N190" i="5"/>
  <c r="O190" i="5"/>
  <c r="P190" i="5"/>
  <c r="Q190" i="5"/>
  <c r="R190" i="5"/>
  <c r="S190" i="5"/>
  <c r="T190" i="5"/>
  <c r="U190" i="5"/>
  <c r="V190" i="5"/>
  <c r="W190" i="5"/>
  <c r="N191" i="5"/>
  <c r="O191" i="5"/>
  <c r="P191" i="5"/>
  <c r="Q191" i="5"/>
  <c r="R191" i="5"/>
  <c r="S191" i="5"/>
  <c r="T191" i="5"/>
  <c r="U191" i="5"/>
  <c r="V191" i="5"/>
  <c r="W191" i="5"/>
  <c r="N192" i="5"/>
  <c r="O192" i="5"/>
  <c r="P192" i="5"/>
  <c r="Q192" i="5"/>
  <c r="R192" i="5"/>
  <c r="S192" i="5"/>
  <c r="T192" i="5"/>
  <c r="U192" i="5"/>
  <c r="V192" i="5"/>
  <c r="W192" i="5"/>
  <c r="N193" i="5"/>
  <c r="O193" i="5"/>
  <c r="P193" i="5"/>
  <c r="Q193" i="5"/>
  <c r="R193" i="5"/>
  <c r="S193" i="5"/>
  <c r="T193" i="5"/>
  <c r="U193" i="5"/>
  <c r="V193" i="5"/>
  <c r="W193" i="5"/>
  <c r="N194" i="5"/>
  <c r="O194" i="5"/>
  <c r="P194" i="5"/>
  <c r="Q194" i="5"/>
  <c r="R194" i="5"/>
  <c r="S194" i="5"/>
  <c r="T194" i="5"/>
  <c r="U194" i="5"/>
  <c r="V194" i="5"/>
  <c r="W194" i="5"/>
  <c r="N195" i="5"/>
  <c r="O195" i="5"/>
  <c r="P195" i="5"/>
  <c r="Q195" i="5"/>
  <c r="R195" i="5"/>
  <c r="S195" i="5"/>
  <c r="T195" i="5"/>
  <c r="U195" i="5"/>
  <c r="V195" i="5"/>
  <c r="W195" i="5"/>
  <c r="N196" i="5"/>
  <c r="O196" i="5"/>
  <c r="P196" i="5"/>
  <c r="Q196" i="5"/>
  <c r="R196" i="5"/>
  <c r="S196" i="5"/>
  <c r="T196" i="5"/>
  <c r="U196" i="5"/>
  <c r="V196" i="5"/>
  <c r="W196" i="5"/>
  <c r="N197" i="5"/>
  <c r="O197" i="5"/>
  <c r="P197" i="5"/>
  <c r="Q197" i="5"/>
  <c r="R197" i="5"/>
  <c r="S197" i="5"/>
  <c r="T197" i="5"/>
  <c r="U197" i="5"/>
  <c r="V197" i="5"/>
  <c r="W197" i="5"/>
  <c r="N198" i="5"/>
  <c r="O198" i="5"/>
  <c r="P198" i="5"/>
  <c r="Q198" i="5"/>
  <c r="R198" i="5"/>
  <c r="S198" i="5"/>
  <c r="T198" i="5"/>
  <c r="U198" i="5"/>
  <c r="V198" i="5"/>
  <c r="W198" i="5"/>
  <c r="N199" i="5"/>
  <c r="O199" i="5"/>
  <c r="P199" i="5"/>
  <c r="Q199" i="5"/>
  <c r="R199" i="5"/>
  <c r="S199" i="5"/>
  <c r="T199" i="5"/>
  <c r="U199" i="5"/>
  <c r="V199" i="5"/>
  <c r="W199" i="5"/>
  <c r="N200" i="5"/>
  <c r="O200" i="5"/>
  <c r="P200" i="5"/>
  <c r="Q200" i="5"/>
  <c r="R200" i="5"/>
  <c r="S200" i="5"/>
  <c r="T200" i="5"/>
  <c r="U200" i="5"/>
  <c r="V200" i="5"/>
  <c r="W200" i="5"/>
  <c r="N201" i="5"/>
  <c r="O201" i="5"/>
  <c r="P201" i="5"/>
  <c r="Q201" i="5"/>
  <c r="R201" i="5"/>
  <c r="S201" i="5"/>
  <c r="T201" i="5"/>
  <c r="U201" i="5"/>
  <c r="V201" i="5"/>
  <c r="W201" i="5"/>
  <c r="N202" i="5"/>
  <c r="O202" i="5"/>
  <c r="P202" i="5"/>
  <c r="Q202" i="5"/>
  <c r="R202" i="5"/>
  <c r="S202" i="5"/>
  <c r="T202" i="5"/>
  <c r="U202" i="5"/>
  <c r="V202" i="5"/>
  <c r="W202" i="5"/>
  <c r="N203" i="5"/>
  <c r="O203" i="5"/>
  <c r="P203" i="5"/>
  <c r="Q203" i="5"/>
  <c r="R203" i="5"/>
  <c r="S203" i="5"/>
  <c r="T203" i="5"/>
  <c r="U203" i="5"/>
  <c r="V203" i="5"/>
  <c r="W203" i="5"/>
  <c r="N204" i="5"/>
  <c r="O204" i="5"/>
  <c r="P204" i="5"/>
  <c r="Q204" i="5"/>
  <c r="R204" i="5"/>
  <c r="S204" i="5"/>
  <c r="T204" i="5"/>
  <c r="U204" i="5"/>
  <c r="V204" i="5"/>
  <c r="W204" i="5"/>
  <c r="N205" i="5"/>
  <c r="O205" i="5"/>
  <c r="P205" i="5"/>
  <c r="Q205" i="5"/>
  <c r="R205" i="5"/>
  <c r="S205" i="5"/>
  <c r="T205" i="5"/>
  <c r="U205" i="5"/>
  <c r="V205" i="5"/>
  <c r="W205" i="5"/>
  <c r="N206" i="5"/>
  <c r="O206" i="5"/>
  <c r="P206" i="5"/>
  <c r="Q206" i="5"/>
  <c r="R206" i="5"/>
  <c r="S206" i="5"/>
  <c r="T206" i="5"/>
  <c r="U206" i="5"/>
  <c r="V206" i="5"/>
  <c r="W206" i="5"/>
  <c r="N207" i="5"/>
  <c r="O207" i="5"/>
  <c r="P207" i="5"/>
  <c r="Q207" i="5"/>
  <c r="R207" i="5"/>
  <c r="S207" i="5"/>
  <c r="T207" i="5"/>
  <c r="U207" i="5"/>
  <c r="V207" i="5"/>
  <c r="W207" i="5"/>
  <c r="N208" i="5"/>
  <c r="O208" i="5"/>
  <c r="P208" i="5"/>
  <c r="Q208" i="5"/>
  <c r="R208" i="5"/>
  <c r="S208" i="5"/>
  <c r="T208" i="5"/>
  <c r="U208" i="5"/>
  <c r="V208" i="5"/>
  <c r="W208" i="5"/>
  <c r="N209" i="5"/>
  <c r="O209" i="5"/>
  <c r="P209" i="5"/>
  <c r="Q209" i="5"/>
  <c r="R209" i="5"/>
  <c r="S209" i="5"/>
  <c r="T209" i="5"/>
  <c r="U209" i="5"/>
  <c r="V209" i="5"/>
  <c r="W209" i="5"/>
  <c r="N210" i="5"/>
  <c r="O210" i="5"/>
  <c r="P210" i="5"/>
  <c r="Q210" i="5"/>
  <c r="R210" i="5"/>
  <c r="S210" i="5"/>
  <c r="T210" i="5"/>
  <c r="U210" i="5"/>
  <c r="V210" i="5"/>
  <c r="W210" i="5"/>
  <c r="N211" i="5"/>
  <c r="O211" i="5"/>
  <c r="P211" i="5"/>
  <c r="Q211" i="5"/>
  <c r="R211" i="5"/>
  <c r="S211" i="5"/>
  <c r="T211" i="5"/>
  <c r="U211" i="5"/>
  <c r="V211" i="5"/>
  <c r="W211" i="5"/>
  <c r="N212" i="5"/>
  <c r="O212" i="5"/>
  <c r="P212" i="5"/>
  <c r="Q212" i="5"/>
  <c r="R212" i="5"/>
  <c r="S212" i="5"/>
  <c r="T212" i="5"/>
  <c r="U212" i="5"/>
  <c r="V212" i="5"/>
  <c r="W212" i="5"/>
  <c r="N213" i="5"/>
  <c r="O213" i="5"/>
  <c r="P213" i="5"/>
  <c r="Q213" i="5"/>
  <c r="R213" i="5"/>
  <c r="S213" i="5"/>
  <c r="T213" i="5"/>
  <c r="U213" i="5"/>
  <c r="V213" i="5"/>
  <c r="W213" i="5"/>
  <c r="N214" i="5"/>
  <c r="O214" i="5"/>
  <c r="P214" i="5"/>
  <c r="Q214" i="5"/>
  <c r="R214" i="5"/>
  <c r="S214" i="5"/>
  <c r="T214" i="5"/>
  <c r="U214" i="5"/>
  <c r="V214" i="5"/>
  <c r="W214" i="5"/>
  <c r="N215" i="5"/>
  <c r="O215" i="5"/>
  <c r="P215" i="5"/>
  <c r="Q215" i="5"/>
  <c r="R215" i="5"/>
  <c r="S215" i="5"/>
  <c r="T215" i="5"/>
  <c r="U215" i="5"/>
  <c r="V215" i="5"/>
  <c r="W215" i="5"/>
  <c r="N216" i="5"/>
  <c r="O216" i="5"/>
  <c r="P216" i="5"/>
  <c r="Q216" i="5"/>
  <c r="R216" i="5"/>
  <c r="S216" i="5"/>
  <c r="T216" i="5"/>
  <c r="U216" i="5"/>
  <c r="V216" i="5"/>
  <c r="W216" i="5"/>
  <c r="N217" i="5"/>
  <c r="O217" i="5"/>
  <c r="P217" i="5"/>
  <c r="Q217" i="5"/>
  <c r="R217" i="5"/>
  <c r="S217" i="5"/>
  <c r="T217" i="5"/>
  <c r="U217" i="5"/>
  <c r="V217" i="5"/>
  <c r="W217" i="5"/>
  <c r="N218" i="5"/>
  <c r="O218" i="5"/>
  <c r="P218" i="5"/>
  <c r="Q218" i="5"/>
  <c r="R218" i="5"/>
  <c r="S218" i="5"/>
  <c r="T218" i="5"/>
  <c r="U218" i="5"/>
  <c r="V218" i="5"/>
  <c r="W218" i="5"/>
  <c r="N219" i="5"/>
  <c r="O219" i="5"/>
  <c r="P219" i="5"/>
  <c r="Q219" i="5"/>
  <c r="R219" i="5"/>
  <c r="S219" i="5"/>
  <c r="T219" i="5"/>
  <c r="U219" i="5"/>
  <c r="V219" i="5"/>
  <c r="W219" i="5"/>
  <c r="N220" i="5"/>
  <c r="O220" i="5"/>
  <c r="P220" i="5"/>
  <c r="Q220" i="5"/>
  <c r="R220" i="5"/>
  <c r="S220" i="5"/>
  <c r="T220" i="5"/>
  <c r="U220" i="5"/>
  <c r="V220" i="5"/>
  <c r="W220" i="5"/>
  <c r="N221" i="5"/>
  <c r="O221" i="5"/>
  <c r="P221" i="5"/>
  <c r="Q221" i="5"/>
  <c r="R221" i="5"/>
  <c r="S221" i="5"/>
  <c r="T221" i="5"/>
  <c r="U221" i="5"/>
  <c r="V221" i="5"/>
  <c r="W221" i="5"/>
  <c r="N222" i="5"/>
  <c r="O222" i="5"/>
  <c r="P222" i="5"/>
  <c r="Q222" i="5"/>
  <c r="R222" i="5"/>
  <c r="S222" i="5"/>
  <c r="T222" i="5"/>
  <c r="U222" i="5"/>
  <c r="V222" i="5"/>
  <c r="W222" i="5"/>
  <c r="N223" i="5"/>
  <c r="O223" i="5"/>
  <c r="P223" i="5"/>
  <c r="Q223" i="5"/>
  <c r="R223" i="5"/>
  <c r="S223" i="5"/>
  <c r="T223" i="5"/>
  <c r="U223" i="5"/>
  <c r="V223" i="5"/>
  <c r="W223" i="5"/>
  <c r="N224" i="5"/>
  <c r="O224" i="5"/>
  <c r="P224" i="5"/>
  <c r="Q224" i="5"/>
  <c r="R224" i="5"/>
  <c r="S224" i="5"/>
  <c r="T224" i="5"/>
  <c r="U224" i="5"/>
  <c r="V224" i="5"/>
  <c r="W224" i="5"/>
  <c r="N225" i="5"/>
  <c r="O225" i="5"/>
  <c r="P225" i="5"/>
  <c r="Q225" i="5"/>
  <c r="R225" i="5"/>
  <c r="S225" i="5"/>
  <c r="T225" i="5"/>
  <c r="U225" i="5"/>
  <c r="V225" i="5"/>
  <c r="W225" i="5"/>
  <c r="N226" i="5"/>
  <c r="O226" i="5"/>
  <c r="P226" i="5"/>
  <c r="Q226" i="5"/>
  <c r="R226" i="5"/>
  <c r="S226" i="5"/>
  <c r="T226" i="5"/>
  <c r="U226" i="5"/>
  <c r="V226" i="5"/>
  <c r="W226" i="5"/>
  <c r="N227" i="5"/>
  <c r="O227" i="5"/>
  <c r="P227" i="5"/>
  <c r="Q227" i="5"/>
  <c r="R227" i="5"/>
  <c r="S227" i="5"/>
  <c r="T227" i="5"/>
  <c r="U227" i="5"/>
  <c r="V227" i="5"/>
  <c r="W227" i="5"/>
  <c r="N228" i="5"/>
  <c r="O228" i="5"/>
  <c r="P228" i="5"/>
  <c r="Q228" i="5"/>
  <c r="R228" i="5"/>
  <c r="S228" i="5"/>
  <c r="T228" i="5"/>
  <c r="U228" i="5"/>
  <c r="V228" i="5"/>
  <c r="W228" i="5"/>
  <c r="N229" i="5"/>
  <c r="O229" i="5"/>
  <c r="P229" i="5"/>
  <c r="Q229" i="5"/>
  <c r="R229" i="5"/>
  <c r="S229" i="5"/>
  <c r="T229" i="5"/>
  <c r="U229" i="5"/>
  <c r="V229" i="5"/>
  <c r="W229" i="5"/>
  <c r="N230" i="5"/>
  <c r="O230" i="5"/>
  <c r="P230" i="5"/>
  <c r="Q230" i="5"/>
  <c r="R230" i="5"/>
  <c r="S230" i="5"/>
  <c r="T230" i="5"/>
  <c r="U230" i="5"/>
  <c r="V230" i="5"/>
  <c r="W230" i="5"/>
  <c r="N231" i="5"/>
  <c r="O231" i="5"/>
  <c r="P231" i="5"/>
  <c r="Q231" i="5"/>
  <c r="R231" i="5"/>
  <c r="S231" i="5"/>
  <c r="T231" i="5"/>
  <c r="U231" i="5"/>
  <c r="V231" i="5"/>
  <c r="W231" i="5"/>
  <c r="N232" i="5"/>
  <c r="O232" i="5"/>
  <c r="P232" i="5"/>
  <c r="Q232" i="5"/>
  <c r="R232" i="5"/>
  <c r="S232" i="5"/>
  <c r="T232" i="5"/>
  <c r="U232" i="5"/>
  <c r="V232" i="5"/>
  <c r="W232" i="5"/>
  <c r="N233" i="5"/>
  <c r="O233" i="5"/>
  <c r="P233" i="5"/>
  <c r="Q233" i="5"/>
  <c r="R233" i="5"/>
  <c r="S233" i="5"/>
  <c r="T233" i="5"/>
  <c r="U233" i="5"/>
  <c r="V233" i="5"/>
  <c r="W233" i="5"/>
  <c r="N234" i="5"/>
  <c r="O234" i="5"/>
  <c r="P234" i="5"/>
  <c r="Q234" i="5"/>
  <c r="R234" i="5"/>
  <c r="S234" i="5"/>
  <c r="T234" i="5"/>
  <c r="U234" i="5"/>
  <c r="V234" i="5"/>
  <c r="W234" i="5"/>
  <c r="N235" i="5"/>
  <c r="O235" i="5"/>
  <c r="P235" i="5"/>
  <c r="Q235" i="5"/>
  <c r="R235" i="5"/>
  <c r="S235" i="5"/>
  <c r="T235" i="5"/>
  <c r="U235" i="5"/>
  <c r="V235" i="5"/>
  <c r="W235" i="5"/>
  <c r="N236" i="5"/>
  <c r="O236" i="5"/>
  <c r="P236" i="5"/>
  <c r="Q236" i="5"/>
  <c r="R236" i="5"/>
  <c r="S236" i="5"/>
  <c r="T236" i="5"/>
  <c r="U236" i="5"/>
  <c r="V236" i="5"/>
  <c r="W236" i="5"/>
  <c r="N237" i="5"/>
  <c r="O237" i="5"/>
  <c r="P237" i="5"/>
  <c r="Q237" i="5"/>
  <c r="R237" i="5"/>
  <c r="S237" i="5"/>
  <c r="T237" i="5"/>
  <c r="U237" i="5"/>
  <c r="V237" i="5"/>
  <c r="W237" i="5"/>
  <c r="N238" i="5"/>
  <c r="O238" i="5"/>
  <c r="P238" i="5"/>
  <c r="Q238" i="5"/>
  <c r="R238" i="5"/>
  <c r="S238" i="5"/>
  <c r="T238" i="5"/>
  <c r="U238" i="5"/>
  <c r="V238" i="5"/>
  <c r="W238" i="5"/>
  <c r="N239" i="5"/>
  <c r="O239" i="5"/>
  <c r="P239" i="5"/>
  <c r="Q239" i="5"/>
  <c r="R239" i="5"/>
  <c r="S239" i="5"/>
  <c r="T239" i="5"/>
  <c r="U239" i="5"/>
  <c r="V239" i="5"/>
  <c r="W239" i="5"/>
  <c r="N240" i="5"/>
  <c r="O240" i="5"/>
  <c r="P240" i="5"/>
  <c r="Q240" i="5"/>
  <c r="R240" i="5"/>
  <c r="S240" i="5"/>
  <c r="T240" i="5"/>
  <c r="U240" i="5"/>
  <c r="V240" i="5"/>
  <c r="W240" i="5"/>
  <c r="N241" i="5"/>
  <c r="O241" i="5"/>
  <c r="P241" i="5"/>
  <c r="Q241" i="5"/>
  <c r="R241" i="5"/>
  <c r="S241" i="5"/>
  <c r="T241" i="5"/>
  <c r="U241" i="5"/>
  <c r="V241" i="5"/>
  <c r="W241" i="5"/>
  <c r="N242" i="5"/>
  <c r="O242" i="5"/>
  <c r="P242" i="5"/>
  <c r="Q242" i="5"/>
  <c r="R242" i="5"/>
  <c r="S242" i="5"/>
  <c r="T242" i="5"/>
  <c r="U242" i="5"/>
  <c r="V242" i="5"/>
  <c r="W242" i="5"/>
  <c r="N243" i="5"/>
  <c r="O243" i="5"/>
  <c r="P243" i="5"/>
  <c r="Q243" i="5"/>
  <c r="R243" i="5"/>
  <c r="S243" i="5"/>
  <c r="T243" i="5"/>
  <c r="U243" i="5"/>
  <c r="V243" i="5"/>
  <c r="W243" i="5"/>
  <c r="N244" i="5"/>
  <c r="O244" i="5"/>
  <c r="P244" i="5"/>
  <c r="Q244" i="5"/>
  <c r="R244" i="5"/>
  <c r="S244" i="5"/>
  <c r="T244" i="5"/>
  <c r="U244" i="5"/>
  <c r="V244" i="5"/>
  <c r="W244" i="5"/>
  <c r="N245" i="5"/>
  <c r="O245" i="5"/>
  <c r="P245" i="5"/>
  <c r="Q245" i="5"/>
  <c r="R245" i="5"/>
  <c r="S245" i="5"/>
  <c r="T245" i="5"/>
  <c r="U245" i="5"/>
  <c r="V245" i="5"/>
  <c r="W245" i="5"/>
  <c r="N246" i="5"/>
  <c r="O246" i="5"/>
  <c r="P246" i="5"/>
  <c r="Q246" i="5"/>
  <c r="R246" i="5"/>
  <c r="S246" i="5"/>
  <c r="T246" i="5"/>
  <c r="U246" i="5"/>
  <c r="V246" i="5"/>
  <c r="W246" i="5"/>
  <c r="N247" i="5"/>
  <c r="O247" i="5"/>
  <c r="P247" i="5"/>
  <c r="Q247" i="5"/>
  <c r="R247" i="5"/>
  <c r="S247" i="5"/>
  <c r="T247" i="5"/>
  <c r="U247" i="5"/>
  <c r="V247" i="5"/>
  <c r="W247" i="5"/>
  <c r="N248" i="5"/>
  <c r="O248" i="5"/>
  <c r="P248" i="5"/>
  <c r="Q248" i="5"/>
  <c r="R248" i="5"/>
  <c r="S248" i="5"/>
  <c r="T248" i="5"/>
  <c r="U248" i="5"/>
  <c r="V248" i="5"/>
  <c r="W248" i="5"/>
  <c r="N249" i="5"/>
  <c r="O249" i="5"/>
  <c r="P249" i="5"/>
  <c r="Q249" i="5"/>
  <c r="R249" i="5"/>
  <c r="S249" i="5"/>
  <c r="T249" i="5"/>
  <c r="U249" i="5"/>
  <c r="V249" i="5"/>
  <c r="W249" i="5"/>
  <c r="N250" i="5"/>
  <c r="O250" i="5"/>
  <c r="P250" i="5"/>
  <c r="Q250" i="5"/>
  <c r="R250" i="5"/>
  <c r="S250" i="5"/>
  <c r="T250" i="5"/>
  <c r="U250" i="5"/>
  <c r="V250" i="5"/>
  <c r="W250" i="5"/>
  <c r="N251" i="5"/>
  <c r="O251" i="5"/>
  <c r="P251" i="5"/>
  <c r="Q251" i="5"/>
  <c r="R251" i="5"/>
  <c r="S251" i="5"/>
  <c r="T251" i="5"/>
  <c r="U251" i="5"/>
  <c r="V251" i="5"/>
  <c r="W251" i="5"/>
  <c r="N252" i="5"/>
  <c r="O252" i="5"/>
  <c r="P252" i="5"/>
  <c r="Q252" i="5"/>
  <c r="R252" i="5"/>
  <c r="S252" i="5"/>
  <c r="T252" i="5"/>
  <c r="U252" i="5"/>
  <c r="V252" i="5"/>
  <c r="W252" i="5"/>
  <c r="N253" i="5"/>
  <c r="O253" i="5"/>
  <c r="P253" i="5"/>
  <c r="Q253" i="5"/>
  <c r="R253" i="5"/>
  <c r="S253" i="5"/>
  <c r="T253" i="5"/>
  <c r="U253" i="5"/>
  <c r="V253" i="5"/>
  <c r="W253" i="5"/>
  <c r="N254" i="5"/>
  <c r="O254" i="5"/>
  <c r="P254" i="5"/>
  <c r="Q254" i="5"/>
  <c r="R254" i="5"/>
  <c r="S254" i="5"/>
  <c r="T254" i="5"/>
  <c r="U254" i="5"/>
  <c r="V254" i="5"/>
  <c r="W254" i="5"/>
  <c r="N255" i="5"/>
  <c r="O255" i="5"/>
  <c r="P255" i="5"/>
  <c r="Q255" i="5"/>
  <c r="R255" i="5"/>
  <c r="S255" i="5"/>
  <c r="T255" i="5"/>
  <c r="U255" i="5"/>
  <c r="V255" i="5"/>
  <c r="W255" i="5"/>
  <c r="N256" i="5"/>
  <c r="O256" i="5"/>
  <c r="P256" i="5"/>
  <c r="Q256" i="5"/>
  <c r="R256" i="5"/>
  <c r="S256" i="5"/>
  <c r="T256" i="5"/>
  <c r="U256" i="5"/>
  <c r="V256" i="5"/>
  <c r="W256" i="5"/>
  <c r="N257" i="5"/>
  <c r="O257" i="5"/>
  <c r="P257" i="5"/>
  <c r="Q257" i="5"/>
  <c r="R257" i="5"/>
  <c r="S257" i="5"/>
  <c r="T257" i="5"/>
  <c r="U257" i="5"/>
  <c r="V257" i="5"/>
  <c r="W257" i="5"/>
  <c r="N258" i="5"/>
  <c r="O258" i="5"/>
  <c r="P258" i="5"/>
  <c r="Q258" i="5"/>
  <c r="R258" i="5"/>
  <c r="S258" i="5"/>
  <c r="T258" i="5"/>
  <c r="U258" i="5"/>
  <c r="V258" i="5"/>
  <c r="W258" i="5"/>
  <c r="N259" i="5"/>
  <c r="O259" i="5"/>
  <c r="P259" i="5"/>
  <c r="Q259" i="5"/>
  <c r="R259" i="5"/>
  <c r="S259" i="5"/>
  <c r="T259" i="5"/>
  <c r="U259" i="5"/>
  <c r="V259" i="5"/>
  <c r="W259" i="5"/>
  <c r="N260" i="5"/>
  <c r="O260" i="5"/>
  <c r="P260" i="5"/>
  <c r="Q260" i="5"/>
  <c r="R260" i="5"/>
  <c r="S260" i="5"/>
  <c r="T260" i="5"/>
  <c r="U260" i="5"/>
  <c r="V260" i="5"/>
  <c r="W260" i="5"/>
  <c r="N261" i="5"/>
  <c r="O261" i="5"/>
  <c r="P261" i="5"/>
  <c r="Q261" i="5"/>
  <c r="R261" i="5"/>
  <c r="S261" i="5"/>
  <c r="T261" i="5"/>
  <c r="U261" i="5"/>
  <c r="V261" i="5"/>
  <c r="W261" i="5"/>
  <c r="N262" i="5"/>
  <c r="O262" i="5"/>
  <c r="P262" i="5"/>
  <c r="Q262" i="5"/>
  <c r="R262" i="5"/>
  <c r="S262" i="5"/>
  <c r="T262" i="5"/>
  <c r="U262" i="5"/>
  <c r="V262" i="5"/>
  <c r="W262" i="5"/>
  <c r="N263" i="5"/>
  <c r="O263" i="5"/>
  <c r="P263" i="5"/>
  <c r="Q263" i="5"/>
  <c r="R263" i="5"/>
  <c r="S263" i="5"/>
  <c r="T263" i="5"/>
  <c r="U263" i="5"/>
  <c r="V263" i="5"/>
  <c r="W263" i="5"/>
  <c r="N264" i="5"/>
  <c r="O264" i="5"/>
  <c r="P264" i="5"/>
  <c r="Q264" i="5"/>
  <c r="R264" i="5"/>
  <c r="S264" i="5"/>
  <c r="T264" i="5"/>
  <c r="U264" i="5"/>
  <c r="V264" i="5"/>
  <c r="W264" i="5"/>
  <c r="N265" i="5"/>
  <c r="O265" i="5"/>
  <c r="P265" i="5"/>
  <c r="Q265" i="5"/>
  <c r="R265" i="5"/>
  <c r="S265" i="5"/>
  <c r="T265" i="5"/>
  <c r="U265" i="5"/>
  <c r="V265" i="5"/>
  <c r="W265" i="5"/>
  <c r="N266" i="5"/>
  <c r="O266" i="5"/>
  <c r="P266" i="5"/>
  <c r="Q266" i="5"/>
  <c r="R266" i="5"/>
  <c r="S266" i="5"/>
  <c r="T266" i="5"/>
  <c r="U266" i="5"/>
  <c r="V266" i="5"/>
  <c r="W266" i="5"/>
  <c r="N267" i="5"/>
  <c r="O267" i="5"/>
  <c r="P267" i="5"/>
  <c r="Q267" i="5"/>
  <c r="R267" i="5"/>
  <c r="S267" i="5"/>
  <c r="T267" i="5"/>
  <c r="U267" i="5"/>
  <c r="V267" i="5"/>
  <c r="W267" i="5"/>
  <c r="N268" i="5"/>
  <c r="O268" i="5"/>
  <c r="P268" i="5"/>
  <c r="Q268" i="5"/>
  <c r="R268" i="5"/>
  <c r="S268" i="5"/>
  <c r="T268" i="5"/>
  <c r="U268" i="5"/>
  <c r="V268" i="5"/>
  <c r="W268" i="5"/>
  <c r="N269" i="5"/>
  <c r="O269" i="5"/>
  <c r="P269" i="5"/>
  <c r="Q269" i="5"/>
  <c r="R269" i="5"/>
  <c r="S269" i="5"/>
  <c r="T269" i="5"/>
  <c r="U269" i="5"/>
  <c r="V269" i="5"/>
  <c r="W269" i="5"/>
  <c r="N270" i="5"/>
  <c r="O270" i="5"/>
  <c r="P270" i="5"/>
  <c r="Q270" i="5"/>
  <c r="R270" i="5"/>
  <c r="S270" i="5"/>
  <c r="T270" i="5"/>
  <c r="U270" i="5"/>
  <c r="V270" i="5"/>
  <c r="W270" i="5"/>
  <c r="N271" i="5"/>
  <c r="O271" i="5"/>
  <c r="P271" i="5"/>
  <c r="Q271" i="5"/>
  <c r="R271" i="5"/>
  <c r="S271" i="5"/>
  <c r="T271" i="5"/>
  <c r="U271" i="5"/>
  <c r="V271" i="5"/>
  <c r="W271" i="5"/>
  <c r="N272" i="5"/>
  <c r="O272" i="5"/>
  <c r="P272" i="5"/>
  <c r="Q272" i="5"/>
  <c r="R272" i="5"/>
  <c r="S272" i="5"/>
  <c r="T272" i="5"/>
  <c r="U272" i="5"/>
  <c r="V272" i="5"/>
  <c r="W272" i="5"/>
  <c r="N273" i="5"/>
  <c r="O273" i="5"/>
  <c r="P273" i="5"/>
  <c r="Q273" i="5"/>
  <c r="R273" i="5"/>
  <c r="S273" i="5"/>
  <c r="T273" i="5"/>
  <c r="U273" i="5"/>
  <c r="V273" i="5"/>
  <c r="W273" i="5"/>
  <c r="N274" i="5"/>
  <c r="O274" i="5"/>
  <c r="P274" i="5"/>
  <c r="Q274" i="5"/>
  <c r="R274" i="5"/>
  <c r="S274" i="5"/>
  <c r="T274" i="5"/>
  <c r="U274" i="5"/>
  <c r="V274" i="5"/>
  <c r="W274" i="5"/>
  <c r="N275" i="5"/>
  <c r="O275" i="5"/>
  <c r="P275" i="5"/>
  <c r="Q275" i="5"/>
  <c r="R275" i="5"/>
  <c r="S275" i="5"/>
  <c r="T275" i="5"/>
  <c r="U275" i="5"/>
  <c r="V275" i="5"/>
  <c r="W275" i="5"/>
  <c r="N276" i="5"/>
  <c r="O276" i="5"/>
  <c r="P276" i="5"/>
  <c r="Q276" i="5"/>
  <c r="R276" i="5"/>
  <c r="S276" i="5"/>
  <c r="T276" i="5"/>
  <c r="U276" i="5"/>
  <c r="V276" i="5"/>
  <c r="W276" i="5"/>
  <c r="N277" i="5"/>
  <c r="O277" i="5"/>
  <c r="P277" i="5"/>
  <c r="Q277" i="5"/>
  <c r="R277" i="5"/>
  <c r="S277" i="5"/>
  <c r="T277" i="5"/>
  <c r="U277" i="5"/>
  <c r="V277" i="5"/>
  <c r="W277" i="5"/>
  <c r="N278" i="5"/>
  <c r="O278" i="5"/>
  <c r="P278" i="5"/>
  <c r="Q278" i="5"/>
  <c r="R278" i="5"/>
  <c r="S278" i="5"/>
  <c r="T278" i="5"/>
  <c r="U278" i="5"/>
  <c r="V278" i="5"/>
  <c r="W278" i="5"/>
  <c r="N279" i="5"/>
  <c r="O279" i="5"/>
  <c r="P279" i="5"/>
  <c r="Q279" i="5"/>
  <c r="R279" i="5"/>
  <c r="S279" i="5"/>
  <c r="T279" i="5"/>
  <c r="U279" i="5"/>
  <c r="V279" i="5"/>
  <c r="W279" i="5"/>
  <c r="N280" i="5"/>
  <c r="O280" i="5"/>
  <c r="P280" i="5"/>
  <c r="Q280" i="5"/>
  <c r="R280" i="5"/>
  <c r="S280" i="5"/>
  <c r="T280" i="5"/>
  <c r="U280" i="5"/>
  <c r="V280" i="5"/>
  <c r="W280" i="5"/>
  <c r="N281" i="5"/>
  <c r="O281" i="5"/>
  <c r="P281" i="5"/>
  <c r="Q281" i="5"/>
  <c r="R281" i="5"/>
  <c r="S281" i="5"/>
  <c r="T281" i="5"/>
  <c r="U281" i="5"/>
  <c r="V281" i="5"/>
  <c r="W281" i="5"/>
  <c r="N282" i="5"/>
  <c r="O282" i="5"/>
  <c r="P282" i="5"/>
  <c r="Q282" i="5"/>
  <c r="R282" i="5"/>
  <c r="S282" i="5"/>
  <c r="T282" i="5"/>
  <c r="U282" i="5"/>
  <c r="V282" i="5"/>
  <c r="W282" i="5"/>
  <c r="N283" i="5"/>
  <c r="O283" i="5"/>
  <c r="P283" i="5"/>
  <c r="Q283" i="5"/>
  <c r="R283" i="5"/>
  <c r="S283" i="5"/>
  <c r="T283" i="5"/>
  <c r="U283" i="5"/>
  <c r="V283" i="5"/>
  <c r="W283" i="5"/>
  <c r="N284" i="5"/>
  <c r="O284" i="5"/>
  <c r="P284" i="5"/>
  <c r="Q284" i="5"/>
  <c r="R284" i="5"/>
  <c r="S284" i="5"/>
  <c r="T284" i="5"/>
  <c r="U284" i="5"/>
  <c r="V284" i="5"/>
  <c r="W284" i="5"/>
  <c r="N285" i="5"/>
  <c r="O285" i="5"/>
  <c r="P285" i="5"/>
  <c r="Q285" i="5"/>
  <c r="R285" i="5"/>
  <c r="S285" i="5"/>
  <c r="T285" i="5"/>
  <c r="U285" i="5"/>
  <c r="V285" i="5"/>
  <c r="W285" i="5"/>
  <c r="N286" i="5"/>
  <c r="O286" i="5"/>
  <c r="P286" i="5"/>
  <c r="Q286" i="5"/>
  <c r="R286" i="5"/>
  <c r="S286" i="5"/>
  <c r="T286" i="5"/>
  <c r="U286" i="5"/>
  <c r="V286" i="5"/>
  <c r="W286" i="5"/>
  <c r="N287" i="5"/>
  <c r="O287" i="5"/>
  <c r="P287" i="5"/>
  <c r="Q287" i="5"/>
  <c r="R287" i="5"/>
  <c r="S287" i="5"/>
  <c r="T287" i="5"/>
  <c r="U287" i="5"/>
  <c r="V287" i="5"/>
  <c r="W287" i="5"/>
  <c r="N288" i="5"/>
  <c r="O288" i="5"/>
  <c r="P288" i="5"/>
  <c r="Q288" i="5"/>
  <c r="R288" i="5"/>
  <c r="S288" i="5"/>
  <c r="T288" i="5"/>
  <c r="U288" i="5"/>
  <c r="V288" i="5"/>
  <c r="W288" i="5"/>
  <c r="N289" i="5"/>
  <c r="O289" i="5"/>
  <c r="P289" i="5"/>
  <c r="Q289" i="5"/>
  <c r="R289" i="5"/>
  <c r="S289" i="5"/>
  <c r="T289" i="5"/>
  <c r="U289" i="5"/>
  <c r="V289" i="5"/>
  <c r="W289" i="5"/>
  <c r="N290" i="5"/>
  <c r="O290" i="5"/>
  <c r="P290" i="5"/>
  <c r="Q290" i="5"/>
  <c r="R290" i="5"/>
  <c r="S290" i="5"/>
  <c r="T290" i="5"/>
  <c r="U290" i="5"/>
  <c r="V290" i="5"/>
  <c r="W290" i="5"/>
  <c r="N291" i="5"/>
  <c r="O291" i="5"/>
  <c r="P291" i="5"/>
  <c r="Q291" i="5"/>
  <c r="R291" i="5"/>
  <c r="S291" i="5"/>
  <c r="T291" i="5"/>
  <c r="U291" i="5"/>
  <c r="V291" i="5"/>
  <c r="W291" i="5"/>
  <c r="N292" i="5"/>
  <c r="O292" i="5"/>
  <c r="P292" i="5"/>
  <c r="Q292" i="5"/>
  <c r="R292" i="5"/>
  <c r="S292" i="5"/>
  <c r="T292" i="5"/>
  <c r="U292" i="5"/>
  <c r="V292" i="5"/>
  <c r="W292" i="5"/>
  <c r="N293" i="5"/>
  <c r="O293" i="5"/>
  <c r="P293" i="5"/>
  <c r="Q293" i="5"/>
  <c r="R293" i="5"/>
  <c r="S293" i="5"/>
  <c r="T293" i="5"/>
  <c r="U293" i="5"/>
  <c r="V293" i="5"/>
  <c r="W293" i="5"/>
  <c r="N294" i="5"/>
  <c r="O294" i="5"/>
  <c r="P294" i="5"/>
  <c r="Q294" i="5"/>
  <c r="R294" i="5"/>
  <c r="S294" i="5"/>
  <c r="T294" i="5"/>
  <c r="U294" i="5"/>
  <c r="V294" i="5"/>
  <c r="W294" i="5"/>
  <c r="N295" i="5"/>
  <c r="O295" i="5"/>
  <c r="P295" i="5"/>
  <c r="Q295" i="5"/>
  <c r="R295" i="5"/>
  <c r="S295" i="5"/>
  <c r="T295" i="5"/>
  <c r="U295" i="5"/>
  <c r="V295" i="5"/>
  <c r="W295" i="5"/>
  <c r="N296" i="5"/>
  <c r="O296" i="5"/>
  <c r="P296" i="5"/>
  <c r="Q296" i="5"/>
  <c r="R296" i="5"/>
  <c r="S296" i="5"/>
  <c r="T296" i="5"/>
  <c r="U296" i="5"/>
  <c r="V296" i="5"/>
  <c r="W296" i="5"/>
  <c r="N297" i="5"/>
  <c r="O297" i="5"/>
  <c r="P297" i="5"/>
  <c r="Q297" i="5"/>
  <c r="R297" i="5"/>
  <c r="S297" i="5"/>
  <c r="T297" i="5"/>
  <c r="U297" i="5"/>
  <c r="V297" i="5"/>
  <c r="W297" i="5"/>
  <c r="N298" i="5"/>
  <c r="O298" i="5"/>
  <c r="P298" i="5"/>
  <c r="Q298" i="5"/>
  <c r="R298" i="5"/>
  <c r="S298" i="5"/>
  <c r="T298" i="5"/>
  <c r="U298" i="5"/>
  <c r="V298" i="5"/>
  <c r="W298" i="5"/>
  <c r="N299" i="5"/>
  <c r="O299" i="5"/>
  <c r="P299" i="5"/>
  <c r="Q299" i="5"/>
  <c r="R299" i="5"/>
  <c r="S299" i="5"/>
  <c r="T299" i="5"/>
  <c r="U299" i="5"/>
  <c r="V299" i="5"/>
  <c r="W299" i="5"/>
  <c r="N300" i="5"/>
  <c r="O300" i="5"/>
  <c r="P300" i="5"/>
  <c r="Q300" i="5"/>
  <c r="R300" i="5"/>
  <c r="S300" i="5"/>
  <c r="T300" i="5"/>
  <c r="U300" i="5"/>
  <c r="V300" i="5"/>
  <c r="W300" i="5"/>
  <c r="N301" i="5"/>
  <c r="O301" i="5"/>
  <c r="P301" i="5"/>
  <c r="Q301" i="5"/>
  <c r="R301" i="5"/>
  <c r="S301" i="5"/>
  <c r="T301" i="5"/>
  <c r="U301" i="5"/>
  <c r="V301" i="5"/>
  <c r="W301" i="5"/>
  <c r="N302" i="5"/>
  <c r="O302" i="5"/>
  <c r="P302" i="5"/>
  <c r="Q302" i="5"/>
  <c r="R302" i="5"/>
  <c r="S302" i="5"/>
  <c r="T302" i="5"/>
  <c r="U302" i="5"/>
  <c r="V302" i="5"/>
  <c r="W302" i="5"/>
  <c r="N303" i="5"/>
  <c r="O303" i="5"/>
  <c r="P303" i="5"/>
  <c r="Q303" i="5"/>
  <c r="R303" i="5"/>
  <c r="S303" i="5"/>
  <c r="T303" i="5"/>
  <c r="U303" i="5"/>
  <c r="V303" i="5"/>
  <c r="W303" i="5"/>
  <c r="N304" i="5"/>
  <c r="O304" i="5"/>
  <c r="P304" i="5"/>
  <c r="Q304" i="5"/>
  <c r="R304" i="5"/>
  <c r="S304" i="5"/>
  <c r="T304" i="5"/>
  <c r="U304" i="5"/>
  <c r="V304" i="5"/>
  <c r="W304" i="5"/>
  <c r="N305" i="5"/>
  <c r="O305" i="5"/>
  <c r="P305" i="5"/>
  <c r="Q305" i="5"/>
  <c r="R305" i="5"/>
  <c r="S305" i="5"/>
  <c r="T305" i="5"/>
  <c r="U305" i="5"/>
  <c r="V305" i="5"/>
  <c r="W305" i="5"/>
  <c r="N306" i="5"/>
  <c r="O306" i="5"/>
  <c r="P306" i="5"/>
  <c r="Q306" i="5"/>
  <c r="R306" i="5"/>
  <c r="S306" i="5"/>
  <c r="T306" i="5"/>
  <c r="U306" i="5"/>
  <c r="V306" i="5"/>
  <c r="W306" i="5"/>
  <c r="N307" i="5"/>
  <c r="O307" i="5"/>
  <c r="P307" i="5"/>
  <c r="Q307" i="5"/>
  <c r="R307" i="5"/>
  <c r="S307" i="5"/>
  <c r="T307" i="5"/>
  <c r="U307" i="5"/>
  <c r="V307" i="5"/>
  <c r="W307" i="5"/>
  <c r="N308" i="5"/>
  <c r="O308" i="5"/>
  <c r="P308" i="5"/>
  <c r="Q308" i="5"/>
  <c r="R308" i="5"/>
  <c r="S308" i="5"/>
  <c r="T308" i="5"/>
  <c r="U308" i="5"/>
  <c r="V308" i="5"/>
  <c r="W308" i="5"/>
  <c r="N309" i="5"/>
  <c r="O309" i="5"/>
  <c r="P309" i="5"/>
  <c r="Q309" i="5"/>
  <c r="R309" i="5"/>
  <c r="S309" i="5"/>
  <c r="T309" i="5"/>
  <c r="U309" i="5"/>
  <c r="V309" i="5"/>
  <c r="W309" i="5"/>
  <c r="N310" i="5"/>
  <c r="O310" i="5"/>
  <c r="P310" i="5"/>
  <c r="Q310" i="5"/>
  <c r="R310" i="5"/>
  <c r="S310" i="5"/>
  <c r="T310" i="5"/>
  <c r="U310" i="5"/>
  <c r="V310" i="5"/>
  <c r="W310" i="5"/>
  <c r="N311" i="5"/>
  <c r="O311" i="5"/>
  <c r="P311" i="5"/>
  <c r="Q311" i="5"/>
  <c r="R311" i="5"/>
  <c r="S311" i="5"/>
  <c r="T311" i="5"/>
  <c r="U311" i="5"/>
  <c r="V311" i="5"/>
  <c r="W311" i="5"/>
  <c r="N312" i="5"/>
  <c r="O312" i="5"/>
  <c r="P312" i="5"/>
  <c r="Q312" i="5"/>
  <c r="R312" i="5"/>
  <c r="S312" i="5"/>
  <c r="T312" i="5"/>
  <c r="U312" i="5"/>
  <c r="V312" i="5"/>
  <c r="W312" i="5"/>
  <c r="N313" i="5"/>
  <c r="O313" i="5"/>
  <c r="P313" i="5"/>
  <c r="Q313" i="5"/>
  <c r="R313" i="5"/>
  <c r="S313" i="5"/>
  <c r="T313" i="5"/>
  <c r="U313" i="5"/>
  <c r="V313" i="5"/>
  <c r="W313" i="5"/>
  <c r="N314" i="5"/>
  <c r="O314" i="5"/>
  <c r="P314" i="5"/>
  <c r="Q314" i="5"/>
  <c r="R314" i="5"/>
  <c r="S314" i="5"/>
  <c r="T314" i="5"/>
  <c r="U314" i="5"/>
  <c r="V314" i="5"/>
  <c r="W314" i="5"/>
  <c r="N315" i="5"/>
  <c r="O315" i="5"/>
  <c r="P315" i="5"/>
  <c r="Q315" i="5"/>
  <c r="R315" i="5"/>
  <c r="S315" i="5"/>
  <c r="T315" i="5"/>
  <c r="U315" i="5"/>
  <c r="V315" i="5"/>
  <c r="W315" i="5"/>
  <c r="O10" i="5"/>
  <c r="P10" i="5"/>
  <c r="Q10" i="5"/>
  <c r="R10" i="5"/>
  <c r="S10" i="5"/>
  <c r="T10" i="5"/>
  <c r="U10" i="5"/>
  <c r="V10" i="5"/>
  <c r="W10" i="5"/>
  <c r="N10" i="5"/>
  <c r="N1" i="5" l="1"/>
  <c r="O1" i="5"/>
  <c r="P1" i="5"/>
  <c r="S1" i="5"/>
  <c r="P1" i="6"/>
  <c r="O1" i="6"/>
  <c r="T1" i="6"/>
  <c r="R1" i="6"/>
  <c r="U1" i="6"/>
  <c r="S1" i="6"/>
  <c r="Q1" i="6"/>
  <c r="N1" i="6"/>
  <c r="W1" i="5"/>
  <c r="U1" i="5"/>
  <c r="T1" i="5"/>
  <c r="R1" i="5"/>
  <c r="Q1" i="5"/>
  <c r="V1" i="5"/>
  <c r="A322" i="3" l="1"/>
</calcChain>
</file>

<file path=xl/sharedStrings.xml><?xml version="1.0" encoding="utf-8"?>
<sst xmlns="http://schemas.openxmlformats.org/spreadsheetml/2006/main" count="336" uniqueCount="51">
  <si>
    <t>E1 New Zealand's official overseas reserves</t>
  </si>
  <si>
    <t>(NZ$ millions)</t>
  </si>
  <si>
    <t xml:space="preserve">Reserve </t>
  </si>
  <si>
    <t>Total</t>
  </si>
  <si>
    <t>Bank</t>
  </si>
  <si>
    <t xml:space="preserve">Treasury </t>
  </si>
  <si>
    <t>foreign</t>
  </si>
  <si>
    <t>Reserve</t>
  </si>
  <si>
    <t>Special</t>
  </si>
  <si>
    <t>overseas</t>
  </si>
  <si>
    <t>exch.</t>
  </si>
  <si>
    <t>position</t>
  </si>
  <si>
    <t>Drawing</t>
  </si>
  <si>
    <t xml:space="preserve">official </t>
  </si>
  <si>
    <t>reserves</t>
  </si>
  <si>
    <t>Gold</t>
  </si>
  <si>
    <t>at IMF</t>
  </si>
  <si>
    <t>Rights</t>
  </si>
  <si>
    <t>-</t>
  </si>
  <si>
    <t>Source: Reserve Bank of New Zealand and The Treasury</t>
  </si>
  <si>
    <t>Last updated 30 April 2000</t>
  </si>
  <si>
    <t>E1 New Zealand's official reserve assets and other foreign currency assets</t>
  </si>
  <si>
    <t xml:space="preserve">RESERVE BANK </t>
  </si>
  <si>
    <t>Other</t>
  </si>
  <si>
    <t>Foreign currency reserves</t>
  </si>
  <si>
    <t xml:space="preserve">Other </t>
  </si>
  <si>
    <t>Treasury</t>
  </si>
  <si>
    <t>official</t>
  </si>
  <si>
    <t>reserve</t>
  </si>
  <si>
    <t>currency</t>
  </si>
  <si>
    <t>Securities</t>
  </si>
  <si>
    <t>Cash and</t>
  </si>
  <si>
    <t>assets</t>
  </si>
  <si>
    <t>deposits</t>
  </si>
  <si>
    <t>TREASURY</t>
  </si>
  <si>
    <t>drawing</t>
  </si>
  <si>
    <t>rights</t>
  </si>
  <si>
    <t>Mapping</t>
  </si>
  <si>
    <t>Maps to</t>
  </si>
  <si>
    <t>(see note 1 below)</t>
  </si>
  <si>
    <t>IMF</t>
  </si>
  <si>
    <t>I.A.2</t>
  </si>
  <si>
    <t>I.A.3</t>
  </si>
  <si>
    <t>I.A</t>
  </si>
  <si>
    <t>I.B</t>
  </si>
  <si>
    <t xml:space="preserve">This table draws key items from the more comprehensive data template on international reserves and foreign  </t>
  </si>
  <si>
    <t>currency liquidity for New Zealand, completed in accordance with IMF guidelines.  The template is a prescribed</t>
  </si>
  <si>
    <t>category of the IMF's Special Data Dissemination Standard (SDDS)</t>
  </si>
  <si>
    <t>E1 New Zealand's official reserve assets and other foreign currency assets (Please download from web and paste here)</t>
  </si>
  <si>
    <t>CHECK</t>
  </si>
  <si>
    <t>Last updated 9th January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</si>
</sst>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-* #,##0.00_-;\-* #,##0.00_-;_-* &quot;-&quot;??_-;_-@_-"/>
    <numFmt numFmtId="164" formatCode="#,##0.0"/>
    <numFmt numFmtId="165" formatCode="#,##0.0________\ "/>
    <numFmt numFmtId="166" formatCode="mmm"/>
    <numFmt numFmtId="167" formatCode="mmm\ yyyy"/>
    <numFmt numFmtId="168" formatCode="#,##0.0_);\(#,##0.0\)"/>
    <numFmt numFmtId="169" formatCode="d\ mmm\ yyyy"/>
    <numFmt numFmtId="170" formatCode="#,##0.0_ ;\-#,##0.0\ "/>
    <numFmt numFmtId="171" formatCode="_-* #,##0.0_-;\-* #,##0.0_-;_-* &quot;-&quot;?_-;_-@_-"/>
    <numFmt numFmtId="172" formatCode="#,##0_ ;\-#,##0\ "/>
    <numFmt numFmtId="173" formatCode="#,##0.00_ ;\-#,##0.00\ "/>
    <numFmt numFmtId="174" formatCode="_-* #,##0_-;\-* #,##0_-;_-* &quot;-&quot;??_-;_-@_-"/>
  </numFmts>
  <fonts count="24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name val="Times New Roman"/>
      <family val="1"/>
    </font>
    <font>
      <b/>
      <sz val="12"/>
      <name val="Times New Roman"/>
      <family val="1"/>
    </font>
    <font>
      <b/>
      <sz val="10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i/>
      <sz val="9"/>
      <name val="Times New Roman"/>
      <family val="1"/>
    </font>
    <font>
      <sz val="10"/>
      <name val="Times New Roman"/>
      <family val="1"/>
    </font>
    <font>
      <sz val="10"/>
      <name val="Arial"/>
      <family val="2"/>
    </font>
    <font>
      <b/>
      <i/>
      <sz val="10"/>
      <name val="Times New Roman"/>
      <family val="1"/>
    </font>
    <font>
      <sz val="10"/>
      <color indexed="56"/>
      <name val="Times New Roman"/>
      <family val="1"/>
    </font>
    <font>
      <sz val="10"/>
      <color indexed="10"/>
      <name val="Times New Roman"/>
      <family val="1"/>
    </font>
    <font>
      <i/>
      <sz val="10"/>
      <name val="Times New Roman"/>
      <family val="1"/>
    </font>
    <font>
      <i/>
      <sz val="10"/>
      <color indexed="10"/>
      <name val="Times New Roman"/>
      <family val="1"/>
    </font>
    <font>
      <vertAlign val="superscript"/>
      <sz val="10"/>
      <name val="Times New Roman"/>
      <family val="1"/>
    </font>
    <font>
      <vertAlign val="superscript"/>
      <sz val="10"/>
      <name val="Arial"/>
      <family val="2"/>
    </font>
    <font>
      <b/>
      <sz val="10"/>
      <name val="ARIAL"/>
      <family val="2"/>
    </font>
    <font>
      <sz val="10"/>
      <color rgb="FFFF0000"/>
      <name val="Times New Roman"/>
      <family val="1"/>
    </font>
    <font>
      <sz val="10"/>
      <color rgb="FFFF0000"/>
      <name val="Arial"/>
      <family val="2"/>
    </font>
    <font>
      <i/>
      <sz val="10"/>
      <color rgb="FFFF0000"/>
      <name val="Times New Roman"/>
      <family val="1"/>
    </font>
    <font>
      <sz val="10"/>
      <name val="Arial"/>
      <family val="2"/>
    </font>
    <font>
      <b/>
      <sz val="12"/>
      <color rgb="FFFF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10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 style="thin">
        <color indexed="64"/>
      </left>
      <right style="thin">
        <color indexed="64"/>
      </right>
      <top style="thin">
        <color indexed="10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8"/>
      </left>
      <right/>
      <top style="thin">
        <color indexed="10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10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8"/>
      </top>
      <bottom/>
      <diagonal/>
    </border>
  </borders>
  <cellStyleXfs count="7">
    <xf numFmtId="0" fontId="0" fillId="0" borderId="0"/>
    <xf numFmtId="169" fontId="3" fillId="0" borderId="0">
      <alignment horizontal="left"/>
    </xf>
    <xf numFmtId="0" fontId="2" fillId="0" borderId="0"/>
    <xf numFmtId="0" fontId="4" fillId="0" borderId="0">
      <alignment horizontal="left"/>
    </xf>
    <xf numFmtId="170" fontId="3" fillId="0" borderId="1">
      <alignment horizontal="right"/>
    </xf>
    <xf numFmtId="172" fontId="3" fillId="2" borderId="0" applyFont="0" applyFill="0"/>
    <xf numFmtId="43" fontId="22" fillId="0" borderId="0" applyFont="0" applyFill="0" applyBorder="0" applyAlignment="0" applyProtection="0"/>
  </cellStyleXfs>
  <cellXfs count="167">
    <xf numFmtId="0" fontId="0" fillId="0" borderId="0" xfId="0"/>
    <xf numFmtId="0" fontId="3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/>
    <xf numFmtId="0" fontId="8" fillId="0" borderId="2" xfId="0" applyFont="1" applyBorder="1"/>
    <xf numFmtId="0" fontId="6" fillId="0" borderId="2" xfId="0" applyFont="1" applyBorder="1"/>
    <xf numFmtId="0" fontId="5" fillId="0" borderId="3" xfId="0" applyFont="1" applyBorder="1" applyAlignment="1">
      <alignment horizontal="center" vertical="center"/>
    </xf>
    <xf numFmtId="0" fontId="5" fillId="0" borderId="0" xfId="0" quotePrefix="1" applyFont="1" applyAlignment="1">
      <alignment horizontal="center" vertical="center"/>
    </xf>
    <xf numFmtId="0" fontId="3" fillId="0" borderId="0" xfId="0" applyFont="1" applyAlignment="1" applyProtection="1">
      <alignment horizontal="center"/>
      <protection locked="0"/>
    </xf>
    <xf numFmtId="0" fontId="3" fillId="0" borderId="0" xfId="0" applyFont="1" applyAlignment="1">
      <alignment horizontal="center" vertical="center"/>
    </xf>
    <xf numFmtId="0" fontId="10" fillId="0" borderId="0" xfId="0" applyFont="1"/>
    <xf numFmtId="0" fontId="1" fillId="0" borderId="0" xfId="0" applyFont="1"/>
    <xf numFmtId="0" fontId="5" fillId="0" borderId="0" xfId="0" applyFont="1"/>
    <xf numFmtId="0" fontId="2" fillId="0" borderId="0" xfId="0" applyFont="1"/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165" fontId="3" fillId="0" borderId="0" xfId="0" applyNumberFormat="1" applyFont="1" applyAlignment="1" applyProtection="1">
      <alignment horizontal="right"/>
      <protection locked="0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165" fontId="13" fillId="0" borderId="0" xfId="0" applyNumberFormat="1" applyFont="1" applyAlignment="1" applyProtection="1">
      <alignment horizontal="center"/>
      <protection locked="0"/>
    </xf>
    <xf numFmtId="165" fontId="13" fillId="0" borderId="10" xfId="0" applyNumberFormat="1" applyFont="1" applyBorder="1" applyAlignment="1" applyProtection="1">
      <alignment horizontal="center"/>
      <protection locked="0"/>
    </xf>
    <xf numFmtId="165" fontId="13" fillId="0" borderId="8" xfId="0" applyNumberFormat="1" applyFont="1" applyBorder="1" applyAlignment="1" applyProtection="1">
      <alignment horizontal="center"/>
      <protection locked="0"/>
    </xf>
    <xf numFmtId="165" fontId="13" fillId="0" borderId="15" xfId="0" applyNumberFormat="1" applyFont="1" applyBorder="1" applyAlignment="1" applyProtection="1">
      <alignment horizontal="center"/>
      <protection locked="0"/>
    </xf>
    <xf numFmtId="165" fontId="13" fillId="0" borderId="3" xfId="0" applyNumberFormat="1" applyFont="1" applyBorder="1" applyAlignment="1" applyProtection="1">
      <alignment horizontal="center"/>
      <protection locked="0"/>
    </xf>
    <xf numFmtId="165" fontId="13" fillId="0" borderId="4" xfId="0" applyNumberFormat="1" applyFont="1" applyBorder="1" applyAlignment="1" applyProtection="1">
      <alignment horizontal="center"/>
      <protection locked="0"/>
    </xf>
    <xf numFmtId="0" fontId="9" fillId="0" borderId="10" xfId="0" applyFont="1" applyBorder="1" applyAlignment="1">
      <alignment horizontal="center" vertical="center"/>
    </xf>
    <xf numFmtId="165" fontId="3" fillId="0" borderId="0" xfId="0" applyNumberFormat="1" applyFont="1" applyAlignment="1" applyProtection="1">
      <alignment horizontal="left"/>
      <protection locked="0"/>
    </xf>
    <xf numFmtId="0" fontId="5" fillId="0" borderId="0" xfId="0" quotePrefix="1" applyFont="1" applyAlignment="1">
      <alignment horizontal="centerContinuous" vertical="center"/>
    </xf>
    <xf numFmtId="0" fontId="5" fillId="0" borderId="15" xfId="0" applyFont="1" applyBorder="1" applyAlignment="1">
      <alignment horizontal="centerContinuous" vertical="center"/>
    </xf>
    <xf numFmtId="0" fontId="5" fillId="0" borderId="0" xfId="0" applyFont="1" applyAlignment="1">
      <alignment horizontal="centerContinuous" vertical="center"/>
    </xf>
    <xf numFmtId="0" fontId="5" fillId="0" borderId="3" xfId="0" applyFont="1" applyBorder="1" applyAlignment="1">
      <alignment horizontal="centerContinuous" vertical="center"/>
    </xf>
    <xf numFmtId="0" fontId="5" fillId="0" borderId="4" xfId="0" applyFont="1" applyBorder="1" applyAlignment="1">
      <alignment horizontal="centerContinuous" vertical="center"/>
    </xf>
    <xf numFmtId="0" fontId="3" fillId="0" borderId="16" xfId="0" applyFont="1" applyBorder="1" applyAlignment="1">
      <alignment horizontal="center" vertical="center"/>
    </xf>
    <xf numFmtId="0" fontId="5" fillId="0" borderId="17" xfId="0" quotePrefix="1" applyFont="1" applyBorder="1" applyAlignment="1">
      <alignment horizontal="centerContinuous" vertical="center"/>
    </xf>
    <xf numFmtId="0" fontId="5" fillId="0" borderId="18" xfId="0" applyFont="1" applyBorder="1" applyAlignment="1">
      <alignment horizontal="centerContinuous" vertical="center"/>
    </xf>
    <xf numFmtId="0" fontId="4" fillId="0" borderId="19" xfId="0" applyFont="1" applyBorder="1" applyAlignment="1">
      <alignment horizontal="center" vertical="center"/>
    </xf>
    <xf numFmtId="0" fontId="3" fillId="0" borderId="12" xfId="0" applyFont="1" applyBorder="1"/>
    <xf numFmtId="0" fontId="4" fillId="0" borderId="0" xfId="0" applyFont="1" applyAlignment="1">
      <alignment horizontal="centerContinuous" vertical="center"/>
    </xf>
    <xf numFmtId="0" fontId="4" fillId="0" borderId="15" xfId="0" applyFont="1" applyBorder="1" applyAlignment="1">
      <alignment horizontal="centerContinuous" vertical="center"/>
    </xf>
    <xf numFmtId="0" fontId="5" fillId="0" borderId="1" xfId="0" applyFont="1" applyBorder="1" applyAlignment="1">
      <alignment horizontal="center" vertical="center"/>
    </xf>
    <xf numFmtId="0" fontId="5" fillId="0" borderId="20" xfId="0" applyFont="1" applyBorder="1" applyAlignment="1">
      <alignment horizontal="centerContinuous" vertical="center"/>
    </xf>
    <xf numFmtId="0" fontId="5" fillId="0" borderId="21" xfId="0" applyFont="1" applyBorder="1" applyAlignment="1">
      <alignment horizontal="centerContinuous" vertical="center"/>
    </xf>
    <xf numFmtId="0" fontId="5" fillId="0" borderId="22" xfId="0" applyFont="1" applyBorder="1" applyAlignment="1">
      <alignment horizontal="centerContinuous" vertical="center"/>
    </xf>
    <xf numFmtId="0" fontId="5" fillId="0" borderId="23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10" xfId="0" applyFont="1" applyBorder="1" applyAlignment="1">
      <alignment horizontal="centerContinuous" vertical="center"/>
    </xf>
    <xf numFmtId="0" fontId="5" fillId="0" borderId="8" xfId="0" applyFont="1" applyBorder="1" applyAlignment="1">
      <alignment horizontal="centerContinuous" vertical="center"/>
    </xf>
    <xf numFmtId="0" fontId="5" fillId="0" borderId="15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5" fillId="0" borderId="11" xfId="0" applyFont="1" applyBorder="1" applyAlignment="1">
      <alignment horizontal="center" vertical="center"/>
    </xf>
    <xf numFmtId="0" fontId="3" fillId="0" borderId="9" xfId="0" applyFont="1" applyBorder="1" applyAlignment="1">
      <alignment horizontal="center"/>
    </xf>
    <xf numFmtId="165" fontId="5" fillId="0" borderId="10" xfId="0" applyNumberFormat="1" applyFont="1" applyBorder="1" applyAlignment="1" applyProtection="1">
      <alignment horizontal="right"/>
      <protection locked="0"/>
    </xf>
    <xf numFmtId="165" fontId="5" fillId="0" borderId="8" xfId="0" applyNumberFormat="1" applyFont="1" applyBorder="1" applyAlignment="1" applyProtection="1">
      <alignment horizontal="right"/>
      <protection locked="0"/>
    </xf>
    <xf numFmtId="165" fontId="5" fillId="0" borderId="5" xfId="0" applyNumberFormat="1" applyFont="1" applyBorder="1" applyProtection="1">
      <protection locked="0"/>
    </xf>
    <xf numFmtId="0" fontId="5" fillId="0" borderId="5" xfId="0" applyFont="1" applyBorder="1"/>
    <xf numFmtId="165" fontId="11" fillId="0" borderId="5" xfId="0" applyNumberFormat="1" applyFont="1" applyBorder="1" applyAlignment="1" applyProtection="1">
      <alignment horizontal="right"/>
      <protection locked="0"/>
    </xf>
    <xf numFmtId="165" fontId="5" fillId="0" borderId="5" xfId="0" applyNumberFormat="1" applyFont="1" applyBorder="1" applyAlignment="1" applyProtection="1">
      <alignment horizontal="right"/>
      <protection locked="0"/>
    </xf>
    <xf numFmtId="0" fontId="5" fillId="0" borderId="5" xfId="0" applyFont="1" applyBorder="1" applyAlignment="1">
      <alignment horizontal="center"/>
    </xf>
    <xf numFmtId="168" fontId="3" fillId="0" borderId="0" xfId="3" applyNumberFormat="1" applyFont="1" applyAlignment="1"/>
    <xf numFmtId="168" fontId="3" fillId="0" borderId="0" xfId="0" applyNumberFormat="1" applyFont="1"/>
    <xf numFmtId="168" fontId="5" fillId="0" borderId="0" xfId="0" applyNumberFormat="1" applyFont="1" applyAlignment="1">
      <alignment horizontal="center" vertical="center"/>
    </xf>
    <xf numFmtId="0" fontId="3" fillId="0" borderId="13" xfId="0" applyFont="1" applyBorder="1"/>
    <xf numFmtId="0" fontId="5" fillId="0" borderId="13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166" fontId="13" fillId="0" borderId="9" xfId="0" applyNumberFormat="1" applyFont="1" applyBorder="1" applyAlignment="1">
      <alignment horizontal="left"/>
    </xf>
    <xf numFmtId="0" fontId="13" fillId="0" borderId="1" xfId="0" applyFont="1" applyBorder="1"/>
    <xf numFmtId="0" fontId="3" fillId="0" borderId="11" xfId="0" applyFont="1" applyBorder="1"/>
    <xf numFmtId="168" fontId="12" fillId="0" borderId="10" xfId="3" applyNumberFormat="1" applyFont="1" applyBorder="1" applyAlignment="1"/>
    <xf numFmtId="165" fontId="3" fillId="0" borderId="3" xfId="0" applyNumberFormat="1" applyFont="1" applyBorder="1" applyAlignment="1" applyProtection="1">
      <alignment horizontal="right"/>
      <protection locked="0"/>
    </xf>
    <xf numFmtId="168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70" fontId="3" fillId="0" borderId="0" xfId="4" applyBorder="1">
      <alignment horizontal="right"/>
    </xf>
    <xf numFmtId="170" fontId="3" fillId="0" borderId="1" xfId="4">
      <alignment horizontal="right"/>
    </xf>
    <xf numFmtId="0" fontId="4" fillId="0" borderId="2" xfId="0" quotePrefix="1" applyFont="1" applyBorder="1" applyAlignment="1">
      <alignment horizontal="left"/>
    </xf>
    <xf numFmtId="0" fontId="3" fillId="0" borderId="2" xfId="0" applyFont="1" applyBorder="1"/>
    <xf numFmtId="0" fontId="5" fillId="0" borderId="3" xfId="0" quotePrefix="1" applyFont="1" applyBorder="1" applyAlignment="1">
      <alignment horizontal="center" vertical="center"/>
    </xf>
    <xf numFmtId="0" fontId="3" fillId="0" borderId="0" xfId="0" applyFont="1" applyProtection="1">
      <protection locked="0"/>
    </xf>
    <xf numFmtId="164" fontId="3" fillId="0" borderId="0" xfId="0" applyNumberFormat="1" applyFont="1"/>
    <xf numFmtId="0" fontId="14" fillId="0" borderId="2" xfId="0" applyFont="1" applyBorder="1"/>
    <xf numFmtId="167" fontId="3" fillId="0" borderId="0" xfId="0" applyNumberFormat="1" applyFont="1" applyProtection="1">
      <protection locked="0"/>
    </xf>
    <xf numFmtId="0" fontId="4" fillId="0" borderId="0" xfId="3">
      <alignment horizontal="left"/>
    </xf>
    <xf numFmtId="169" fontId="15" fillId="0" borderId="0" xfId="1" applyFont="1">
      <alignment horizontal="left"/>
    </xf>
    <xf numFmtId="171" fontId="3" fillId="0" borderId="1" xfId="4" applyNumberFormat="1">
      <alignment horizontal="right"/>
    </xf>
    <xf numFmtId="165" fontId="16" fillId="0" borderId="0" xfId="0" applyNumberFormat="1" applyFont="1" applyAlignment="1" applyProtection="1">
      <alignment horizontal="left"/>
      <protection locked="0"/>
    </xf>
    <xf numFmtId="0" fontId="16" fillId="0" borderId="0" xfId="0" applyFont="1" applyAlignment="1">
      <alignment horizontal="left" vertical="center"/>
    </xf>
    <xf numFmtId="0" fontId="17" fillId="0" borderId="0" xfId="0" applyFont="1"/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/>
    </xf>
    <xf numFmtId="167" fontId="3" fillId="0" borderId="0" xfId="0" applyNumberFormat="1" applyFont="1"/>
    <xf numFmtId="0" fontId="7" fillId="0" borderId="0" xfId="0" applyFont="1" applyAlignment="1">
      <alignment horizontal="left"/>
    </xf>
    <xf numFmtId="170" fontId="3" fillId="0" borderId="6" xfId="4" applyBorder="1">
      <alignment horizontal="right"/>
    </xf>
    <xf numFmtId="170" fontId="3" fillId="0" borderId="5" xfId="4" applyBorder="1">
      <alignment horizontal="right"/>
    </xf>
    <xf numFmtId="170" fontId="3" fillId="0" borderId="7" xfId="4" applyBorder="1">
      <alignment horizontal="right"/>
    </xf>
    <xf numFmtId="170" fontId="3" fillId="0" borderId="9" xfId="4" applyBorder="1">
      <alignment horizontal="right"/>
    </xf>
    <xf numFmtId="170" fontId="3" fillId="0" borderId="10" xfId="4" applyBorder="1">
      <alignment horizontal="right"/>
    </xf>
    <xf numFmtId="170" fontId="3" fillId="0" borderId="8" xfId="4" applyBorder="1">
      <alignment horizontal="right"/>
    </xf>
    <xf numFmtId="170" fontId="5" fillId="0" borderId="0" xfId="4" applyFont="1" applyBorder="1">
      <alignment horizontal="right"/>
    </xf>
    <xf numFmtId="165" fontId="5" fillId="0" borderId="0" xfId="0" applyNumberFormat="1" applyFont="1" applyAlignment="1" applyProtection="1">
      <alignment horizontal="right"/>
      <protection locked="0"/>
    </xf>
    <xf numFmtId="0" fontId="18" fillId="0" borderId="0" xfId="0" applyFont="1"/>
    <xf numFmtId="167" fontId="5" fillId="0" borderId="15" xfId="0" applyNumberFormat="1" applyFont="1" applyBorder="1" applyProtection="1">
      <protection locked="0"/>
    </xf>
    <xf numFmtId="167" fontId="3" fillId="0" borderId="15" xfId="0" applyNumberFormat="1" applyFont="1" applyBorder="1" applyProtection="1">
      <protection locked="0"/>
    </xf>
    <xf numFmtId="0" fontId="3" fillId="0" borderId="8" xfId="0" applyFont="1" applyBorder="1" applyAlignment="1" applyProtection="1">
      <alignment horizontal="center"/>
      <protection locked="0"/>
    </xf>
    <xf numFmtId="0" fontId="3" fillId="0" borderId="4" xfId="0" applyFont="1" applyBorder="1" applyAlignment="1">
      <alignment horizontal="left" vertical="center"/>
    </xf>
    <xf numFmtId="172" fontId="3" fillId="0" borderId="0" xfId="4" applyNumberFormat="1" applyBorder="1">
      <alignment horizontal="right"/>
    </xf>
    <xf numFmtId="172" fontId="3" fillId="0" borderId="1" xfId="4" applyNumberFormat="1">
      <alignment horizontal="right"/>
    </xf>
    <xf numFmtId="172" fontId="3" fillId="0" borderId="0" xfId="0" applyNumberFormat="1" applyFont="1"/>
    <xf numFmtId="172" fontId="3" fillId="0" borderId="15" xfId="4" applyNumberFormat="1" applyBorder="1" applyAlignment="1"/>
    <xf numFmtId="172" fontId="3" fillId="0" borderId="6" xfId="4" applyNumberFormat="1" applyBorder="1" applyAlignment="1"/>
    <xf numFmtId="172" fontId="3" fillId="0" borderId="6" xfId="0" applyNumberFormat="1" applyFont="1" applyBorder="1"/>
    <xf numFmtId="172" fontId="3" fillId="0" borderId="15" xfId="0" applyNumberFormat="1" applyFont="1" applyBorder="1"/>
    <xf numFmtId="172" fontId="3" fillId="0" borderId="6" xfId="4" applyNumberFormat="1" applyBorder="1">
      <alignment horizontal="right"/>
    </xf>
    <xf numFmtId="172" fontId="6" fillId="0" borderId="0" xfId="0" applyNumberFormat="1" applyFont="1"/>
    <xf numFmtId="172" fontId="3" fillId="0" borderId="0" xfId="4" applyNumberFormat="1" applyBorder="1" applyAlignment="1"/>
    <xf numFmtId="0" fontId="2" fillId="0" borderId="0" xfId="0" applyFont="1" applyAlignment="1">
      <alignment wrapText="1"/>
    </xf>
    <xf numFmtId="170" fontId="3" fillId="0" borderId="0" xfId="4" applyBorder="1" applyAlignment="1">
      <alignment wrapText="1"/>
    </xf>
    <xf numFmtId="172" fontId="3" fillId="0" borderId="1" xfId="4" applyNumberFormat="1" applyAlignment="1"/>
    <xf numFmtId="169" fontId="15" fillId="0" borderId="15" xfId="1" applyFont="1" applyBorder="1">
      <alignment horizontal="left"/>
    </xf>
    <xf numFmtId="172" fontId="5" fillId="0" borderId="6" xfId="4" applyNumberFormat="1" applyFont="1" applyBorder="1" applyAlignment="1"/>
    <xf numFmtId="170" fontId="11" fillId="0" borderId="0" xfId="4" applyFont="1" applyBorder="1" applyAlignment="1">
      <alignment horizontal="left"/>
    </xf>
    <xf numFmtId="172" fontId="5" fillId="0" borderId="0" xfId="4" applyNumberFormat="1" applyFont="1" applyBorder="1" applyAlignment="1"/>
    <xf numFmtId="172" fontId="3" fillId="0" borderId="0" xfId="5" applyFont="1" applyFill="1"/>
    <xf numFmtId="0" fontId="19" fillId="0" borderId="0" xfId="0" applyFont="1"/>
    <xf numFmtId="0" fontId="20" fillId="0" borderId="0" xfId="0" applyFont="1"/>
    <xf numFmtId="172" fontId="5" fillId="0" borderId="0" xfId="0" applyNumberFormat="1" applyFont="1"/>
    <xf numFmtId="169" fontId="21" fillId="0" borderId="15" xfId="1" applyFont="1" applyBorder="1">
      <alignment horizontal="left"/>
    </xf>
    <xf numFmtId="168" fontId="5" fillId="0" borderId="0" xfId="0" applyNumberFormat="1" applyFont="1"/>
    <xf numFmtId="172" fontId="4" fillId="0" borderId="0" xfId="0" applyNumberFormat="1" applyFont="1"/>
    <xf numFmtId="0" fontId="4" fillId="0" borderId="0" xfId="0" applyFont="1"/>
    <xf numFmtId="174" fontId="5" fillId="0" borderId="6" xfId="6" applyNumberFormat="1" applyFont="1" applyBorder="1" applyAlignment="1"/>
    <xf numFmtId="173" fontId="5" fillId="0" borderId="0" xfId="4" applyNumberFormat="1" applyFont="1" applyBorder="1" applyAlignment="1"/>
    <xf numFmtId="172" fontId="3" fillId="3" borderId="6" xfId="4" applyNumberFormat="1" applyFill="1" applyBorder="1" applyAlignment="1"/>
    <xf numFmtId="172" fontId="2" fillId="0" borderId="0" xfId="0" applyNumberFormat="1" applyFont="1"/>
    <xf numFmtId="172" fontId="1" fillId="0" borderId="0" xfId="0" applyNumberFormat="1" applyFont="1"/>
    <xf numFmtId="0" fontId="23" fillId="0" borderId="0" xfId="3" applyFont="1">
      <alignment horizontal="left"/>
    </xf>
    <xf numFmtId="0" fontId="23" fillId="3" borderId="0" xfId="3" applyFont="1" applyFill="1">
      <alignment horizontal="left"/>
    </xf>
    <xf numFmtId="43" fontId="4" fillId="3" borderId="0" xfId="6" applyFont="1" applyFill="1" applyAlignment="1">
      <alignment horizontal="left"/>
    </xf>
    <xf numFmtId="0" fontId="3" fillId="0" borderId="17" xfId="0" quotePrefix="1" applyFont="1" applyBorder="1" applyAlignment="1">
      <alignment horizontal="centerContinuous" vertical="center"/>
    </xf>
    <xf numFmtId="0" fontId="3" fillId="0" borderId="0" xfId="0" quotePrefix="1" applyFont="1" applyAlignment="1">
      <alignment horizontal="centerContinuous" vertical="center"/>
    </xf>
    <xf numFmtId="0" fontId="3" fillId="0" borderId="0" xfId="0" applyFont="1" applyAlignment="1">
      <alignment horizontal="centerContinuous" vertical="center"/>
    </xf>
    <xf numFmtId="0" fontId="3" fillId="0" borderId="15" xfId="0" applyFont="1" applyBorder="1" applyAlignment="1">
      <alignment horizontal="centerContinuous" vertical="center"/>
    </xf>
    <xf numFmtId="0" fontId="6" fillId="0" borderId="15" xfId="0" applyFont="1" applyBorder="1" applyAlignment="1">
      <alignment horizontal="centerContinuous" vertical="center"/>
    </xf>
    <xf numFmtId="0" fontId="3" fillId="0" borderId="1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20" xfId="0" applyFont="1" applyBorder="1" applyAlignment="1">
      <alignment horizontal="centerContinuous" vertical="center"/>
    </xf>
    <xf numFmtId="0" fontId="3" fillId="0" borderId="21" xfId="0" applyFont="1" applyBorder="1" applyAlignment="1">
      <alignment horizontal="centerContinuous" vertical="center"/>
    </xf>
    <xf numFmtId="0" fontId="3" fillId="0" borderId="22" xfId="0" applyFont="1" applyBorder="1" applyAlignment="1">
      <alignment horizontal="centerContinuous" vertical="center"/>
    </xf>
    <xf numFmtId="0" fontId="3" fillId="0" borderId="23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18" xfId="0" applyFont="1" applyBorder="1" applyAlignment="1">
      <alignment horizontal="centerContinuous" vertical="center"/>
    </xf>
    <xf numFmtId="0" fontId="3" fillId="0" borderId="3" xfId="0" applyFont="1" applyBorder="1" applyAlignment="1">
      <alignment horizontal="centerContinuous" vertical="center"/>
    </xf>
    <xf numFmtId="0" fontId="3" fillId="0" borderId="4" xfId="0" applyFont="1" applyBorder="1" applyAlignment="1">
      <alignment horizontal="centerContinuous" vertical="center"/>
    </xf>
    <xf numFmtId="0" fontId="3" fillId="0" borderId="15" xfId="0" applyFont="1" applyBorder="1" applyAlignment="1">
      <alignment horizontal="center" vertical="center"/>
    </xf>
    <xf numFmtId="43" fontId="3" fillId="0" borderId="0" xfId="6" applyFont="1" applyFill="1" applyBorder="1"/>
    <xf numFmtId="174" fontId="3" fillId="0" borderId="6" xfId="6" applyNumberFormat="1" applyFont="1" applyFill="1" applyBorder="1" applyAlignment="1"/>
    <xf numFmtId="170" fontId="3" fillId="0" borderId="0" xfId="4" applyBorder="1" applyAlignment="1">
      <alignment horizontal="center" wrapText="1"/>
    </xf>
    <xf numFmtId="167" fontId="3" fillId="0" borderId="0" xfId="0" applyNumberFormat="1" applyFont="1" applyBorder="1" applyProtection="1">
      <protection locked="0"/>
    </xf>
    <xf numFmtId="0" fontId="0" fillId="0" borderId="0" xfId="0" applyBorder="1"/>
  </cellXfs>
  <cellStyles count="7">
    <cellStyle name="Comma" xfId="6" builtinId="3"/>
    <cellStyle name="Date Released" xfId="1" xr:uid="{00000000-0005-0000-0000-000000000000}"/>
    <cellStyle name="Normal" xfId="0" builtinId="0"/>
    <cellStyle name="Normal 8" xfId="2" xr:uid="{00000000-0005-0000-0000-000002000000}"/>
    <cellStyle name="Title" xfId="3" builtinId="15" customBuiltin="1"/>
    <cellStyle name="Value" xfId="4" xr:uid="{00000000-0005-0000-0000-000004000000}"/>
    <cellStyle name="Value 10" xfId="5" xr:uid="{00000000-0005-0000-0000-000005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7"/>
  <sheetViews>
    <sheetView zoomScaleNormal="100" workbookViewId="0">
      <pane xSplit="1" ySplit="6" topLeftCell="B52" activePane="bottomRight" state="frozen"/>
      <selection pane="topRight" activeCell="B1" sqref="B1"/>
      <selection pane="bottomLeft" activeCell="A7" sqref="A7"/>
      <selection pane="bottomRight" activeCell="B98" sqref="B98"/>
    </sheetView>
  </sheetViews>
  <sheetFormatPr defaultColWidth="10.7109375" defaultRowHeight="12.75" x14ac:dyDescent="0.2"/>
  <cols>
    <col min="1" max="1" width="13" style="1" customWidth="1"/>
    <col min="2" max="2" width="13.7109375" style="1" customWidth="1"/>
    <col min="3" max="3" width="13.42578125" style="1" customWidth="1"/>
    <col min="4" max="4" width="13.5703125" style="1" customWidth="1"/>
    <col min="5" max="5" width="10.7109375" style="1" customWidth="1"/>
    <col min="6" max="6" width="12.42578125" style="1" customWidth="1"/>
    <col min="7" max="7" width="11.7109375" style="1" customWidth="1"/>
    <col min="8" max="8" width="13" style="1" customWidth="1"/>
    <col min="9" max="16384" width="10.7109375" style="1"/>
  </cols>
  <sheetData>
    <row r="1" spans="1:13" s="4" customFormat="1" ht="15.75" x14ac:dyDescent="0.25">
      <c r="A1" s="90" t="s">
        <v>0</v>
      </c>
      <c r="B1" s="90"/>
      <c r="C1" s="90"/>
      <c r="D1" s="90"/>
      <c r="E1" s="90"/>
      <c r="F1" s="90"/>
      <c r="G1" s="90"/>
      <c r="H1" s="90"/>
    </row>
    <row r="2" spans="1:13" s="4" customFormat="1" ht="15.75" x14ac:dyDescent="0.25">
      <c r="A2" s="88" t="s">
        <v>1</v>
      </c>
      <c r="B2" s="83"/>
      <c r="C2" s="84"/>
      <c r="D2" s="6"/>
      <c r="E2" s="6"/>
      <c r="F2" s="6"/>
      <c r="G2" s="6"/>
      <c r="H2" s="6"/>
    </row>
    <row r="3" spans="1:13" s="3" customFormat="1" x14ac:dyDescent="0.2">
      <c r="A3" s="1"/>
      <c r="B3" s="8" t="s">
        <v>2</v>
      </c>
      <c r="D3" s="3" t="s">
        <v>3</v>
      </c>
      <c r="E3" s="10"/>
      <c r="F3" s="1"/>
      <c r="G3" s="1"/>
      <c r="H3" s="1"/>
    </row>
    <row r="4" spans="1:13" s="3" customFormat="1" x14ac:dyDescent="0.2">
      <c r="B4" s="3" t="s">
        <v>4</v>
      </c>
      <c r="C4" s="3" t="s">
        <v>5</v>
      </c>
      <c r="D4" s="3" t="s">
        <v>6</v>
      </c>
      <c r="E4" s="10"/>
      <c r="F4" s="3" t="s">
        <v>7</v>
      </c>
      <c r="G4" s="3" t="s">
        <v>8</v>
      </c>
      <c r="H4" s="3" t="s">
        <v>3</v>
      </c>
    </row>
    <row r="5" spans="1:13" s="3" customFormat="1" x14ac:dyDescent="0.2">
      <c r="B5" s="3" t="s">
        <v>9</v>
      </c>
      <c r="C5" s="3" t="s">
        <v>9</v>
      </c>
      <c r="D5" s="3" t="s">
        <v>10</v>
      </c>
      <c r="E5" s="10"/>
      <c r="F5" s="3" t="s">
        <v>11</v>
      </c>
      <c r="G5" s="3" t="s">
        <v>12</v>
      </c>
      <c r="H5" s="3" t="s">
        <v>13</v>
      </c>
    </row>
    <row r="6" spans="1:13" s="3" customFormat="1" x14ac:dyDescent="0.2">
      <c r="A6" s="58"/>
      <c r="B6" s="7" t="s">
        <v>14</v>
      </c>
      <c r="C6" s="7" t="s">
        <v>14</v>
      </c>
      <c r="D6" s="7" t="s">
        <v>14</v>
      </c>
      <c r="E6" s="85" t="s">
        <v>15</v>
      </c>
      <c r="F6" s="7" t="s">
        <v>16</v>
      </c>
      <c r="G6" s="7" t="s">
        <v>17</v>
      </c>
      <c r="H6" s="7" t="s">
        <v>14</v>
      </c>
    </row>
    <row r="7" spans="1:13" x14ac:dyDescent="0.2">
      <c r="A7" s="9"/>
      <c r="B7" s="86"/>
      <c r="C7" s="86"/>
      <c r="D7" s="86"/>
      <c r="E7" s="86"/>
      <c r="F7" s="86"/>
      <c r="G7" s="86"/>
      <c r="H7" s="86"/>
      <c r="I7" s="87"/>
      <c r="J7" s="87"/>
      <c r="K7" s="87"/>
      <c r="L7" s="87"/>
      <c r="M7" s="87"/>
    </row>
    <row r="8" spans="1:13" x14ac:dyDescent="0.2">
      <c r="A8" s="89">
        <v>34000</v>
      </c>
      <c r="B8" s="82">
        <v>4543.7</v>
      </c>
      <c r="C8" s="82">
        <v>1328.8</v>
      </c>
      <c r="D8" s="82">
        <v>5872.5</v>
      </c>
      <c r="E8" s="82" t="s">
        <v>18</v>
      </c>
      <c r="F8" s="82">
        <v>292.10000000000002</v>
      </c>
      <c r="G8" s="82">
        <v>4.3</v>
      </c>
      <c r="H8" s="82">
        <v>6168.9</v>
      </c>
      <c r="I8" s="87"/>
      <c r="J8" s="87"/>
      <c r="K8" s="87"/>
      <c r="L8" s="87"/>
      <c r="M8" s="87"/>
    </row>
    <row r="9" spans="1:13" x14ac:dyDescent="0.2">
      <c r="A9" s="89">
        <v>34028</v>
      </c>
      <c r="B9" s="82">
        <v>4457.2</v>
      </c>
      <c r="C9" s="82">
        <v>1257.7</v>
      </c>
      <c r="D9" s="82">
        <v>5714.9</v>
      </c>
      <c r="E9" s="82" t="s">
        <v>18</v>
      </c>
      <c r="F9" s="82">
        <v>281.60000000000002</v>
      </c>
      <c r="G9" s="82">
        <v>5.6</v>
      </c>
      <c r="H9" s="82">
        <v>6002.1</v>
      </c>
      <c r="I9" s="87"/>
      <c r="J9" s="87"/>
      <c r="K9" s="87"/>
      <c r="L9" s="87"/>
      <c r="M9" s="87"/>
    </row>
    <row r="10" spans="1:13" x14ac:dyDescent="0.2">
      <c r="A10" s="89">
        <v>34059</v>
      </c>
      <c r="B10" s="82">
        <v>4526.6000000000004</v>
      </c>
      <c r="C10" s="82">
        <v>1364.5</v>
      </c>
      <c r="D10" s="82">
        <v>5891.1</v>
      </c>
      <c r="E10" s="82" t="s">
        <v>18</v>
      </c>
      <c r="F10" s="82">
        <v>279.3</v>
      </c>
      <c r="G10" s="82">
        <v>0.4</v>
      </c>
      <c r="H10" s="82">
        <v>6170.8</v>
      </c>
      <c r="I10" s="87"/>
      <c r="J10" s="87"/>
      <c r="K10" s="87"/>
      <c r="L10" s="87"/>
      <c r="M10" s="87"/>
    </row>
    <row r="11" spans="1:13" x14ac:dyDescent="0.2">
      <c r="A11" s="89">
        <v>34089</v>
      </c>
      <c r="B11" s="82">
        <v>4590.5</v>
      </c>
      <c r="C11" s="82">
        <v>968.6</v>
      </c>
      <c r="D11" s="82">
        <v>5559.1</v>
      </c>
      <c r="E11" s="82" t="s">
        <v>18</v>
      </c>
      <c r="F11" s="82">
        <v>280.5</v>
      </c>
      <c r="G11" s="82">
        <v>3.7</v>
      </c>
      <c r="H11" s="82">
        <v>5843.3</v>
      </c>
      <c r="I11" s="87"/>
      <c r="J11" s="87"/>
      <c r="K11" s="87"/>
      <c r="L11" s="87"/>
      <c r="M11" s="87"/>
    </row>
    <row r="12" spans="1:13" x14ac:dyDescent="0.2">
      <c r="A12" s="89">
        <v>34120</v>
      </c>
      <c r="B12" s="82">
        <v>4546.2</v>
      </c>
      <c r="C12" s="82">
        <v>1223.2</v>
      </c>
      <c r="D12" s="82">
        <v>5769.4</v>
      </c>
      <c r="E12" s="82" t="s">
        <v>18</v>
      </c>
      <c r="F12" s="82">
        <v>274.39999999999998</v>
      </c>
      <c r="G12" s="82">
        <v>0.5</v>
      </c>
      <c r="H12" s="82">
        <v>6044.3</v>
      </c>
      <c r="I12" s="87"/>
      <c r="J12" s="87"/>
      <c r="K12" s="87"/>
      <c r="L12" s="87"/>
      <c r="M12" s="87"/>
    </row>
    <row r="13" spans="1:13" x14ac:dyDescent="0.2">
      <c r="A13" s="89">
        <v>34150</v>
      </c>
      <c r="B13" s="82">
        <v>4624.1000000000004</v>
      </c>
      <c r="C13" s="82">
        <v>1298.0999999999999</v>
      </c>
      <c r="D13" s="82">
        <v>5922.2</v>
      </c>
      <c r="E13" s="82" t="s">
        <v>18</v>
      </c>
      <c r="F13" s="82">
        <v>270.3</v>
      </c>
      <c r="G13" s="82">
        <v>0.5</v>
      </c>
      <c r="H13" s="82">
        <v>6193</v>
      </c>
      <c r="I13" s="87"/>
      <c r="J13" s="87"/>
      <c r="K13" s="87"/>
      <c r="L13" s="87"/>
      <c r="M13" s="87"/>
    </row>
    <row r="14" spans="1:13" x14ac:dyDescent="0.2">
      <c r="A14" s="89">
        <v>34181</v>
      </c>
      <c r="B14" s="82">
        <v>4533.3999999999996</v>
      </c>
      <c r="C14" s="82">
        <v>1393.5</v>
      </c>
      <c r="D14" s="82">
        <v>5926.9</v>
      </c>
      <c r="E14" s="82" t="s">
        <v>18</v>
      </c>
      <c r="F14" s="82">
        <v>269.2</v>
      </c>
      <c r="G14" s="82">
        <v>3</v>
      </c>
      <c r="H14" s="82">
        <v>6199.1</v>
      </c>
      <c r="I14" s="87"/>
      <c r="J14" s="87"/>
      <c r="K14" s="87"/>
      <c r="L14" s="87"/>
      <c r="M14" s="87"/>
    </row>
    <row r="15" spans="1:13" x14ac:dyDescent="0.2">
      <c r="A15" s="89">
        <v>34212</v>
      </c>
      <c r="B15" s="82">
        <v>4782.2</v>
      </c>
      <c r="C15" s="82">
        <v>1506.9</v>
      </c>
      <c r="D15" s="82">
        <v>6289.1</v>
      </c>
      <c r="E15" s="82" t="s">
        <v>18</v>
      </c>
      <c r="F15" s="82">
        <v>267</v>
      </c>
      <c r="G15" s="82">
        <v>4.4000000000000004</v>
      </c>
      <c r="H15" s="82">
        <v>6560.5</v>
      </c>
      <c r="I15" s="87"/>
      <c r="J15" s="87"/>
      <c r="K15" s="87"/>
      <c r="L15" s="87"/>
      <c r="M15" s="87"/>
    </row>
    <row r="16" spans="1:13" x14ac:dyDescent="0.2">
      <c r="A16" s="89">
        <v>34242</v>
      </c>
      <c r="B16" s="82">
        <v>4580.1000000000004</v>
      </c>
      <c r="C16" s="82">
        <v>1705.7</v>
      </c>
      <c r="D16" s="82">
        <v>6285.8</v>
      </c>
      <c r="E16" s="82" t="s">
        <v>18</v>
      </c>
      <c r="F16" s="82">
        <v>276.10000000000002</v>
      </c>
      <c r="G16" s="82">
        <v>4.5</v>
      </c>
      <c r="H16" s="82">
        <v>6566.4</v>
      </c>
      <c r="I16" s="87"/>
      <c r="J16" s="87"/>
      <c r="K16" s="87"/>
      <c r="L16" s="87"/>
      <c r="M16" s="87"/>
    </row>
    <row r="17" spans="1:13" x14ac:dyDescent="0.2">
      <c r="A17" s="89">
        <v>34273</v>
      </c>
      <c r="B17" s="82">
        <v>4382.2</v>
      </c>
      <c r="C17" s="82">
        <v>1692.5</v>
      </c>
      <c r="D17" s="82">
        <v>6074.7</v>
      </c>
      <c r="E17" s="82" t="s">
        <v>18</v>
      </c>
      <c r="F17" s="82">
        <v>269.3</v>
      </c>
      <c r="G17" s="82">
        <v>0.2</v>
      </c>
      <c r="H17" s="82">
        <v>6344.2</v>
      </c>
      <c r="I17" s="87"/>
      <c r="J17" s="87"/>
      <c r="K17" s="87"/>
      <c r="L17" s="87"/>
      <c r="M17" s="87"/>
    </row>
    <row r="18" spans="1:13" x14ac:dyDescent="0.2">
      <c r="A18" s="89">
        <v>34303</v>
      </c>
      <c r="B18" s="82">
        <v>4244.7</v>
      </c>
      <c r="C18" s="82">
        <v>1609.6</v>
      </c>
      <c r="D18" s="82">
        <v>5854.3</v>
      </c>
      <c r="E18" s="82" t="s">
        <v>18</v>
      </c>
      <c r="F18" s="82">
        <v>264.10000000000002</v>
      </c>
      <c r="G18" s="82">
        <v>0.1</v>
      </c>
      <c r="H18" s="82">
        <v>6118.5</v>
      </c>
      <c r="I18" s="87"/>
      <c r="J18" s="87"/>
      <c r="K18" s="87"/>
      <c r="L18" s="87"/>
      <c r="M18" s="87"/>
    </row>
    <row r="19" spans="1:13" x14ac:dyDescent="0.2">
      <c r="A19" s="89">
        <v>34334</v>
      </c>
      <c r="B19" s="82">
        <v>4255.6000000000004</v>
      </c>
      <c r="C19" s="82">
        <v>1462.2</v>
      </c>
      <c r="D19" s="82">
        <v>5717.8</v>
      </c>
      <c r="E19" s="82" t="s">
        <v>18</v>
      </c>
      <c r="F19" s="82">
        <v>255.5</v>
      </c>
      <c r="G19" s="82">
        <v>0.1</v>
      </c>
      <c r="H19" s="82">
        <v>5973.4</v>
      </c>
      <c r="I19" s="87"/>
      <c r="J19" s="87"/>
      <c r="K19" s="87"/>
      <c r="L19" s="87"/>
      <c r="M19" s="87"/>
    </row>
    <row r="20" spans="1:13" x14ac:dyDescent="0.2">
      <c r="A20" s="89">
        <v>34365</v>
      </c>
      <c r="B20" s="82">
        <v>4685.3</v>
      </c>
      <c r="C20" s="82">
        <v>1841.6</v>
      </c>
      <c r="D20" s="82">
        <v>6526.9</v>
      </c>
      <c r="E20" s="82" t="s">
        <v>18</v>
      </c>
      <c r="F20" s="82">
        <v>251.6</v>
      </c>
      <c r="G20" s="82">
        <v>0.1</v>
      </c>
      <c r="H20" s="82">
        <v>6778.6</v>
      </c>
      <c r="I20" s="87"/>
      <c r="J20" s="87"/>
      <c r="K20" s="87"/>
      <c r="L20" s="87"/>
      <c r="M20" s="87"/>
    </row>
    <row r="21" spans="1:13" x14ac:dyDescent="0.2">
      <c r="A21" s="89">
        <v>34393</v>
      </c>
      <c r="B21" s="82">
        <v>4570.1000000000004</v>
      </c>
      <c r="C21" s="82">
        <v>2255.6999999999998</v>
      </c>
      <c r="D21" s="82">
        <v>6825.8</v>
      </c>
      <c r="E21" s="82" t="s">
        <v>18</v>
      </c>
      <c r="F21" s="82">
        <v>250</v>
      </c>
      <c r="G21" s="82">
        <v>0.2</v>
      </c>
      <c r="H21" s="82">
        <v>7076</v>
      </c>
      <c r="I21" s="87"/>
      <c r="J21" s="87"/>
      <c r="K21" s="87"/>
      <c r="L21" s="87"/>
      <c r="M21" s="87"/>
    </row>
    <row r="22" spans="1:13" x14ac:dyDescent="0.2">
      <c r="A22" s="89">
        <v>34424</v>
      </c>
      <c r="B22" s="82">
        <v>4349.5</v>
      </c>
      <c r="C22" s="82">
        <v>2300.3000000000002</v>
      </c>
      <c r="D22" s="82">
        <v>6649.8</v>
      </c>
      <c r="E22" s="82" t="s">
        <v>18</v>
      </c>
      <c r="F22" s="82">
        <v>258.60000000000002</v>
      </c>
      <c r="G22" s="82">
        <v>0.2</v>
      </c>
      <c r="H22" s="82">
        <v>6908.6</v>
      </c>
      <c r="I22" s="87"/>
      <c r="J22" s="87"/>
      <c r="K22" s="87"/>
      <c r="L22" s="87"/>
      <c r="M22" s="87"/>
    </row>
    <row r="23" spans="1:13" x14ac:dyDescent="0.2">
      <c r="A23" s="89">
        <v>34454</v>
      </c>
      <c r="B23" s="82">
        <v>4224.6000000000004</v>
      </c>
      <c r="C23" s="82">
        <v>3271.6</v>
      </c>
      <c r="D23" s="82">
        <v>7496.2</v>
      </c>
      <c r="E23" s="82" t="s">
        <v>18</v>
      </c>
      <c r="F23" s="82">
        <v>254</v>
      </c>
      <c r="G23" s="82">
        <v>2.6</v>
      </c>
      <c r="H23" s="82">
        <v>7752.8</v>
      </c>
      <c r="I23" s="87"/>
      <c r="J23" s="87"/>
      <c r="K23" s="87"/>
      <c r="L23" s="87"/>
      <c r="M23" s="87"/>
    </row>
    <row r="24" spans="1:13" x14ac:dyDescent="0.2">
      <c r="A24" s="89">
        <v>34485</v>
      </c>
      <c r="B24" s="82">
        <v>4257.3</v>
      </c>
      <c r="C24" s="82">
        <v>3063.5</v>
      </c>
      <c r="D24" s="82">
        <v>7320.8</v>
      </c>
      <c r="E24" s="82" t="s">
        <v>18</v>
      </c>
      <c r="F24" s="82">
        <v>231.8</v>
      </c>
      <c r="G24" s="82">
        <v>0.2</v>
      </c>
      <c r="H24" s="82">
        <v>7552.8</v>
      </c>
      <c r="I24" s="87"/>
      <c r="J24" s="87"/>
      <c r="K24" s="87"/>
      <c r="L24" s="87"/>
      <c r="M24" s="87"/>
    </row>
    <row r="25" spans="1:13" x14ac:dyDescent="0.2">
      <c r="A25" s="89">
        <v>34515</v>
      </c>
      <c r="B25" s="82">
        <v>4154.5</v>
      </c>
      <c r="C25" s="82">
        <v>2333.3000000000002</v>
      </c>
      <c r="D25" s="82">
        <v>6487.8</v>
      </c>
      <c r="E25" s="82" t="s">
        <v>18</v>
      </c>
      <c r="F25" s="82">
        <v>256.3</v>
      </c>
      <c r="G25" s="82">
        <v>0.2</v>
      </c>
      <c r="H25" s="82">
        <v>6744.3</v>
      </c>
      <c r="I25" s="87"/>
      <c r="J25" s="87"/>
      <c r="K25" s="87"/>
      <c r="L25" s="87"/>
      <c r="M25" s="87"/>
    </row>
    <row r="26" spans="1:13" x14ac:dyDescent="0.2">
      <c r="A26" s="89">
        <v>34546</v>
      </c>
      <c r="B26" s="82">
        <v>4263.3</v>
      </c>
      <c r="C26" s="82">
        <v>2320.1</v>
      </c>
      <c r="D26" s="82">
        <v>6583.4</v>
      </c>
      <c r="E26" s="82" t="s">
        <v>18</v>
      </c>
      <c r="F26" s="82">
        <v>245.3</v>
      </c>
      <c r="G26" s="82">
        <v>0.2</v>
      </c>
      <c r="H26" s="82">
        <v>6828.9</v>
      </c>
      <c r="I26" s="87"/>
      <c r="J26" s="87"/>
      <c r="K26" s="87"/>
      <c r="L26" s="87"/>
      <c r="M26" s="87"/>
    </row>
    <row r="27" spans="1:13" x14ac:dyDescent="0.2">
      <c r="A27" s="89">
        <v>34577</v>
      </c>
      <c r="B27" s="82">
        <v>4120.3</v>
      </c>
      <c r="C27" s="82">
        <v>1491.3</v>
      </c>
      <c r="D27" s="82">
        <v>5611.6</v>
      </c>
      <c r="E27" s="82" t="s">
        <v>18</v>
      </c>
      <c r="F27" s="82">
        <v>246</v>
      </c>
      <c r="G27" s="82">
        <v>0.3</v>
      </c>
      <c r="H27" s="82">
        <v>5857.9</v>
      </c>
      <c r="I27" s="87"/>
      <c r="J27" s="87"/>
      <c r="K27" s="87"/>
      <c r="L27" s="87"/>
      <c r="M27" s="87"/>
    </row>
    <row r="28" spans="1:13" x14ac:dyDescent="0.2">
      <c r="A28" s="89">
        <v>34607</v>
      </c>
      <c r="B28" s="82">
        <v>4020.9</v>
      </c>
      <c r="C28" s="82">
        <v>1538.7</v>
      </c>
      <c r="D28" s="82">
        <v>5559.6</v>
      </c>
      <c r="E28" s="82" t="s">
        <v>18</v>
      </c>
      <c r="F28" s="82">
        <v>243.5</v>
      </c>
      <c r="G28" s="82">
        <v>0.3</v>
      </c>
      <c r="H28" s="82">
        <v>5803.4</v>
      </c>
      <c r="I28" s="87"/>
      <c r="J28" s="87"/>
      <c r="K28" s="87"/>
      <c r="L28" s="87"/>
      <c r="M28" s="87"/>
    </row>
    <row r="29" spans="1:13" x14ac:dyDescent="0.2">
      <c r="A29" s="89">
        <v>34638</v>
      </c>
      <c r="B29" s="82">
        <v>3928.3</v>
      </c>
      <c r="C29" s="82">
        <v>1499.9</v>
      </c>
      <c r="D29" s="82">
        <v>5428.2</v>
      </c>
      <c r="E29" s="82" t="s">
        <v>18</v>
      </c>
      <c r="F29" s="82">
        <v>250.9</v>
      </c>
      <c r="G29" s="82">
        <v>3.2</v>
      </c>
      <c r="H29" s="82">
        <v>5682.3</v>
      </c>
      <c r="I29" s="87"/>
      <c r="J29" s="87"/>
      <c r="K29" s="87"/>
      <c r="L29" s="87"/>
      <c r="M29" s="87"/>
    </row>
    <row r="30" spans="1:13" x14ac:dyDescent="0.2">
      <c r="A30" s="89">
        <v>34668</v>
      </c>
      <c r="B30" s="82">
        <v>3841.9</v>
      </c>
      <c r="C30" s="82">
        <v>1824.6</v>
      </c>
      <c r="D30" s="82">
        <v>5666.5</v>
      </c>
      <c r="E30" s="82" t="s">
        <v>18</v>
      </c>
      <c r="F30" s="82">
        <v>241.3</v>
      </c>
      <c r="G30" s="82">
        <v>0.5</v>
      </c>
      <c r="H30" s="82">
        <v>5908.3</v>
      </c>
      <c r="I30" s="87"/>
      <c r="J30" s="87"/>
      <c r="K30" s="87"/>
      <c r="L30" s="87"/>
      <c r="M30" s="87"/>
    </row>
    <row r="31" spans="1:13" x14ac:dyDescent="0.2">
      <c r="A31" s="89">
        <v>34699</v>
      </c>
      <c r="B31" s="82">
        <v>3658.9</v>
      </c>
      <c r="C31" s="82">
        <v>1883.2</v>
      </c>
      <c r="D31" s="82">
        <v>5542.1</v>
      </c>
      <c r="E31" s="82" t="s">
        <v>18</v>
      </c>
      <c r="F31" s="82">
        <v>229.5</v>
      </c>
      <c r="G31" s="82">
        <v>0.5</v>
      </c>
      <c r="H31" s="82">
        <v>5772.1</v>
      </c>
      <c r="I31" s="87"/>
      <c r="J31" s="87"/>
      <c r="K31" s="87"/>
      <c r="L31" s="87"/>
      <c r="M31" s="87"/>
    </row>
    <row r="32" spans="1:13" x14ac:dyDescent="0.2">
      <c r="A32" s="89">
        <v>34730</v>
      </c>
      <c r="B32" s="82">
        <v>3736.4</v>
      </c>
      <c r="C32" s="82">
        <v>2012.9</v>
      </c>
      <c r="D32" s="82">
        <v>5749.3</v>
      </c>
      <c r="E32" s="82" t="s">
        <v>18</v>
      </c>
      <c r="F32" s="82">
        <v>232.8</v>
      </c>
      <c r="G32" s="82">
        <v>0.5</v>
      </c>
      <c r="H32" s="82">
        <v>5982.6</v>
      </c>
      <c r="I32" s="87"/>
      <c r="J32" s="87"/>
      <c r="K32" s="87"/>
      <c r="L32" s="87"/>
      <c r="M32" s="87"/>
    </row>
    <row r="33" spans="1:13" x14ac:dyDescent="0.2">
      <c r="A33" s="89">
        <v>34758</v>
      </c>
      <c r="B33" s="82">
        <v>3807.6</v>
      </c>
      <c r="C33" s="82">
        <v>1947.5</v>
      </c>
      <c r="D33" s="82">
        <v>5755.1</v>
      </c>
      <c r="E33" s="82" t="s">
        <v>18</v>
      </c>
      <c r="F33" s="82">
        <v>244.7</v>
      </c>
      <c r="G33" s="82">
        <v>0.5</v>
      </c>
      <c r="H33" s="82">
        <v>6000.3</v>
      </c>
      <c r="I33" s="87"/>
      <c r="J33" s="87"/>
      <c r="K33" s="87"/>
      <c r="L33" s="87"/>
      <c r="M33" s="87"/>
    </row>
    <row r="34" spans="1:13" x14ac:dyDescent="0.2">
      <c r="A34" s="89">
        <v>34789</v>
      </c>
      <c r="B34" s="82">
        <v>3884.6</v>
      </c>
      <c r="C34" s="82">
        <v>1970.3</v>
      </c>
      <c r="D34" s="82">
        <v>5854.9</v>
      </c>
      <c r="E34" s="82" t="s">
        <v>18</v>
      </c>
      <c r="F34" s="82">
        <v>240</v>
      </c>
      <c r="G34" s="82">
        <v>0.5</v>
      </c>
      <c r="H34" s="82">
        <v>6095.4</v>
      </c>
      <c r="I34" s="87"/>
      <c r="J34" s="87"/>
      <c r="K34" s="87"/>
      <c r="L34" s="87"/>
      <c r="M34" s="87"/>
    </row>
    <row r="35" spans="1:13" x14ac:dyDescent="0.2">
      <c r="A35" s="89">
        <v>34819</v>
      </c>
      <c r="B35" s="82">
        <v>3873.5</v>
      </c>
      <c r="C35" s="82">
        <v>1442.8</v>
      </c>
      <c r="D35" s="82">
        <v>5316.3</v>
      </c>
      <c r="E35" s="82" t="s">
        <v>18</v>
      </c>
      <c r="F35" s="82">
        <v>246.3</v>
      </c>
      <c r="G35" s="82">
        <v>0.5</v>
      </c>
      <c r="H35" s="82">
        <v>5563.1</v>
      </c>
      <c r="I35" s="87"/>
      <c r="J35" s="87"/>
      <c r="K35" s="87"/>
      <c r="L35" s="87"/>
      <c r="M35" s="87"/>
    </row>
    <row r="36" spans="1:13" x14ac:dyDescent="0.2">
      <c r="A36" s="89">
        <v>34850</v>
      </c>
      <c r="B36" s="82">
        <v>3933.5</v>
      </c>
      <c r="C36" s="82">
        <v>1789.6</v>
      </c>
      <c r="D36" s="82">
        <v>5723.1</v>
      </c>
      <c r="E36" s="82" t="s">
        <v>18</v>
      </c>
      <c r="F36" s="82">
        <v>247.9</v>
      </c>
      <c r="G36" s="82">
        <v>0.2</v>
      </c>
      <c r="H36" s="82">
        <v>5971.2</v>
      </c>
      <c r="I36" s="87"/>
      <c r="J36" s="87"/>
      <c r="K36" s="87"/>
      <c r="L36" s="87"/>
      <c r="M36" s="87"/>
    </row>
    <row r="37" spans="1:13" x14ac:dyDescent="0.2">
      <c r="A37" s="89">
        <v>34880</v>
      </c>
      <c r="B37" s="82">
        <v>3931</v>
      </c>
      <c r="C37" s="82">
        <v>1469</v>
      </c>
      <c r="D37" s="82">
        <v>5400</v>
      </c>
      <c r="E37" s="82" t="s">
        <v>18</v>
      </c>
      <c r="F37" s="82">
        <v>246.5</v>
      </c>
      <c r="G37" s="82">
        <v>0.2</v>
      </c>
      <c r="H37" s="82">
        <v>5646.7</v>
      </c>
      <c r="I37" s="87"/>
      <c r="J37" s="87"/>
      <c r="K37" s="87"/>
      <c r="L37" s="87"/>
      <c r="M37" s="87"/>
    </row>
    <row r="38" spans="1:13" x14ac:dyDescent="0.2">
      <c r="A38" s="89">
        <v>34911</v>
      </c>
      <c r="B38" s="82">
        <v>3868</v>
      </c>
      <c r="C38" s="82">
        <v>1695.4</v>
      </c>
      <c r="D38" s="82">
        <v>5563.4</v>
      </c>
      <c r="E38" s="82" t="s">
        <v>18</v>
      </c>
      <c r="F38" s="82">
        <v>242.6</v>
      </c>
      <c r="G38" s="82">
        <v>0.2</v>
      </c>
      <c r="H38" s="82">
        <v>5806.2</v>
      </c>
      <c r="I38" s="87"/>
      <c r="J38" s="87"/>
      <c r="K38" s="87"/>
      <c r="L38" s="87"/>
      <c r="M38" s="87"/>
    </row>
    <row r="39" spans="1:13" x14ac:dyDescent="0.2">
      <c r="A39" s="89">
        <v>34942</v>
      </c>
      <c r="B39" s="82">
        <v>3855.3</v>
      </c>
      <c r="C39" s="82">
        <v>1862.6</v>
      </c>
      <c r="D39" s="82">
        <v>5717.9</v>
      </c>
      <c r="E39" s="82" t="s">
        <v>18</v>
      </c>
      <c r="F39" s="82">
        <v>237.7</v>
      </c>
      <c r="G39" s="82">
        <v>1.4</v>
      </c>
      <c r="H39" s="82">
        <v>5957</v>
      </c>
      <c r="I39" s="87"/>
      <c r="J39" s="87"/>
      <c r="K39" s="87"/>
      <c r="L39" s="87"/>
      <c r="M39" s="87"/>
    </row>
    <row r="40" spans="1:13" x14ac:dyDescent="0.2">
      <c r="A40" s="89">
        <v>34972</v>
      </c>
      <c r="B40" s="82">
        <v>3900.5</v>
      </c>
      <c r="C40" s="82">
        <v>2032.9</v>
      </c>
      <c r="D40" s="82">
        <v>5933.4</v>
      </c>
      <c r="E40" s="82" t="s">
        <v>18</v>
      </c>
      <c r="F40" s="82">
        <v>239.3</v>
      </c>
      <c r="G40" s="82">
        <v>1.5</v>
      </c>
      <c r="H40" s="82">
        <v>6174.2</v>
      </c>
      <c r="I40" s="87"/>
      <c r="J40" s="87"/>
      <c r="K40" s="87"/>
      <c r="L40" s="87"/>
      <c r="M40" s="87"/>
    </row>
    <row r="41" spans="1:13" x14ac:dyDescent="0.2">
      <c r="A41" s="89">
        <v>35003</v>
      </c>
      <c r="B41" s="82">
        <v>3870.4</v>
      </c>
      <c r="C41" s="82">
        <v>2133.8000000000002</v>
      </c>
      <c r="D41" s="82">
        <v>6004.2</v>
      </c>
      <c r="E41" s="82" t="s">
        <v>18</v>
      </c>
      <c r="F41" s="82">
        <v>235.6</v>
      </c>
      <c r="G41" s="82">
        <v>1.4</v>
      </c>
      <c r="H41" s="82">
        <v>6241.2</v>
      </c>
      <c r="I41" s="87"/>
      <c r="J41" s="87"/>
      <c r="K41" s="87"/>
      <c r="L41" s="87"/>
      <c r="M41" s="87"/>
    </row>
    <row r="42" spans="1:13" x14ac:dyDescent="0.2">
      <c r="A42" s="89">
        <v>35033</v>
      </c>
      <c r="B42" s="82">
        <v>3928.8</v>
      </c>
      <c r="C42" s="82">
        <v>2426.6</v>
      </c>
      <c r="D42" s="82">
        <v>6355.4</v>
      </c>
      <c r="E42" s="82" t="s">
        <v>18</v>
      </c>
      <c r="F42" s="82">
        <v>252.1</v>
      </c>
      <c r="G42" s="82">
        <v>1.3</v>
      </c>
      <c r="H42" s="82">
        <v>6608.8</v>
      </c>
      <c r="I42" s="87"/>
      <c r="J42" s="87"/>
      <c r="K42" s="87"/>
      <c r="L42" s="87"/>
      <c r="M42" s="87"/>
    </row>
    <row r="43" spans="1:13" x14ac:dyDescent="0.2">
      <c r="A43" s="89">
        <v>35064</v>
      </c>
      <c r="B43" s="82">
        <v>3942.2</v>
      </c>
      <c r="C43" s="82">
        <v>2556.4</v>
      </c>
      <c r="D43" s="82">
        <v>6498.6</v>
      </c>
      <c r="E43" s="82" t="s">
        <v>18</v>
      </c>
      <c r="F43" s="82">
        <v>252.2</v>
      </c>
      <c r="G43" s="82">
        <v>1.3</v>
      </c>
      <c r="H43" s="82">
        <v>6752.1</v>
      </c>
      <c r="I43" s="87"/>
      <c r="J43" s="87"/>
      <c r="K43" s="87"/>
      <c r="L43" s="87"/>
      <c r="M43" s="87"/>
    </row>
    <row r="44" spans="1:13" x14ac:dyDescent="0.2">
      <c r="A44" s="89">
        <v>35095</v>
      </c>
      <c r="B44" s="82">
        <v>3806.9</v>
      </c>
      <c r="C44" s="82">
        <v>2236.4</v>
      </c>
      <c r="D44" s="82">
        <v>6043.3</v>
      </c>
      <c r="E44" s="82" t="s">
        <v>18</v>
      </c>
      <c r="F44" s="82">
        <v>238.9</v>
      </c>
      <c r="G44" s="82">
        <v>1.2</v>
      </c>
      <c r="H44" s="82">
        <v>6283.4</v>
      </c>
    </row>
    <row r="45" spans="1:13" x14ac:dyDescent="0.2">
      <c r="A45" s="89">
        <v>35124</v>
      </c>
      <c r="B45" s="82">
        <v>3798.7</v>
      </c>
      <c r="C45" s="82">
        <v>2606.9</v>
      </c>
      <c r="D45" s="82">
        <v>6405.6</v>
      </c>
      <c r="E45" s="82" t="s">
        <v>18</v>
      </c>
      <c r="F45" s="82">
        <v>251.4</v>
      </c>
      <c r="G45" s="82">
        <v>1.3</v>
      </c>
      <c r="H45" s="82">
        <v>6658.3</v>
      </c>
    </row>
    <row r="46" spans="1:13" x14ac:dyDescent="0.2">
      <c r="A46" s="89">
        <v>35155</v>
      </c>
      <c r="B46" s="82">
        <v>3747.8</v>
      </c>
      <c r="C46" s="82">
        <v>2740.4</v>
      </c>
      <c r="D46" s="82">
        <v>6488.2</v>
      </c>
      <c r="E46" s="82" t="s">
        <v>18</v>
      </c>
      <c r="F46" s="82">
        <v>258.60000000000002</v>
      </c>
      <c r="G46" s="82">
        <v>1.3</v>
      </c>
      <c r="H46" s="82">
        <v>6748.1</v>
      </c>
    </row>
    <row r="47" spans="1:13" x14ac:dyDescent="0.2">
      <c r="A47" s="89">
        <v>35185</v>
      </c>
      <c r="B47" s="82">
        <v>3696.5</v>
      </c>
      <c r="C47" s="82">
        <v>3464.3</v>
      </c>
      <c r="D47" s="82">
        <v>7160.8</v>
      </c>
      <c r="E47" s="82" t="s">
        <v>18</v>
      </c>
      <c r="F47" s="82">
        <v>253.7</v>
      </c>
      <c r="G47" s="82">
        <v>1.3</v>
      </c>
      <c r="H47" s="82">
        <v>7415.8</v>
      </c>
      <c r="I47" s="87"/>
      <c r="J47" s="87"/>
      <c r="K47" s="87"/>
      <c r="L47" s="87"/>
      <c r="M47" s="87"/>
    </row>
    <row r="48" spans="1:13" x14ac:dyDescent="0.2">
      <c r="A48" s="89">
        <v>35216</v>
      </c>
      <c r="B48" s="82">
        <v>4047</v>
      </c>
      <c r="C48" s="82">
        <v>4498.8</v>
      </c>
      <c r="D48" s="82">
        <v>8545.7999999999993</v>
      </c>
      <c r="E48" s="82" t="s">
        <v>18</v>
      </c>
      <c r="F48" s="82">
        <v>260.60000000000002</v>
      </c>
      <c r="G48" s="82">
        <v>0.5</v>
      </c>
      <c r="H48" s="82">
        <v>8806.9</v>
      </c>
    </row>
    <row r="49" spans="1:13" x14ac:dyDescent="0.2">
      <c r="A49" s="89">
        <v>35246</v>
      </c>
      <c r="B49" s="82">
        <v>3971.6</v>
      </c>
      <c r="C49" s="82">
        <v>3769.3</v>
      </c>
      <c r="D49" s="82">
        <v>7740.9</v>
      </c>
      <c r="E49" s="82" t="s">
        <v>18</v>
      </c>
      <c r="F49" s="82">
        <v>260.2</v>
      </c>
      <c r="G49" s="82">
        <v>0.5</v>
      </c>
      <c r="H49" s="82">
        <v>8001.6</v>
      </c>
    </row>
    <row r="50" spans="1:13" x14ac:dyDescent="0.2">
      <c r="A50" s="89">
        <v>35277</v>
      </c>
      <c r="B50" s="82">
        <v>3966.6</v>
      </c>
      <c r="C50" s="82">
        <v>3910</v>
      </c>
      <c r="D50" s="82">
        <v>7876.6</v>
      </c>
      <c r="E50" s="82" t="s">
        <v>18</v>
      </c>
      <c r="F50" s="82">
        <v>271.5</v>
      </c>
      <c r="G50" s="82">
        <v>0.5</v>
      </c>
      <c r="H50" s="82">
        <v>8148.6</v>
      </c>
      <c r="I50" s="87"/>
      <c r="J50" s="87"/>
      <c r="K50" s="87"/>
      <c r="L50" s="87"/>
      <c r="M50" s="87"/>
    </row>
    <row r="51" spans="1:13" x14ac:dyDescent="0.2">
      <c r="A51" s="89">
        <v>35308</v>
      </c>
      <c r="B51" s="82">
        <v>3973.4</v>
      </c>
      <c r="C51" s="82">
        <v>3900.3</v>
      </c>
      <c r="D51" s="82">
        <v>7873.7</v>
      </c>
      <c r="E51" s="82" t="s">
        <v>18</v>
      </c>
      <c r="F51" s="82">
        <v>269.39999999999998</v>
      </c>
      <c r="G51" s="82">
        <v>1</v>
      </c>
      <c r="H51" s="82">
        <v>8144.1</v>
      </c>
    </row>
    <row r="52" spans="1:13" x14ac:dyDescent="0.2">
      <c r="A52" s="89">
        <v>35338</v>
      </c>
      <c r="B52" s="82">
        <v>3901.2</v>
      </c>
      <c r="C52" s="82">
        <v>5085.8999999999996</v>
      </c>
      <c r="D52" s="82">
        <v>8987.1</v>
      </c>
      <c r="E52" s="82" t="s">
        <v>18</v>
      </c>
      <c r="F52" s="82">
        <v>261.89999999999998</v>
      </c>
      <c r="G52" s="82">
        <v>1</v>
      </c>
      <c r="H52" s="82">
        <v>9250</v>
      </c>
    </row>
    <row r="53" spans="1:13" x14ac:dyDescent="0.2">
      <c r="A53" s="89">
        <v>35369</v>
      </c>
      <c r="B53" s="82">
        <v>3889.1</v>
      </c>
      <c r="C53" s="82">
        <v>4692.2</v>
      </c>
      <c r="D53" s="82">
        <v>8581.2999999999993</v>
      </c>
      <c r="E53" s="82" t="s">
        <v>18</v>
      </c>
      <c r="F53" s="82">
        <v>260.39999999999998</v>
      </c>
      <c r="G53" s="82">
        <v>2</v>
      </c>
      <c r="H53" s="82">
        <v>8843.7000000000007</v>
      </c>
    </row>
    <row r="54" spans="1:13" x14ac:dyDescent="0.2">
      <c r="A54" s="89">
        <v>35399</v>
      </c>
      <c r="B54" s="82">
        <v>3874.5</v>
      </c>
      <c r="C54" s="82">
        <v>4517.2</v>
      </c>
      <c r="D54" s="82">
        <v>8391.7000000000007</v>
      </c>
      <c r="E54" s="82" t="s">
        <v>18</v>
      </c>
      <c r="F54" s="82">
        <v>258.8</v>
      </c>
      <c r="G54" s="82">
        <v>0.6</v>
      </c>
      <c r="H54" s="82">
        <v>8651.1</v>
      </c>
    </row>
    <row r="55" spans="1:13" x14ac:dyDescent="0.2">
      <c r="A55" s="89">
        <v>35430</v>
      </c>
      <c r="B55" s="82">
        <v>3843.8</v>
      </c>
      <c r="C55" s="82">
        <v>4329.8999999999996</v>
      </c>
      <c r="D55" s="82">
        <v>8173.7</v>
      </c>
      <c r="E55" s="82" t="s">
        <v>18</v>
      </c>
      <c r="F55" s="82">
        <v>257.89999999999998</v>
      </c>
      <c r="G55" s="82">
        <v>0.6</v>
      </c>
      <c r="H55" s="82">
        <v>8432.2000000000007</v>
      </c>
    </row>
    <row r="56" spans="1:13" x14ac:dyDescent="0.2">
      <c r="A56" s="89">
        <v>35461</v>
      </c>
      <c r="B56" s="82">
        <v>3842.2</v>
      </c>
      <c r="C56" s="82">
        <v>2511.6999999999998</v>
      </c>
      <c r="D56" s="82">
        <v>6353.9</v>
      </c>
      <c r="E56" s="82" t="s">
        <v>18</v>
      </c>
      <c r="F56" s="82">
        <v>256.8</v>
      </c>
      <c r="G56" s="82">
        <v>1</v>
      </c>
      <c r="H56" s="82">
        <v>6611.7</v>
      </c>
    </row>
    <row r="57" spans="1:13" x14ac:dyDescent="0.2">
      <c r="A57" s="89">
        <v>35489</v>
      </c>
      <c r="B57" s="82">
        <v>3830.2</v>
      </c>
      <c r="C57" s="82">
        <v>2634.4</v>
      </c>
      <c r="D57" s="82">
        <v>6464.6</v>
      </c>
      <c r="E57" s="82" t="s">
        <v>18</v>
      </c>
      <c r="F57" s="82">
        <v>244.8</v>
      </c>
      <c r="G57" s="82">
        <v>0.7</v>
      </c>
      <c r="H57" s="82">
        <v>6710.1</v>
      </c>
    </row>
    <row r="58" spans="1:13" x14ac:dyDescent="0.2">
      <c r="A58" s="89">
        <v>35520</v>
      </c>
      <c r="B58" s="82">
        <v>3779.9</v>
      </c>
      <c r="C58" s="82">
        <v>2476.1</v>
      </c>
      <c r="D58" s="82">
        <v>6256</v>
      </c>
      <c r="E58" s="82" t="s">
        <v>18</v>
      </c>
      <c r="F58" s="82">
        <v>238.6</v>
      </c>
      <c r="G58" s="82">
        <v>0.7</v>
      </c>
      <c r="H58" s="82">
        <v>6495.3</v>
      </c>
    </row>
    <row r="59" spans="1:13" x14ac:dyDescent="0.2">
      <c r="A59" s="89">
        <v>35550</v>
      </c>
      <c r="B59" s="82">
        <v>3731.9</v>
      </c>
      <c r="C59" s="82">
        <v>2278</v>
      </c>
      <c r="D59" s="82">
        <v>6009.9</v>
      </c>
      <c r="E59" s="82" t="s">
        <v>18</v>
      </c>
      <c r="F59" s="82">
        <v>236.6</v>
      </c>
      <c r="G59" s="82">
        <v>0.7</v>
      </c>
      <c r="H59" s="82">
        <v>6247.1</v>
      </c>
    </row>
    <row r="60" spans="1:13" x14ac:dyDescent="0.2">
      <c r="A60" s="89">
        <v>35581</v>
      </c>
      <c r="B60" s="82">
        <v>3794.8</v>
      </c>
      <c r="C60" s="82">
        <v>2624.6</v>
      </c>
      <c r="D60" s="82">
        <v>6419.4</v>
      </c>
      <c r="E60" s="82" t="s">
        <v>18</v>
      </c>
      <c r="F60" s="82">
        <v>242.2</v>
      </c>
      <c r="G60" s="82">
        <v>0.2</v>
      </c>
      <c r="H60" s="82">
        <v>6661.8</v>
      </c>
    </row>
    <row r="61" spans="1:13" x14ac:dyDescent="0.2">
      <c r="A61" s="89">
        <v>35611</v>
      </c>
      <c r="B61" s="82">
        <v>3878.6</v>
      </c>
      <c r="C61" s="82">
        <v>2098</v>
      </c>
      <c r="D61" s="82">
        <v>5976.6</v>
      </c>
      <c r="E61" s="82" t="s">
        <v>18</v>
      </c>
      <c r="F61" s="82">
        <v>246.1</v>
      </c>
      <c r="G61" s="82">
        <v>0.2</v>
      </c>
      <c r="H61" s="82">
        <v>6222.9</v>
      </c>
    </row>
    <row r="62" spans="1:13" x14ac:dyDescent="0.2">
      <c r="A62" s="89">
        <v>35642</v>
      </c>
      <c r="B62" s="82">
        <v>4186.3999999999996</v>
      </c>
      <c r="C62" s="82">
        <v>2310.3000000000002</v>
      </c>
      <c r="D62" s="82">
        <v>6496.7</v>
      </c>
      <c r="E62" s="82" t="s">
        <v>18</v>
      </c>
      <c r="F62" s="82">
        <v>250.6</v>
      </c>
      <c r="G62" s="82">
        <v>1.9</v>
      </c>
      <c r="H62" s="82">
        <v>6749.2</v>
      </c>
    </row>
    <row r="63" spans="1:13" x14ac:dyDescent="0.2">
      <c r="A63" s="89">
        <v>35673</v>
      </c>
      <c r="B63" s="82">
        <v>4246.1000000000004</v>
      </c>
      <c r="C63" s="82">
        <v>2457.5</v>
      </c>
      <c r="D63" s="82">
        <v>6703.6</v>
      </c>
      <c r="E63" s="82" t="s">
        <v>18</v>
      </c>
      <c r="F63" s="82">
        <v>254.3</v>
      </c>
      <c r="G63" s="82">
        <v>0.3</v>
      </c>
      <c r="H63" s="82">
        <v>6958.2</v>
      </c>
    </row>
    <row r="64" spans="1:13" x14ac:dyDescent="0.2">
      <c r="A64" s="89">
        <v>35703</v>
      </c>
      <c r="B64" s="82">
        <v>4312</v>
      </c>
      <c r="C64" s="82">
        <v>2403.4</v>
      </c>
      <c r="D64" s="82">
        <v>6715.4</v>
      </c>
      <c r="E64" s="82" t="s">
        <v>18</v>
      </c>
      <c r="F64" s="82">
        <v>256.60000000000002</v>
      </c>
      <c r="G64" s="82">
        <v>0.3</v>
      </c>
      <c r="H64" s="82">
        <v>6972.3</v>
      </c>
    </row>
    <row r="65" spans="1:8" x14ac:dyDescent="0.2">
      <c r="A65" s="89">
        <v>35734</v>
      </c>
      <c r="B65" s="82">
        <v>4490.1000000000004</v>
      </c>
      <c r="C65" s="82">
        <v>2221</v>
      </c>
      <c r="D65" s="82">
        <v>6711.1</v>
      </c>
      <c r="E65" s="82" t="s">
        <v>18</v>
      </c>
      <c r="F65" s="82">
        <v>266.5</v>
      </c>
      <c r="G65" s="82">
        <v>2.2999999999999998</v>
      </c>
      <c r="H65" s="82">
        <v>6979.9</v>
      </c>
    </row>
    <row r="66" spans="1:8" x14ac:dyDescent="0.2">
      <c r="A66" s="89">
        <v>35764</v>
      </c>
      <c r="B66" s="82">
        <v>4431.1000000000004</v>
      </c>
      <c r="C66" s="82">
        <v>2691.1</v>
      </c>
      <c r="D66" s="82">
        <v>7122.2</v>
      </c>
      <c r="E66" s="82" t="s">
        <v>18</v>
      </c>
      <c r="F66" s="82">
        <v>262.89999999999998</v>
      </c>
      <c r="G66" s="82">
        <v>0.5</v>
      </c>
      <c r="H66" s="82">
        <v>7385.6</v>
      </c>
    </row>
    <row r="67" spans="1:8" x14ac:dyDescent="0.2">
      <c r="A67" s="89">
        <v>35795</v>
      </c>
      <c r="B67" s="82">
        <v>4728.8</v>
      </c>
      <c r="C67" s="82">
        <v>2617</v>
      </c>
      <c r="D67" s="82">
        <v>7345.8</v>
      </c>
      <c r="E67" s="82" t="s">
        <v>18</v>
      </c>
      <c r="F67" s="82">
        <v>306.8</v>
      </c>
      <c r="G67" s="82">
        <v>0.6</v>
      </c>
      <c r="H67" s="82">
        <v>7653.2</v>
      </c>
    </row>
    <row r="68" spans="1:8" x14ac:dyDescent="0.2">
      <c r="A68" s="89">
        <v>35826</v>
      </c>
      <c r="B68" s="82">
        <v>4654.2</v>
      </c>
      <c r="C68" s="82">
        <v>2740.9</v>
      </c>
      <c r="D68" s="82">
        <v>7395.1</v>
      </c>
      <c r="E68" s="82" t="s">
        <v>18</v>
      </c>
      <c r="F68" s="82">
        <v>305.89999999999998</v>
      </c>
      <c r="G68" s="82">
        <v>2.9</v>
      </c>
      <c r="H68" s="82">
        <v>7704</v>
      </c>
    </row>
    <row r="69" spans="1:8" x14ac:dyDescent="0.2">
      <c r="A69" s="89">
        <v>35854</v>
      </c>
      <c r="B69" s="82">
        <v>4689.3</v>
      </c>
      <c r="C69" s="82">
        <v>2537.5</v>
      </c>
      <c r="D69" s="82">
        <v>7226.8</v>
      </c>
      <c r="E69" s="82" t="s">
        <v>18</v>
      </c>
      <c r="F69" s="82">
        <v>449.6</v>
      </c>
      <c r="G69" s="82">
        <v>1.1000000000000001</v>
      </c>
      <c r="H69" s="82">
        <v>7677.6</v>
      </c>
    </row>
    <row r="70" spans="1:8" x14ac:dyDescent="0.2">
      <c r="A70" s="89">
        <v>35885</v>
      </c>
      <c r="B70" s="82">
        <v>4734.8</v>
      </c>
      <c r="C70" s="82">
        <v>2366.5</v>
      </c>
      <c r="D70" s="82">
        <v>7101.3</v>
      </c>
      <c r="E70" s="82" t="s">
        <v>18</v>
      </c>
      <c r="F70" s="82">
        <v>465.5</v>
      </c>
      <c r="G70" s="82">
        <v>1.2</v>
      </c>
      <c r="H70" s="82">
        <v>7568.1</v>
      </c>
    </row>
    <row r="71" spans="1:8" x14ac:dyDescent="0.2">
      <c r="A71" s="89">
        <v>35915</v>
      </c>
      <c r="B71" s="82">
        <v>4768.8</v>
      </c>
      <c r="C71" s="82">
        <v>2314.6999999999998</v>
      </c>
      <c r="D71" s="82">
        <v>7083.5</v>
      </c>
      <c r="E71" s="82" t="s">
        <v>18</v>
      </c>
      <c r="F71" s="82">
        <v>501.8</v>
      </c>
      <c r="G71" s="82">
        <v>2.1</v>
      </c>
      <c r="H71" s="82">
        <v>7587.5</v>
      </c>
    </row>
    <row r="72" spans="1:8" x14ac:dyDescent="0.2">
      <c r="A72" s="89">
        <v>35946</v>
      </c>
      <c r="B72" s="82">
        <v>4933.7</v>
      </c>
      <c r="C72" s="82">
        <v>2405.1</v>
      </c>
      <c r="D72" s="82">
        <v>7338.8</v>
      </c>
      <c r="E72" s="82" t="s">
        <v>18</v>
      </c>
      <c r="F72" s="82">
        <v>517.6</v>
      </c>
      <c r="G72" s="82">
        <v>2.1</v>
      </c>
      <c r="H72" s="82">
        <v>7858.6</v>
      </c>
    </row>
    <row r="73" spans="1:8" x14ac:dyDescent="0.2">
      <c r="A73" s="89">
        <v>35976</v>
      </c>
      <c r="B73" s="82">
        <v>5083.8999999999996</v>
      </c>
      <c r="C73" s="82">
        <v>2470.4</v>
      </c>
      <c r="D73" s="82">
        <v>7554.3</v>
      </c>
      <c r="E73" s="82" t="s">
        <v>18</v>
      </c>
      <c r="F73" s="82">
        <v>537.70000000000005</v>
      </c>
      <c r="G73" s="82">
        <v>2.1</v>
      </c>
      <c r="H73" s="82">
        <v>8094.2</v>
      </c>
    </row>
    <row r="74" spans="1:8" s="13" customFormat="1" x14ac:dyDescent="0.2">
      <c r="A74" s="89">
        <v>36007</v>
      </c>
      <c r="B74" s="82">
        <v>4979.6000000000004</v>
      </c>
      <c r="C74" s="82">
        <v>2655</v>
      </c>
      <c r="D74" s="82">
        <v>7634.7</v>
      </c>
      <c r="E74" s="82" t="s">
        <v>18</v>
      </c>
      <c r="F74" s="82">
        <v>534.1</v>
      </c>
      <c r="G74" s="82">
        <v>2.1</v>
      </c>
      <c r="H74" s="82">
        <v>8170.9</v>
      </c>
    </row>
    <row r="75" spans="1:8" s="13" customFormat="1" x14ac:dyDescent="0.2">
      <c r="A75" s="89">
        <v>36038</v>
      </c>
      <c r="B75" s="82">
        <v>5065.2</v>
      </c>
      <c r="C75" s="82">
        <v>2441.6999999999998</v>
      </c>
      <c r="D75" s="82">
        <v>7506.9</v>
      </c>
      <c r="E75" s="82" t="s">
        <v>18</v>
      </c>
      <c r="F75" s="82">
        <v>644.20000000000005</v>
      </c>
      <c r="G75" s="82">
        <v>2.5</v>
      </c>
      <c r="H75" s="82">
        <v>8153.7</v>
      </c>
    </row>
    <row r="76" spans="1:8" s="13" customFormat="1" x14ac:dyDescent="0.2">
      <c r="A76" s="89">
        <v>36068</v>
      </c>
      <c r="B76" s="82">
        <v>5187.3999999999996</v>
      </c>
      <c r="C76" s="82">
        <v>2435</v>
      </c>
      <c r="D76" s="82">
        <v>7622.4</v>
      </c>
      <c r="E76" s="82" t="s">
        <v>18</v>
      </c>
      <c r="F76" s="82">
        <v>649</v>
      </c>
      <c r="G76" s="82">
        <v>2.6</v>
      </c>
      <c r="H76" s="82">
        <v>8274</v>
      </c>
    </row>
    <row r="77" spans="1:8" x14ac:dyDescent="0.2">
      <c r="A77" s="89">
        <v>36099</v>
      </c>
      <c r="B77" s="82">
        <v>5197.8999999999996</v>
      </c>
      <c r="C77" s="82">
        <v>2685.6</v>
      </c>
      <c r="D77" s="82">
        <v>7883.5</v>
      </c>
      <c r="E77" s="82" t="s">
        <v>18</v>
      </c>
      <c r="F77" s="82">
        <v>629.70000000000005</v>
      </c>
      <c r="G77" s="82">
        <v>2.5</v>
      </c>
      <c r="H77" s="82">
        <v>8515.7000000000007</v>
      </c>
    </row>
    <row r="78" spans="1:8" x14ac:dyDescent="0.2">
      <c r="A78" s="89">
        <v>36129</v>
      </c>
      <c r="B78" s="82">
        <v>5068</v>
      </c>
      <c r="C78" s="82">
        <v>2531.6999999999998</v>
      </c>
      <c r="D78" s="82">
        <v>7599.7</v>
      </c>
      <c r="E78" s="82" t="s">
        <v>18</v>
      </c>
      <c r="F78" s="82">
        <v>615.4</v>
      </c>
      <c r="G78" s="82">
        <v>3.2</v>
      </c>
      <c r="H78" s="82">
        <v>8218.2999999999993</v>
      </c>
    </row>
    <row r="79" spans="1:8" x14ac:dyDescent="0.2">
      <c r="A79" s="89">
        <v>36160</v>
      </c>
      <c r="B79" s="82">
        <v>4671.3999999999996</v>
      </c>
      <c r="C79" s="82">
        <v>2628</v>
      </c>
      <c r="D79" s="82">
        <v>7299.5</v>
      </c>
      <c r="E79" s="82" t="s">
        <v>18</v>
      </c>
      <c r="F79" s="82">
        <v>671.8</v>
      </c>
      <c r="G79" s="82">
        <v>3.3</v>
      </c>
      <c r="H79" s="82">
        <v>7974.5</v>
      </c>
    </row>
    <row r="80" spans="1:8" x14ac:dyDescent="0.2">
      <c r="A80" s="89">
        <v>36191</v>
      </c>
      <c r="B80" s="82">
        <v>4586.3999999999996</v>
      </c>
      <c r="C80" s="82">
        <v>2671.3</v>
      </c>
      <c r="D80" s="82">
        <v>7257.7</v>
      </c>
      <c r="E80" s="82" t="s">
        <v>18</v>
      </c>
      <c r="F80" s="82">
        <v>682.9</v>
      </c>
      <c r="G80" s="82">
        <v>3.2</v>
      </c>
      <c r="H80" s="82">
        <v>7943.8</v>
      </c>
    </row>
    <row r="81" spans="1:8" x14ac:dyDescent="0.2">
      <c r="A81" s="89">
        <v>36219</v>
      </c>
      <c r="B81" s="82">
        <v>4544.7</v>
      </c>
      <c r="C81" s="82">
        <v>2290.1</v>
      </c>
      <c r="D81" s="82">
        <v>6834.8</v>
      </c>
      <c r="E81" s="82" t="s">
        <v>18</v>
      </c>
      <c r="F81" s="82">
        <v>838.1</v>
      </c>
      <c r="G81" s="82">
        <v>4.3</v>
      </c>
      <c r="H81" s="82">
        <v>7677.2</v>
      </c>
    </row>
    <row r="82" spans="1:8" s="13" customFormat="1" x14ac:dyDescent="0.2">
      <c r="A82" s="89">
        <v>36250</v>
      </c>
      <c r="B82" s="82">
        <v>4482.8999999999996</v>
      </c>
      <c r="C82" s="82">
        <v>1947.7</v>
      </c>
      <c r="D82" s="82">
        <v>6430.6</v>
      </c>
      <c r="E82" s="82" t="s">
        <v>18</v>
      </c>
      <c r="F82" s="82">
        <v>821</v>
      </c>
      <c r="G82" s="82">
        <v>4.3</v>
      </c>
      <c r="H82" s="82">
        <v>7255.9</v>
      </c>
    </row>
    <row r="83" spans="1:8" s="13" customFormat="1" x14ac:dyDescent="0.2">
      <c r="A83" s="89">
        <v>36280</v>
      </c>
      <c r="B83" s="82">
        <v>3721</v>
      </c>
      <c r="C83" s="82">
        <v>1995.2</v>
      </c>
      <c r="D83" s="82">
        <v>5716.2</v>
      </c>
      <c r="E83" s="82" t="s">
        <v>18</v>
      </c>
      <c r="F83" s="82">
        <v>781.6</v>
      </c>
      <c r="G83" s="82">
        <v>4.0999999999999996</v>
      </c>
      <c r="H83" s="82">
        <v>6501.8</v>
      </c>
    </row>
    <row r="84" spans="1:8" s="13" customFormat="1" x14ac:dyDescent="0.2">
      <c r="A84" s="89">
        <v>36311</v>
      </c>
      <c r="B84" s="82">
        <v>5000</v>
      </c>
      <c r="C84" s="82">
        <v>1884.1</v>
      </c>
      <c r="D84" s="82">
        <v>6884.1</v>
      </c>
      <c r="E84" s="82" t="s">
        <v>18</v>
      </c>
      <c r="F84" s="82">
        <v>807.6</v>
      </c>
      <c r="G84" s="82">
        <v>6.7</v>
      </c>
      <c r="H84" s="82">
        <v>7698.4</v>
      </c>
    </row>
    <row r="85" spans="1:8" x14ac:dyDescent="0.2">
      <c r="A85" s="89">
        <v>36341</v>
      </c>
      <c r="B85" s="82">
        <v>4447.8999999999996</v>
      </c>
      <c r="C85" s="82">
        <v>1773.1</v>
      </c>
      <c r="D85" s="82">
        <v>6221</v>
      </c>
      <c r="E85" s="82" t="s">
        <v>18</v>
      </c>
      <c r="F85" s="82">
        <v>858.3</v>
      </c>
      <c r="G85" s="82">
        <v>6.7</v>
      </c>
      <c r="H85" s="82">
        <v>7085.9</v>
      </c>
    </row>
    <row r="86" spans="1:8" x14ac:dyDescent="0.2">
      <c r="A86" s="89">
        <v>36372</v>
      </c>
      <c r="B86" s="82">
        <v>4042.4</v>
      </c>
      <c r="C86" s="82">
        <v>1995.7</v>
      </c>
      <c r="D86" s="82">
        <v>6038.1</v>
      </c>
      <c r="E86" s="82" t="s">
        <v>18</v>
      </c>
      <c r="F86" s="82">
        <v>874.8</v>
      </c>
      <c r="G86" s="82">
        <v>6.9</v>
      </c>
      <c r="H86" s="82">
        <v>6919.8</v>
      </c>
    </row>
    <row r="87" spans="1:8" s="13" customFormat="1" x14ac:dyDescent="0.2">
      <c r="A87" s="89">
        <v>36403</v>
      </c>
      <c r="B87" s="82">
        <v>4176.3999999999996</v>
      </c>
      <c r="C87" s="82">
        <v>2382.6</v>
      </c>
      <c r="D87" s="82">
        <v>6559</v>
      </c>
      <c r="E87" s="82" t="s">
        <v>18</v>
      </c>
      <c r="F87" s="82">
        <v>884.4</v>
      </c>
      <c r="G87" s="82">
        <v>10</v>
      </c>
      <c r="H87" s="82">
        <v>7453.4</v>
      </c>
    </row>
    <row r="88" spans="1:8" s="13" customFormat="1" x14ac:dyDescent="0.2">
      <c r="A88" s="89">
        <v>36433</v>
      </c>
      <c r="B88" s="82">
        <v>4425</v>
      </c>
      <c r="C88" s="82">
        <v>2669.3</v>
      </c>
      <c r="D88" s="82">
        <v>7094.3</v>
      </c>
      <c r="E88" s="82" t="s">
        <v>18</v>
      </c>
      <c r="F88" s="82">
        <v>884.9</v>
      </c>
      <c r="G88" s="82">
        <v>10.1</v>
      </c>
      <c r="H88" s="82">
        <v>7989.3</v>
      </c>
    </row>
    <row r="89" spans="1:8" s="13" customFormat="1" x14ac:dyDescent="0.2">
      <c r="A89" s="89">
        <v>36464</v>
      </c>
      <c r="B89" s="82">
        <v>5212</v>
      </c>
      <c r="C89" s="82">
        <v>2296</v>
      </c>
      <c r="D89" s="82">
        <v>7508</v>
      </c>
      <c r="E89" s="82" t="s">
        <v>18</v>
      </c>
      <c r="F89" s="82">
        <v>896</v>
      </c>
      <c r="G89" s="82">
        <v>10.199999999999999</v>
      </c>
      <c r="H89" s="82">
        <v>8414.2000000000007</v>
      </c>
    </row>
    <row r="90" spans="1:8" s="13" customFormat="1" x14ac:dyDescent="0.2">
      <c r="A90" s="89">
        <v>36494</v>
      </c>
      <c r="B90" s="82">
        <v>5481</v>
      </c>
      <c r="C90" s="82">
        <v>2349.1999999999998</v>
      </c>
      <c r="D90" s="82">
        <v>7830.2</v>
      </c>
      <c r="E90" s="82" t="s">
        <v>18</v>
      </c>
      <c r="F90" s="82">
        <v>844.1</v>
      </c>
      <c r="G90" s="82">
        <v>13.3</v>
      </c>
      <c r="H90" s="82">
        <v>8687.6</v>
      </c>
    </row>
    <row r="91" spans="1:8" s="13" customFormat="1" x14ac:dyDescent="0.2">
      <c r="A91" s="89">
        <v>36525</v>
      </c>
      <c r="B91" s="82">
        <v>5359.5</v>
      </c>
      <c r="C91" s="82">
        <v>2333.1999999999998</v>
      </c>
      <c r="D91" s="82">
        <v>7692.6</v>
      </c>
      <c r="E91" s="82" t="s">
        <v>18</v>
      </c>
      <c r="F91" s="82">
        <v>808.5</v>
      </c>
      <c r="G91" s="82">
        <v>13.1</v>
      </c>
      <c r="H91" s="82">
        <v>8514.2000000000007</v>
      </c>
    </row>
    <row r="92" spans="1:8" s="13" customFormat="1" x14ac:dyDescent="0.2">
      <c r="A92" s="89">
        <v>36556</v>
      </c>
      <c r="B92" s="82">
        <v>5228.8</v>
      </c>
      <c r="C92" s="82">
        <v>2368.8000000000002</v>
      </c>
      <c r="D92" s="82">
        <v>7597.6</v>
      </c>
      <c r="E92" s="82" t="s">
        <v>18</v>
      </c>
      <c r="F92" s="82">
        <v>854.2</v>
      </c>
      <c r="G92" s="82">
        <v>13.6</v>
      </c>
      <c r="H92" s="82">
        <v>8465.4</v>
      </c>
    </row>
    <row r="93" spans="1:8" s="13" customFormat="1" x14ac:dyDescent="0.2">
      <c r="A93" s="89">
        <v>36585</v>
      </c>
      <c r="B93" s="82">
        <v>4934.3</v>
      </c>
      <c r="C93" s="82">
        <v>2375.6</v>
      </c>
      <c r="D93" s="82">
        <v>7309.9</v>
      </c>
      <c r="E93" s="82" t="s">
        <v>18</v>
      </c>
      <c r="F93" s="82">
        <v>869.3</v>
      </c>
      <c r="G93" s="82">
        <v>16.8</v>
      </c>
      <c r="H93" s="82">
        <v>8196</v>
      </c>
    </row>
    <row r="94" spans="1:8" s="13" customFormat="1" x14ac:dyDescent="0.2">
      <c r="A94" s="89">
        <v>36616</v>
      </c>
      <c r="B94" s="82">
        <v>4506.8</v>
      </c>
      <c r="C94" s="82">
        <v>2511.8000000000002</v>
      </c>
      <c r="D94" s="82">
        <v>7018.6</v>
      </c>
      <c r="E94" s="82" t="s">
        <v>18</v>
      </c>
      <c r="F94" s="82">
        <v>849</v>
      </c>
      <c r="G94" s="82">
        <v>16.5</v>
      </c>
      <c r="H94" s="82">
        <v>7884.1</v>
      </c>
    </row>
    <row r="95" spans="1:8" x14ac:dyDescent="0.2">
      <c r="B95" s="92"/>
      <c r="C95" s="92"/>
      <c r="D95" s="92"/>
      <c r="E95" s="92"/>
      <c r="F95" s="92"/>
      <c r="G95" s="92"/>
      <c r="H95" s="92"/>
    </row>
    <row r="96" spans="1:8" x14ac:dyDescent="0.2">
      <c r="A96" s="91" t="s">
        <v>19</v>
      </c>
    </row>
    <row r="97" spans="1:1" x14ac:dyDescent="0.2">
      <c r="A97" s="91" t="s">
        <v>20</v>
      </c>
    </row>
  </sheetData>
  <printOptions horizontalCentered="1"/>
  <pageMargins left="0.47244094488188981" right="0.23622047244094491" top="0.59055118110236227" bottom="0.62992125984251968" header="0.51181102362204722" footer="0.27559055118110237"/>
  <pageSetup paperSize="9" scale="96" fitToHeight="0" orientation="portrait" r:id="rId1"/>
  <headerFooter alignWithMargins="0">
    <oddHeader>&amp;C&amp;"Calibri"&amp;10&amp;K000000 IN CONFIDENCE&amp;1#_x000D_</oddHeader>
    <oddFooter>&amp;C_x000D_&amp;1#&amp;"Calibri"&amp;10&amp;K000000 IN CONFIDENCE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D877"/>
  <sheetViews>
    <sheetView zoomScaleNormal="100" workbookViewId="0">
      <pane xSplit="1" ySplit="8" topLeftCell="B298" activePane="bottomRight" state="frozen"/>
      <selection pane="topRight" activeCell="B1" sqref="B1"/>
      <selection pane="bottomLeft" activeCell="A9" sqref="A9"/>
      <selection pane="bottomRight" activeCell="C322" sqref="C322"/>
    </sheetView>
  </sheetViews>
  <sheetFormatPr defaultRowHeight="12.75" x14ac:dyDescent="0.2"/>
  <cols>
    <col min="1" max="1" width="11.5703125" customWidth="1"/>
    <col min="2" max="2" width="13.42578125" customWidth="1"/>
    <col min="3" max="4" width="13.5703125" customWidth="1"/>
    <col min="5" max="5" width="13.42578125" style="14" customWidth="1"/>
    <col min="6" max="6" width="13.7109375" customWidth="1"/>
    <col min="7" max="7" width="13.28515625" customWidth="1"/>
    <col min="8" max="8" width="14.28515625" customWidth="1"/>
    <col min="9" max="9" width="13.42578125" customWidth="1"/>
    <col min="10" max="10" width="13.5703125" style="1" customWidth="1"/>
    <col min="11" max="11" width="12" customWidth="1"/>
    <col min="12" max="12" width="11.7109375" customWidth="1"/>
    <col min="13" max="65" width="9.28515625"/>
  </cols>
  <sheetData>
    <row r="1" spans="1:30" s="4" customFormat="1" ht="15.75" x14ac:dyDescent="0.25">
      <c r="A1" s="90" t="s">
        <v>21</v>
      </c>
      <c r="B1" s="90"/>
      <c r="C1" s="90"/>
      <c r="D1" s="90"/>
      <c r="E1" s="90"/>
      <c r="F1" s="90"/>
      <c r="G1" s="90"/>
      <c r="H1" s="90"/>
      <c r="I1" s="90"/>
      <c r="J1" s="90"/>
      <c r="K1" s="90"/>
    </row>
    <row r="2" spans="1:30" s="4" customFormat="1" ht="15.75" x14ac:dyDescent="0.25">
      <c r="A2" s="88" t="s">
        <v>1</v>
      </c>
      <c r="C2" s="6"/>
      <c r="D2" s="6"/>
      <c r="E2" s="6"/>
      <c r="F2" s="6"/>
      <c r="G2" s="6"/>
      <c r="I2" s="6"/>
    </row>
    <row r="3" spans="1:30" s="2" customFormat="1" ht="12.75" customHeight="1" x14ac:dyDescent="0.25">
      <c r="A3" s="1"/>
      <c r="B3" s="26"/>
      <c r="C3" s="27"/>
      <c r="D3" s="27"/>
      <c r="F3" s="1"/>
      <c r="G3" s="1"/>
      <c r="H3" s="73"/>
      <c r="I3" s="45"/>
      <c r="J3" s="46"/>
      <c r="K3" s="28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 spans="1:30" s="2" customFormat="1" ht="12.75" customHeight="1" x14ac:dyDescent="0.25">
      <c r="A4" s="57"/>
      <c r="B4" s="39" t="s">
        <v>34</v>
      </c>
      <c r="C4" s="39"/>
      <c r="D4" s="40"/>
      <c r="E4" s="47"/>
      <c r="F4" s="39"/>
      <c r="G4" s="39"/>
      <c r="H4" s="48"/>
      <c r="I4" s="38"/>
      <c r="J4" s="49" t="s">
        <v>3</v>
      </c>
      <c r="K4" s="17" t="s">
        <v>23</v>
      </c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 spans="1:30" s="2" customFormat="1" ht="12.75" customHeight="1" x14ac:dyDescent="0.25">
      <c r="A5" s="57"/>
      <c r="B5" s="51" t="s">
        <v>24</v>
      </c>
      <c r="C5" s="55"/>
      <c r="D5" s="56"/>
      <c r="E5" s="53" t="s">
        <v>7</v>
      </c>
      <c r="F5" s="16" t="s">
        <v>8</v>
      </c>
      <c r="G5" s="16" t="s">
        <v>25</v>
      </c>
      <c r="H5" s="54" t="s">
        <v>26</v>
      </c>
      <c r="I5" s="54" t="s">
        <v>2</v>
      </c>
      <c r="J5" s="49" t="s">
        <v>27</v>
      </c>
      <c r="K5" s="17" t="s">
        <v>6</v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 spans="1:30" s="2" customFormat="1" ht="12.75" customHeight="1" x14ac:dyDescent="0.25">
      <c r="A6" s="57"/>
      <c r="B6" s="40"/>
      <c r="C6" s="40"/>
      <c r="D6" s="41"/>
      <c r="E6" s="17" t="s">
        <v>11</v>
      </c>
      <c r="F6" s="17" t="s">
        <v>35</v>
      </c>
      <c r="G6" s="17" t="s">
        <v>28</v>
      </c>
      <c r="H6" s="57" t="s">
        <v>3</v>
      </c>
      <c r="I6" s="57" t="s">
        <v>4</v>
      </c>
      <c r="J6" s="49" t="s">
        <v>28</v>
      </c>
      <c r="K6" s="17" t="s">
        <v>29</v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 spans="1:30" s="2" customFormat="1" ht="12.75" customHeight="1" x14ac:dyDescent="0.25">
      <c r="A7" s="57"/>
      <c r="B7" s="22" t="s">
        <v>30</v>
      </c>
      <c r="C7" s="22" t="s">
        <v>31</v>
      </c>
      <c r="D7" s="19" t="s">
        <v>3</v>
      </c>
      <c r="E7" s="17" t="s">
        <v>16</v>
      </c>
      <c r="F7" s="17" t="s">
        <v>36</v>
      </c>
      <c r="G7" s="17" t="s">
        <v>32</v>
      </c>
      <c r="H7" s="57"/>
      <c r="I7" s="57" t="s">
        <v>3</v>
      </c>
      <c r="J7" s="49" t="s">
        <v>32</v>
      </c>
      <c r="K7" s="17" t="s">
        <v>32</v>
      </c>
      <c r="L7" s="80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 spans="1:30" s="2" customFormat="1" ht="12.75" customHeight="1" x14ac:dyDescent="0.25">
      <c r="A8" s="112"/>
      <c r="B8" s="58"/>
      <c r="C8" s="24" t="s">
        <v>33</v>
      </c>
      <c r="D8" s="25"/>
      <c r="E8" s="18"/>
      <c r="F8" s="18"/>
      <c r="G8" s="18"/>
      <c r="H8" s="15"/>
      <c r="I8" s="15"/>
      <c r="J8" s="59"/>
      <c r="K8" s="18"/>
      <c r="L8" s="80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 spans="1:30" s="12" customFormat="1" ht="12.75" customHeight="1" x14ac:dyDescent="0.25">
      <c r="A9" s="111"/>
      <c r="B9" s="62"/>
      <c r="C9" s="66"/>
      <c r="D9" s="62"/>
      <c r="E9" s="63"/>
      <c r="F9" s="65"/>
      <c r="G9" s="66"/>
      <c r="H9" s="64"/>
      <c r="I9" s="64"/>
      <c r="J9" s="63"/>
      <c r="K9" s="67"/>
      <c r="L9" s="1"/>
      <c r="M9" s="1"/>
      <c r="N9" s="1"/>
      <c r="O9" s="1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 spans="1:30" s="11" customFormat="1" ht="12.75" customHeight="1" x14ac:dyDescent="0.25">
      <c r="A10" s="110">
        <v>36586</v>
      </c>
      <c r="B10" s="113">
        <v>1829</v>
      </c>
      <c r="C10" s="114">
        <v>410</v>
      </c>
      <c r="D10" s="114">
        <v>2239</v>
      </c>
      <c r="E10" s="114">
        <v>841</v>
      </c>
      <c r="F10" s="114">
        <v>17</v>
      </c>
      <c r="G10" s="114">
        <v>-27</v>
      </c>
      <c r="H10" s="114">
        <v>3070</v>
      </c>
      <c r="I10" s="114">
        <v>4809</v>
      </c>
      <c r="J10" s="114">
        <v>7879</v>
      </c>
      <c r="K10" s="114">
        <v>429</v>
      </c>
      <c r="L10" s="125"/>
      <c r="M10" s="4"/>
      <c r="N10" s="4"/>
      <c r="O10" s="4"/>
      <c r="P10" s="4"/>
      <c r="Q10" s="4"/>
      <c r="R10" s="4"/>
      <c r="S10" s="4"/>
      <c r="T10" s="4"/>
      <c r="U10" s="4"/>
      <c r="V10" s="4"/>
    </row>
    <row r="11" spans="1:30" s="11" customFormat="1" ht="12.75" customHeight="1" x14ac:dyDescent="0.25">
      <c r="A11" s="110">
        <v>36617</v>
      </c>
      <c r="B11" s="113">
        <v>2028</v>
      </c>
      <c r="C11" s="114">
        <v>195</v>
      </c>
      <c r="D11" s="114">
        <v>2223</v>
      </c>
      <c r="E11" s="114">
        <v>842</v>
      </c>
      <c r="F11" s="114">
        <v>17</v>
      </c>
      <c r="G11" s="114">
        <v>-9</v>
      </c>
      <c r="H11" s="114">
        <v>3073</v>
      </c>
      <c r="I11" s="114">
        <v>4798</v>
      </c>
      <c r="J11" s="114">
        <v>7871</v>
      </c>
      <c r="K11" s="114">
        <v>258</v>
      </c>
      <c r="L11" s="125"/>
      <c r="M11" s="4"/>
      <c r="N11" s="4"/>
      <c r="O11" s="4"/>
      <c r="P11" s="4"/>
      <c r="Q11" s="4"/>
      <c r="R11" s="4"/>
      <c r="S11" s="4"/>
      <c r="T11" s="4"/>
      <c r="U11" s="4"/>
      <c r="V11" s="4"/>
    </row>
    <row r="12" spans="1:30" s="11" customFormat="1" ht="12.75" customHeight="1" x14ac:dyDescent="0.2">
      <c r="A12" s="110">
        <v>36647</v>
      </c>
      <c r="B12" s="113">
        <v>2017</v>
      </c>
      <c r="C12" s="114">
        <v>176</v>
      </c>
      <c r="D12" s="114">
        <v>2193</v>
      </c>
      <c r="E12" s="114">
        <v>784</v>
      </c>
      <c r="F12" s="114">
        <v>24</v>
      </c>
      <c r="G12" s="114">
        <v>-29</v>
      </c>
      <c r="H12" s="114">
        <v>2972</v>
      </c>
      <c r="I12" s="114">
        <v>4858</v>
      </c>
      <c r="J12" s="114">
        <v>7830</v>
      </c>
      <c r="K12" s="114">
        <v>225</v>
      </c>
      <c r="L12" s="125"/>
      <c r="M12" s="80"/>
      <c r="N12" s="80"/>
      <c r="O12" s="80"/>
      <c r="P12" s="80"/>
      <c r="Q12" s="80"/>
      <c r="R12" s="80"/>
      <c r="S12" s="80"/>
      <c r="T12" s="80"/>
      <c r="U12" s="80"/>
      <c r="V12" s="80"/>
    </row>
    <row r="13" spans="1:30" s="11" customFormat="1" ht="12.75" customHeight="1" x14ac:dyDescent="0.2">
      <c r="A13" s="110">
        <v>36678</v>
      </c>
      <c r="B13" s="113">
        <v>2180</v>
      </c>
      <c r="C13" s="114">
        <v>160</v>
      </c>
      <c r="D13" s="114">
        <v>2340</v>
      </c>
      <c r="E13" s="114">
        <v>761</v>
      </c>
      <c r="F13" s="114">
        <v>24</v>
      </c>
      <c r="G13" s="114">
        <v>-25</v>
      </c>
      <c r="H13" s="114">
        <v>3100</v>
      </c>
      <c r="I13" s="114">
        <v>4673</v>
      </c>
      <c r="J13" s="114">
        <v>7773</v>
      </c>
      <c r="K13" s="114">
        <v>225</v>
      </c>
      <c r="L13" s="125"/>
      <c r="M13" s="80"/>
      <c r="N13" s="80"/>
      <c r="O13" s="80"/>
      <c r="P13" s="80"/>
      <c r="Q13" s="80"/>
      <c r="R13" s="80"/>
      <c r="S13" s="80"/>
      <c r="T13" s="80"/>
      <c r="U13" s="80"/>
      <c r="V13" s="80"/>
    </row>
    <row r="14" spans="1:30" s="11" customFormat="1" ht="12.75" customHeight="1" x14ac:dyDescent="0.2">
      <c r="A14" s="110">
        <v>36708</v>
      </c>
      <c r="B14" s="113">
        <v>2240</v>
      </c>
      <c r="C14" s="114">
        <v>156</v>
      </c>
      <c r="D14" s="114">
        <v>2396</v>
      </c>
      <c r="E14" s="114">
        <v>772</v>
      </c>
      <c r="F14" s="114">
        <v>25</v>
      </c>
      <c r="G14" s="114">
        <v>-17</v>
      </c>
      <c r="H14" s="114">
        <v>3176</v>
      </c>
      <c r="I14" s="114">
        <v>4546</v>
      </c>
      <c r="J14" s="114">
        <v>7722</v>
      </c>
      <c r="K14" s="114">
        <v>187</v>
      </c>
      <c r="L14" s="125"/>
      <c r="M14" s="80"/>
      <c r="N14" s="80"/>
      <c r="O14" s="80"/>
      <c r="P14" s="80"/>
      <c r="Q14" s="80"/>
      <c r="R14" s="80"/>
      <c r="S14" s="80"/>
      <c r="T14" s="80"/>
      <c r="U14" s="80"/>
      <c r="V14" s="80"/>
    </row>
    <row r="15" spans="1:30" s="11" customFormat="1" ht="12.75" customHeight="1" x14ac:dyDescent="0.2">
      <c r="A15" s="110">
        <v>36739</v>
      </c>
      <c r="B15" s="113">
        <v>2400</v>
      </c>
      <c r="C15" s="114">
        <v>289</v>
      </c>
      <c r="D15" s="114">
        <v>2689</v>
      </c>
      <c r="E15" s="114">
        <v>760</v>
      </c>
      <c r="F15" s="114">
        <v>28</v>
      </c>
      <c r="G15" s="114">
        <v>-57</v>
      </c>
      <c r="H15" s="114">
        <v>3420</v>
      </c>
      <c r="I15" s="114">
        <v>4992</v>
      </c>
      <c r="J15" s="114">
        <v>8412</v>
      </c>
      <c r="K15" s="114">
        <v>290</v>
      </c>
      <c r="L15" s="125"/>
      <c r="M15" s="80"/>
      <c r="N15" s="80"/>
      <c r="O15" s="80"/>
      <c r="P15" s="80"/>
      <c r="Q15" s="80"/>
      <c r="R15" s="80"/>
      <c r="S15" s="80"/>
      <c r="T15" s="80"/>
      <c r="U15" s="80"/>
      <c r="V15" s="80"/>
    </row>
    <row r="16" spans="1:30" s="11" customFormat="1" ht="12.75" customHeight="1" x14ac:dyDescent="0.2">
      <c r="A16" s="110">
        <v>36770</v>
      </c>
      <c r="B16" s="113">
        <v>2402</v>
      </c>
      <c r="C16" s="114">
        <v>326</v>
      </c>
      <c r="D16" s="114">
        <v>2728</v>
      </c>
      <c r="E16" s="114">
        <v>799</v>
      </c>
      <c r="F16" s="114">
        <v>30</v>
      </c>
      <c r="G16" s="114">
        <v>-81</v>
      </c>
      <c r="H16" s="114">
        <v>3476</v>
      </c>
      <c r="I16" s="114">
        <v>5237</v>
      </c>
      <c r="J16" s="114">
        <v>8713</v>
      </c>
      <c r="K16" s="114">
        <v>454</v>
      </c>
      <c r="L16" s="125"/>
      <c r="M16" s="80"/>
      <c r="N16" s="80"/>
      <c r="O16" s="80"/>
      <c r="P16" s="80"/>
      <c r="Q16" s="80"/>
      <c r="R16" s="80"/>
      <c r="S16" s="80"/>
      <c r="T16" s="80"/>
      <c r="U16" s="80"/>
      <c r="V16" s="80"/>
    </row>
    <row r="17" spans="1:22" s="11" customFormat="1" ht="12.75" customHeight="1" x14ac:dyDescent="0.2">
      <c r="A17" s="110">
        <v>36800</v>
      </c>
      <c r="B17" s="113">
        <v>2592</v>
      </c>
      <c r="C17" s="114">
        <v>726</v>
      </c>
      <c r="D17" s="114">
        <v>3318</v>
      </c>
      <c r="E17" s="114">
        <v>810</v>
      </c>
      <c r="F17" s="114">
        <v>30</v>
      </c>
      <c r="G17" s="114">
        <v>-91</v>
      </c>
      <c r="H17" s="114">
        <v>4067</v>
      </c>
      <c r="I17" s="114">
        <v>5323</v>
      </c>
      <c r="J17" s="114">
        <v>9390</v>
      </c>
      <c r="K17" s="114">
        <v>269</v>
      </c>
      <c r="L17" s="125"/>
      <c r="M17" s="80"/>
      <c r="N17" s="80"/>
      <c r="O17" s="80"/>
      <c r="P17" s="80"/>
      <c r="Q17" s="80"/>
      <c r="R17" s="80"/>
      <c r="S17" s="80"/>
      <c r="T17" s="80"/>
      <c r="U17" s="80"/>
      <c r="V17" s="80"/>
    </row>
    <row r="18" spans="1:22" s="11" customFormat="1" ht="12.75" customHeight="1" x14ac:dyDescent="0.2">
      <c r="A18" s="110">
        <v>36831</v>
      </c>
      <c r="B18" s="113">
        <v>2732</v>
      </c>
      <c r="C18" s="114">
        <v>431</v>
      </c>
      <c r="D18" s="114">
        <v>3163</v>
      </c>
      <c r="E18" s="114">
        <v>779</v>
      </c>
      <c r="F18" s="114">
        <v>32</v>
      </c>
      <c r="G18" s="114">
        <v>-74</v>
      </c>
      <c r="H18" s="114">
        <v>3900</v>
      </c>
      <c r="I18" s="114">
        <v>5275</v>
      </c>
      <c r="J18" s="114">
        <v>9175</v>
      </c>
      <c r="K18" s="114">
        <v>313</v>
      </c>
      <c r="L18" s="125"/>
      <c r="M18" s="80"/>
      <c r="N18" s="80"/>
      <c r="O18" s="80"/>
      <c r="P18" s="80"/>
      <c r="Q18" s="80"/>
      <c r="R18" s="80"/>
      <c r="S18" s="80"/>
      <c r="T18" s="80"/>
      <c r="U18" s="80"/>
      <c r="V18" s="80"/>
    </row>
    <row r="19" spans="1:22" s="11" customFormat="1" ht="12.75" customHeight="1" x14ac:dyDescent="0.2">
      <c r="A19" s="110">
        <v>36861</v>
      </c>
      <c r="B19" s="113">
        <v>2483</v>
      </c>
      <c r="C19" s="114">
        <v>485</v>
      </c>
      <c r="D19" s="114">
        <v>2968</v>
      </c>
      <c r="E19" s="114">
        <v>731</v>
      </c>
      <c r="F19" s="114">
        <v>30</v>
      </c>
      <c r="G19" s="114">
        <v>-34</v>
      </c>
      <c r="H19" s="114">
        <v>3695</v>
      </c>
      <c r="I19" s="114">
        <v>5288</v>
      </c>
      <c r="J19" s="114">
        <v>8983</v>
      </c>
      <c r="K19" s="114">
        <v>278</v>
      </c>
      <c r="L19" s="125"/>
      <c r="M19" s="80"/>
      <c r="N19" s="80"/>
      <c r="O19" s="80"/>
      <c r="P19" s="80"/>
      <c r="Q19" s="80"/>
      <c r="R19" s="80"/>
      <c r="S19" s="80"/>
      <c r="T19" s="80"/>
      <c r="U19" s="80"/>
      <c r="V19" s="80"/>
    </row>
    <row r="20" spans="1:22" s="11" customFormat="1" ht="12.75" customHeight="1" x14ac:dyDescent="0.2">
      <c r="A20" s="110">
        <v>36892</v>
      </c>
      <c r="B20" s="113">
        <v>2090</v>
      </c>
      <c r="C20" s="114">
        <v>648</v>
      </c>
      <c r="D20" s="114">
        <v>2738</v>
      </c>
      <c r="E20" s="114">
        <v>691</v>
      </c>
      <c r="F20" s="114">
        <v>30</v>
      </c>
      <c r="G20" s="114">
        <v>-6</v>
      </c>
      <c r="H20" s="114">
        <v>3453</v>
      </c>
      <c r="I20" s="114">
        <v>5137</v>
      </c>
      <c r="J20" s="114">
        <v>8590</v>
      </c>
      <c r="K20" s="114">
        <v>132</v>
      </c>
      <c r="L20" s="125"/>
      <c r="M20" s="80"/>
      <c r="N20" s="80"/>
      <c r="O20" s="80"/>
      <c r="P20" s="80"/>
      <c r="Q20" s="80"/>
      <c r="R20" s="80"/>
      <c r="S20" s="80"/>
      <c r="T20" s="80"/>
      <c r="U20" s="80"/>
      <c r="V20" s="80"/>
    </row>
    <row r="21" spans="1:22" s="11" customFormat="1" ht="12.75" customHeight="1" x14ac:dyDescent="0.2">
      <c r="A21" s="110">
        <v>36923</v>
      </c>
      <c r="B21" s="113">
        <v>2056</v>
      </c>
      <c r="C21" s="114">
        <v>268</v>
      </c>
      <c r="D21" s="114">
        <v>2324</v>
      </c>
      <c r="E21" s="114">
        <v>800</v>
      </c>
      <c r="F21" s="114">
        <v>32</v>
      </c>
      <c r="G21" s="114">
        <v>-6</v>
      </c>
      <c r="H21" s="114">
        <v>3150</v>
      </c>
      <c r="I21" s="114">
        <v>4677</v>
      </c>
      <c r="J21" s="114">
        <v>7827</v>
      </c>
      <c r="K21" s="120">
        <v>376</v>
      </c>
      <c r="L21" s="125"/>
      <c r="M21" s="80"/>
      <c r="N21" s="80"/>
      <c r="O21" s="80"/>
      <c r="P21" s="80"/>
      <c r="Q21" s="80"/>
      <c r="R21" s="80"/>
      <c r="S21" s="80"/>
      <c r="T21" s="80"/>
      <c r="U21" s="80"/>
      <c r="V21" s="80"/>
    </row>
    <row r="22" spans="1:22" s="11" customFormat="1" ht="12.75" customHeight="1" x14ac:dyDescent="0.2">
      <c r="A22" s="110">
        <v>36951</v>
      </c>
      <c r="B22" s="113">
        <v>2451</v>
      </c>
      <c r="C22" s="114">
        <v>366</v>
      </c>
      <c r="D22" s="114">
        <v>2817</v>
      </c>
      <c r="E22" s="114">
        <v>790</v>
      </c>
      <c r="F22" s="114">
        <v>34</v>
      </c>
      <c r="G22" s="114">
        <v>21</v>
      </c>
      <c r="H22" s="114">
        <v>3662</v>
      </c>
      <c r="I22" s="114">
        <v>4905</v>
      </c>
      <c r="J22" s="114">
        <v>8567</v>
      </c>
      <c r="K22" s="120">
        <v>392</v>
      </c>
      <c r="L22" s="125"/>
      <c r="M22" s="80"/>
      <c r="N22" s="80"/>
      <c r="O22" s="80"/>
      <c r="P22" s="80"/>
      <c r="Q22" s="80"/>
      <c r="R22" s="80"/>
      <c r="S22" s="80"/>
      <c r="T22" s="80"/>
      <c r="U22" s="80"/>
      <c r="V22" s="80"/>
    </row>
    <row r="23" spans="1:22" s="11" customFormat="1" ht="12.75" customHeight="1" x14ac:dyDescent="0.2">
      <c r="A23" s="110">
        <v>36982</v>
      </c>
      <c r="B23" s="113">
        <v>2469</v>
      </c>
      <c r="C23" s="114">
        <v>538</v>
      </c>
      <c r="D23" s="114">
        <v>3007</v>
      </c>
      <c r="E23" s="114">
        <v>780</v>
      </c>
      <c r="F23" s="114">
        <v>33</v>
      </c>
      <c r="G23" s="114">
        <v>33</v>
      </c>
      <c r="H23" s="114">
        <v>3853</v>
      </c>
      <c r="I23" s="114">
        <v>4780</v>
      </c>
      <c r="J23" s="114">
        <v>8633</v>
      </c>
      <c r="K23" s="120">
        <v>499</v>
      </c>
      <c r="L23" s="125"/>
      <c r="M23" s="80"/>
      <c r="N23" s="80"/>
      <c r="O23" s="80"/>
      <c r="P23" s="80"/>
      <c r="Q23" s="80"/>
      <c r="R23" s="80"/>
      <c r="S23" s="80"/>
      <c r="T23" s="80"/>
      <c r="U23" s="80"/>
      <c r="V23" s="80"/>
    </row>
    <row r="24" spans="1:22" s="11" customFormat="1" ht="12.75" customHeight="1" x14ac:dyDescent="0.2">
      <c r="A24" s="110">
        <v>37012</v>
      </c>
      <c r="B24" s="113">
        <v>2506</v>
      </c>
      <c r="C24" s="114">
        <v>274</v>
      </c>
      <c r="D24" s="114">
        <v>2780</v>
      </c>
      <c r="E24" s="114">
        <v>814</v>
      </c>
      <c r="F24" s="114">
        <v>34</v>
      </c>
      <c r="G24" s="114">
        <v>27</v>
      </c>
      <c r="H24" s="114">
        <v>3655</v>
      </c>
      <c r="I24" s="114">
        <v>4999</v>
      </c>
      <c r="J24" s="114">
        <v>8654</v>
      </c>
      <c r="K24" s="120">
        <v>782</v>
      </c>
      <c r="L24" s="125"/>
      <c r="M24" s="80"/>
      <c r="N24" s="80"/>
      <c r="O24" s="80"/>
      <c r="P24" s="80"/>
      <c r="Q24" s="80"/>
      <c r="R24" s="80"/>
      <c r="S24" s="80"/>
      <c r="T24" s="80"/>
      <c r="U24" s="80"/>
      <c r="V24" s="80"/>
    </row>
    <row r="25" spans="1:22" s="11" customFormat="1" ht="12.75" customHeight="1" x14ac:dyDescent="0.2">
      <c r="A25" s="110">
        <v>37043</v>
      </c>
      <c r="B25" s="113">
        <v>2334</v>
      </c>
      <c r="C25" s="114">
        <v>295</v>
      </c>
      <c r="D25" s="114">
        <v>2629</v>
      </c>
      <c r="E25" s="114">
        <v>906</v>
      </c>
      <c r="F25" s="114">
        <v>35</v>
      </c>
      <c r="G25" s="114">
        <v>26</v>
      </c>
      <c r="H25" s="114">
        <v>3596</v>
      </c>
      <c r="I25" s="114">
        <v>4905</v>
      </c>
      <c r="J25" s="114">
        <v>8501</v>
      </c>
      <c r="K25" s="120">
        <v>693</v>
      </c>
      <c r="L25" s="125"/>
      <c r="M25" s="80"/>
      <c r="N25" s="80"/>
      <c r="O25" s="80"/>
      <c r="P25" s="80"/>
      <c r="Q25" s="80"/>
      <c r="R25" s="80"/>
      <c r="S25" s="80"/>
      <c r="T25" s="80"/>
      <c r="U25" s="80"/>
      <c r="V25" s="80"/>
    </row>
    <row r="26" spans="1:22" s="11" customFormat="1" ht="12.75" customHeight="1" x14ac:dyDescent="0.2">
      <c r="A26" s="110">
        <v>37073</v>
      </c>
      <c r="B26" s="113">
        <v>2249</v>
      </c>
      <c r="C26" s="114">
        <v>490</v>
      </c>
      <c r="D26" s="114">
        <v>2739</v>
      </c>
      <c r="E26" s="114">
        <v>906</v>
      </c>
      <c r="F26" s="114">
        <v>35</v>
      </c>
      <c r="G26" s="114">
        <v>26</v>
      </c>
      <c r="H26" s="114">
        <v>3706</v>
      </c>
      <c r="I26" s="114">
        <v>4878</v>
      </c>
      <c r="J26" s="114">
        <v>8584</v>
      </c>
      <c r="K26" s="120">
        <v>718</v>
      </c>
      <c r="L26" s="125"/>
      <c r="M26" s="80"/>
      <c r="N26" s="80"/>
      <c r="O26" s="80"/>
      <c r="P26" s="80"/>
      <c r="Q26" s="80"/>
      <c r="R26" s="80"/>
      <c r="S26" s="80"/>
      <c r="T26" s="80"/>
      <c r="U26" s="80"/>
      <c r="V26" s="80"/>
    </row>
    <row r="27" spans="1:22" s="11" customFormat="1" ht="12.75" customHeight="1" x14ac:dyDescent="0.2">
      <c r="A27" s="110">
        <v>37104</v>
      </c>
      <c r="B27" s="113">
        <v>2084</v>
      </c>
      <c r="C27" s="114">
        <v>384</v>
      </c>
      <c r="D27" s="114">
        <v>2468</v>
      </c>
      <c r="E27" s="114">
        <v>818</v>
      </c>
      <c r="F27" s="114">
        <v>35</v>
      </c>
      <c r="G27" s="114">
        <v>42</v>
      </c>
      <c r="H27" s="114">
        <v>3363</v>
      </c>
      <c r="I27" s="114">
        <v>4627</v>
      </c>
      <c r="J27" s="114">
        <v>7990</v>
      </c>
      <c r="K27" s="120">
        <v>718</v>
      </c>
      <c r="L27" s="125"/>
      <c r="M27" s="80"/>
      <c r="N27" s="80"/>
      <c r="O27" s="80"/>
      <c r="P27" s="80"/>
      <c r="Q27" s="80"/>
      <c r="R27" s="80"/>
      <c r="S27" s="80"/>
      <c r="T27" s="80"/>
      <c r="U27" s="80"/>
      <c r="V27" s="80"/>
    </row>
    <row r="28" spans="1:22" s="11" customFormat="1" ht="12.75" customHeight="1" x14ac:dyDescent="0.2">
      <c r="A28" s="110">
        <v>37135</v>
      </c>
      <c r="B28" s="113">
        <v>2542</v>
      </c>
      <c r="C28" s="114">
        <v>395</v>
      </c>
      <c r="D28" s="114">
        <v>2937</v>
      </c>
      <c r="E28" s="114">
        <v>900</v>
      </c>
      <c r="F28" s="114">
        <v>39</v>
      </c>
      <c r="G28" s="114">
        <v>5</v>
      </c>
      <c r="H28" s="114">
        <v>3881</v>
      </c>
      <c r="I28" s="114">
        <v>5052</v>
      </c>
      <c r="J28" s="114">
        <v>8933</v>
      </c>
      <c r="K28" s="120">
        <v>772</v>
      </c>
      <c r="L28" s="125"/>
      <c r="M28" s="80"/>
      <c r="N28" s="80"/>
      <c r="O28" s="80"/>
      <c r="P28" s="80"/>
      <c r="Q28" s="80"/>
      <c r="R28" s="80"/>
      <c r="S28" s="80"/>
      <c r="T28" s="80"/>
      <c r="U28" s="80"/>
      <c r="V28" s="80"/>
    </row>
    <row r="29" spans="1:22" s="11" customFormat="1" ht="12.75" customHeight="1" x14ac:dyDescent="0.2">
      <c r="A29" s="110">
        <v>37165</v>
      </c>
      <c r="B29" s="113">
        <v>2509</v>
      </c>
      <c r="C29" s="114">
        <v>330</v>
      </c>
      <c r="D29" s="114">
        <v>2839</v>
      </c>
      <c r="E29" s="114">
        <v>873</v>
      </c>
      <c r="F29" s="114">
        <v>41</v>
      </c>
      <c r="G29" s="114">
        <v>-4</v>
      </c>
      <c r="H29" s="114">
        <v>3749</v>
      </c>
      <c r="I29" s="114">
        <v>5074</v>
      </c>
      <c r="J29" s="114">
        <v>8823</v>
      </c>
      <c r="K29" s="120">
        <v>752</v>
      </c>
      <c r="L29" s="125"/>
      <c r="M29" s="80"/>
      <c r="N29" s="80"/>
      <c r="O29" s="80"/>
      <c r="P29" s="80"/>
      <c r="Q29" s="80"/>
      <c r="R29" s="80"/>
      <c r="S29" s="80"/>
      <c r="T29" s="80"/>
      <c r="U29" s="80"/>
      <c r="V29" s="80"/>
    </row>
    <row r="30" spans="1:22" s="11" customFormat="1" ht="12" customHeight="1" x14ac:dyDescent="0.2">
      <c r="A30" s="110">
        <v>37196</v>
      </c>
      <c r="B30" s="113">
        <v>2439</v>
      </c>
      <c r="C30" s="114">
        <v>234</v>
      </c>
      <c r="D30" s="114">
        <v>2673</v>
      </c>
      <c r="E30" s="114">
        <v>789</v>
      </c>
      <c r="F30" s="114">
        <v>39</v>
      </c>
      <c r="G30" s="114">
        <v>-14</v>
      </c>
      <c r="H30" s="114">
        <v>3487</v>
      </c>
      <c r="I30" s="114">
        <v>4849</v>
      </c>
      <c r="J30" s="114">
        <v>8336</v>
      </c>
      <c r="K30" s="120">
        <v>692</v>
      </c>
      <c r="L30" s="125"/>
      <c r="M30" s="80"/>
      <c r="N30" s="80"/>
      <c r="O30" s="80"/>
      <c r="P30" s="80"/>
      <c r="Q30" s="80"/>
      <c r="R30" s="80"/>
      <c r="S30" s="80"/>
      <c r="T30" s="80"/>
      <c r="U30" s="80"/>
      <c r="V30" s="80"/>
    </row>
    <row r="31" spans="1:22" s="11" customFormat="1" ht="12.75" customHeight="1" x14ac:dyDescent="0.2">
      <c r="A31" s="110">
        <v>37226</v>
      </c>
      <c r="B31" s="113">
        <v>2384</v>
      </c>
      <c r="C31" s="114">
        <v>221</v>
      </c>
      <c r="D31" s="114">
        <v>2605</v>
      </c>
      <c r="E31" s="114">
        <v>935</v>
      </c>
      <c r="F31" s="114">
        <v>39</v>
      </c>
      <c r="G31" s="114">
        <v>3</v>
      </c>
      <c r="H31" s="114">
        <v>3582</v>
      </c>
      <c r="I31" s="114">
        <v>5000</v>
      </c>
      <c r="J31" s="114">
        <v>8582</v>
      </c>
      <c r="K31" s="120">
        <v>673</v>
      </c>
      <c r="L31" s="125"/>
      <c r="M31" s="80"/>
      <c r="N31" s="80"/>
      <c r="O31" s="80"/>
      <c r="P31" s="80"/>
      <c r="Q31" s="80"/>
      <c r="R31" s="80"/>
      <c r="S31" s="80"/>
      <c r="T31" s="80"/>
      <c r="U31" s="80"/>
      <c r="V31" s="80"/>
    </row>
    <row r="32" spans="1:22" s="11" customFormat="1" ht="12.75" customHeight="1" x14ac:dyDescent="0.2">
      <c r="A32" s="110">
        <v>37257</v>
      </c>
      <c r="B32" s="113">
        <v>2174</v>
      </c>
      <c r="C32" s="114">
        <v>290</v>
      </c>
      <c r="D32" s="114">
        <v>2464</v>
      </c>
      <c r="E32" s="114">
        <v>969</v>
      </c>
      <c r="F32" s="114">
        <v>39</v>
      </c>
      <c r="G32" s="114">
        <v>5</v>
      </c>
      <c r="H32" s="114">
        <v>3477</v>
      </c>
      <c r="I32" s="114">
        <v>4464</v>
      </c>
      <c r="J32" s="114">
        <v>7941</v>
      </c>
      <c r="K32" s="120">
        <v>686</v>
      </c>
      <c r="L32" s="125"/>
      <c r="M32" s="80"/>
      <c r="N32" s="80"/>
      <c r="O32" s="80"/>
      <c r="P32" s="80"/>
      <c r="Q32" s="80"/>
      <c r="R32" s="80"/>
      <c r="S32" s="80"/>
      <c r="T32" s="80"/>
      <c r="U32" s="80"/>
      <c r="V32" s="80"/>
    </row>
    <row r="33" spans="1:22" s="11" customFormat="1" ht="15" customHeight="1" x14ac:dyDescent="0.2">
      <c r="A33" s="110">
        <v>37288</v>
      </c>
      <c r="B33" s="113">
        <v>2255</v>
      </c>
      <c r="C33" s="114">
        <v>568</v>
      </c>
      <c r="D33" s="114">
        <v>2823</v>
      </c>
      <c r="E33" s="114">
        <v>954</v>
      </c>
      <c r="F33" s="114">
        <v>40</v>
      </c>
      <c r="G33" s="114">
        <v>-1</v>
      </c>
      <c r="H33" s="114">
        <v>3816</v>
      </c>
      <c r="I33" s="114">
        <v>4638</v>
      </c>
      <c r="J33" s="114">
        <v>8454</v>
      </c>
      <c r="K33" s="120">
        <v>819</v>
      </c>
      <c r="L33" s="125"/>
      <c r="M33" s="80"/>
      <c r="N33" s="80"/>
      <c r="O33" s="80"/>
      <c r="P33" s="80"/>
      <c r="Q33" s="80"/>
      <c r="R33" s="80"/>
      <c r="S33" s="80"/>
      <c r="T33" s="80"/>
      <c r="U33" s="80"/>
      <c r="V33" s="80"/>
    </row>
    <row r="34" spans="1:22" s="11" customFormat="1" ht="15" customHeight="1" x14ac:dyDescent="0.2">
      <c r="A34" s="110">
        <v>37316</v>
      </c>
      <c r="B34" s="113">
        <v>2143</v>
      </c>
      <c r="C34" s="114">
        <v>396</v>
      </c>
      <c r="D34" s="114">
        <v>2539</v>
      </c>
      <c r="E34" s="114">
        <v>899</v>
      </c>
      <c r="F34" s="114">
        <v>38</v>
      </c>
      <c r="G34" s="114">
        <v>12</v>
      </c>
      <c r="H34" s="114">
        <v>3488</v>
      </c>
      <c r="I34" s="114">
        <v>4234</v>
      </c>
      <c r="J34" s="114">
        <v>7722</v>
      </c>
      <c r="K34" s="120">
        <v>653</v>
      </c>
      <c r="L34" s="125"/>
      <c r="M34" s="80"/>
      <c r="N34" s="80"/>
      <c r="O34" s="80"/>
      <c r="P34" s="80"/>
      <c r="Q34" s="80"/>
      <c r="R34" s="80"/>
      <c r="S34" s="80"/>
      <c r="T34" s="80"/>
      <c r="U34" s="80"/>
      <c r="V34" s="80"/>
    </row>
    <row r="35" spans="1:22" s="11" customFormat="1" ht="12.75" customHeight="1" x14ac:dyDescent="0.2">
      <c r="A35" s="110">
        <v>37347</v>
      </c>
      <c r="B35" s="113">
        <v>2388</v>
      </c>
      <c r="C35" s="114">
        <v>587</v>
      </c>
      <c r="D35" s="114">
        <v>2975</v>
      </c>
      <c r="E35" s="114">
        <v>892</v>
      </c>
      <c r="F35" s="114">
        <v>38</v>
      </c>
      <c r="G35" s="114">
        <v>23</v>
      </c>
      <c r="H35" s="114">
        <v>3928</v>
      </c>
      <c r="I35" s="114">
        <v>4229</v>
      </c>
      <c r="J35" s="114">
        <v>8157</v>
      </c>
      <c r="K35" s="120">
        <v>639</v>
      </c>
      <c r="L35" s="125"/>
      <c r="M35" s="80"/>
      <c r="N35" s="80"/>
      <c r="O35" s="80"/>
      <c r="P35" s="80"/>
      <c r="Q35" s="80"/>
      <c r="R35" s="80"/>
      <c r="S35" s="80"/>
      <c r="T35" s="80"/>
      <c r="U35" s="80"/>
      <c r="V35" s="80"/>
    </row>
    <row r="36" spans="1:22" s="11" customFormat="1" ht="12.75" customHeight="1" x14ac:dyDescent="0.2">
      <c r="A36" s="110">
        <v>37377</v>
      </c>
      <c r="B36" s="113">
        <v>1760</v>
      </c>
      <c r="C36" s="114">
        <v>747</v>
      </c>
      <c r="D36" s="114">
        <v>2507</v>
      </c>
      <c r="E36" s="114">
        <v>828</v>
      </c>
      <c r="F36" s="114">
        <v>38</v>
      </c>
      <c r="G36" s="114">
        <v>30</v>
      </c>
      <c r="H36" s="114">
        <v>3403</v>
      </c>
      <c r="I36" s="114">
        <v>3945</v>
      </c>
      <c r="J36" s="114">
        <v>7348</v>
      </c>
      <c r="K36" s="120">
        <v>582</v>
      </c>
      <c r="L36" s="125"/>
      <c r="M36" s="80"/>
      <c r="N36" s="80"/>
      <c r="O36" s="80"/>
      <c r="P36" s="80"/>
      <c r="Q36" s="80"/>
      <c r="R36" s="80"/>
      <c r="S36" s="80"/>
      <c r="T36" s="80"/>
      <c r="U36" s="80"/>
      <c r="V36" s="80"/>
    </row>
    <row r="37" spans="1:22" s="11" customFormat="1" ht="12.75" customHeight="1" x14ac:dyDescent="0.2">
      <c r="A37" s="110">
        <v>37408</v>
      </c>
      <c r="B37" s="113">
        <v>1782</v>
      </c>
      <c r="C37" s="114">
        <v>228</v>
      </c>
      <c r="D37" s="114">
        <v>2010</v>
      </c>
      <c r="E37" s="114">
        <v>973</v>
      </c>
      <c r="F37" s="114">
        <v>38</v>
      </c>
      <c r="G37" s="114">
        <v>31</v>
      </c>
      <c r="H37" s="114">
        <v>3052</v>
      </c>
      <c r="I37" s="114">
        <v>4446</v>
      </c>
      <c r="J37" s="114">
        <v>7498</v>
      </c>
      <c r="K37" s="120">
        <v>549</v>
      </c>
      <c r="L37" s="125"/>
      <c r="M37" s="2"/>
      <c r="N37" s="2"/>
      <c r="O37" s="2"/>
      <c r="P37" s="2"/>
      <c r="Q37" s="2"/>
      <c r="R37" s="2"/>
      <c r="S37" s="2"/>
      <c r="T37" s="2"/>
      <c r="U37" s="2"/>
      <c r="V37" s="2"/>
    </row>
    <row r="38" spans="1:22" s="11" customFormat="1" ht="12.75" customHeight="1" x14ac:dyDescent="0.2">
      <c r="A38" s="110">
        <v>37438</v>
      </c>
      <c r="B38" s="113">
        <v>2184</v>
      </c>
      <c r="C38" s="114">
        <v>224</v>
      </c>
      <c r="D38" s="114">
        <v>2408</v>
      </c>
      <c r="E38" s="114">
        <v>985</v>
      </c>
      <c r="F38" s="114">
        <v>40</v>
      </c>
      <c r="G38" s="114">
        <v>17</v>
      </c>
      <c r="H38" s="114">
        <v>3450</v>
      </c>
      <c r="I38" s="114">
        <v>4623</v>
      </c>
      <c r="J38" s="114">
        <v>8073</v>
      </c>
      <c r="K38" s="120">
        <v>736</v>
      </c>
      <c r="L38" s="125"/>
      <c r="M38" s="2"/>
      <c r="N38" s="2"/>
      <c r="O38" s="2"/>
      <c r="P38" s="2"/>
      <c r="Q38" s="2"/>
      <c r="R38" s="2"/>
      <c r="S38" s="2"/>
      <c r="T38" s="2"/>
      <c r="U38" s="2"/>
      <c r="V38" s="2"/>
    </row>
    <row r="39" spans="1:22" s="11" customFormat="1" ht="12.75" customHeight="1" x14ac:dyDescent="0.2">
      <c r="A39" s="110">
        <v>37469</v>
      </c>
      <c r="B39" s="113">
        <v>1868</v>
      </c>
      <c r="C39" s="114">
        <v>441</v>
      </c>
      <c r="D39" s="114">
        <v>2309</v>
      </c>
      <c r="E39" s="114">
        <v>991</v>
      </c>
      <c r="F39" s="114">
        <v>42</v>
      </c>
      <c r="G39" s="114">
        <v>18</v>
      </c>
      <c r="H39" s="114">
        <v>3360</v>
      </c>
      <c r="I39" s="114">
        <v>4241</v>
      </c>
      <c r="J39" s="114">
        <v>7601</v>
      </c>
      <c r="K39" s="120">
        <v>674</v>
      </c>
      <c r="L39" s="125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 s="11" customFormat="1" ht="12.75" customHeight="1" x14ac:dyDescent="0.2">
      <c r="A40" s="110">
        <v>37500</v>
      </c>
      <c r="B40" s="113">
        <v>2060</v>
      </c>
      <c r="C40" s="114">
        <v>504</v>
      </c>
      <c r="D40" s="114">
        <v>2564</v>
      </c>
      <c r="E40" s="114">
        <v>977</v>
      </c>
      <c r="F40" s="114">
        <v>42</v>
      </c>
      <c r="G40" s="114">
        <v>4</v>
      </c>
      <c r="H40" s="114">
        <v>3587</v>
      </c>
      <c r="I40" s="114">
        <v>4438</v>
      </c>
      <c r="J40" s="114">
        <v>8025</v>
      </c>
      <c r="K40" s="120">
        <v>704</v>
      </c>
      <c r="L40" s="125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1:22" s="11" customFormat="1" ht="12.75" customHeight="1" x14ac:dyDescent="0.2">
      <c r="A41" s="110">
        <v>37530</v>
      </c>
      <c r="B41" s="113">
        <v>1810</v>
      </c>
      <c r="C41" s="114">
        <v>275</v>
      </c>
      <c r="D41" s="114">
        <v>2085</v>
      </c>
      <c r="E41" s="114">
        <v>950</v>
      </c>
      <c r="F41" s="114">
        <v>41</v>
      </c>
      <c r="G41" s="114">
        <v>17</v>
      </c>
      <c r="H41" s="114">
        <v>3093</v>
      </c>
      <c r="I41" s="114">
        <v>4295</v>
      </c>
      <c r="J41" s="114">
        <v>7388</v>
      </c>
      <c r="K41" s="120">
        <v>662</v>
      </c>
      <c r="L41" s="125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1:22" s="11" customFormat="1" ht="12.75" customHeight="1" x14ac:dyDescent="0.2">
      <c r="A42" s="110">
        <v>37561</v>
      </c>
      <c r="B42" s="113">
        <v>1762</v>
      </c>
      <c r="C42" s="114">
        <v>294</v>
      </c>
      <c r="D42" s="114">
        <v>2056</v>
      </c>
      <c r="E42" s="114">
        <v>911</v>
      </c>
      <c r="F42" s="114">
        <v>43</v>
      </c>
      <c r="G42" s="114">
        <v>11</v>
      </c>
      <c r="H42" s="114">
        <v>3021</v>
      </c>
      <c r="I42" s="114">
        <v>5581</v>
      </c>
      <c r="J42" s="114">
        <v>8602</v>
      </c>
      <c r="K42" s="120">
        <v>605</v>
      </c>
      <c r="L42" s="125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spans="1:22" s="11" customFormat="1" ht="12.75" customHeight="1" x14ac:dyDescent="0.2">
      <c r="A43" s="110">
        <v>37591</v>
      </c>
      <c r="B43" s="113">
        <v>2611</v>
      </c>
      <c r="C43" s="114">
        <v>283</v>
      </c>
      <c r="D43" s="114">
        <v>2894</v>
      </c>
      <c r="E43" s="114">
        <v>875</v>
      </c>
      <c r="F43" s="114">
        <v>41</v>
      </c>
      <c r="G43" s="114">
        <v>34</v>
      </c>
      <c r="H43" s="114">
        <v>3844</v>
      </c>
      <c r="I43" s="114">
        <v>5585</v>
      </c>
      <c r="J43" s="114">
        <v>9429</v>
      </c>
      <c r="K43" s="120">
        <v>633</v>
      </c>
      <c r="L43" s="125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spans="1:22" s="11" customFormat="1" ht="12.75" customHeight="1" x14ac:dyDescent="0.2">
      <c r="A44" s="110">
        <v>37622</v>
      </c>
      <c r="B44" s="113">
        <v>2329</v>
      </c>
      <c r="C44" s="114">
        <v>283</v>
      </c>
      <c r="D44" s="114">
        <v>2612</v>
      </c>
      <c r="E44" s="114">
        <v>857</v>
      </c>
      <c r="F44" s="114">
        <v>40</v>
      </c>
      <c r="G44" s="114">
        <v>47</v>
      </c>
      <c r="H44" s="114">
        <v>3556</v>
      </c>
      <c r="I44" s="114">
        <v>4368</v>
      </c>
      <c r="J44" s="114">
        <v>7924</v>
      </c>
      <c r="K44" s="120">
        <v>671</v>
      </c>
      <c r="L44" s="125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spans="1:22" s="11" customFormat="1" ht="12.75" customHeight="1" x14ac:dyDescent="0.2">
      <c r="A45" s="110">
        <v>37653</v>
      </c>
      <c r="B45" s="113">
        <v>2165</v>
      </c>
      <c r="C45" s="114">
        <v>429</v>
      </c>
      <c r="D45" s="114">
        <v>2594</v>
      </c>
      <c r="E45" s="114">
        <v>821</v>
      </c>
      <c r="F45" s="114">
        <v>41</v>
      </c>
      <c r="G45" s="114">
        <v>58</v>
      </c>
      <c r="H45" s="114">
        <v>3514</v>
      </c>
      <c r="I45" s="114">
        <v>5035</v>
      </c>
      <c r="J45" s="114">
        <v>8549</v>
      </c>
      <c r="K45" s="120">
        <v>715</v>
      </c>
      <c r="L45" s="125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spans="1:22" s="11" customFormat="1" ht="12.75" customHeight="1" x14ac:dyDescent="0.2">
      <c r="A46" s="110">
        <v>37681</v>
      </c>
      <c r="B46" s="113">
        <v>2122</v>
      </c>
      <c r="C46" s="114">
        <v>353</v>
      </c>
      <c r="D46" s="114">
        <v>2475</v>
      </c>
      <c r="E46" s="114">
        <v>903</v>
      </c>
      <c r="F46" s="114">
        <v>41</v>
      </c>
      <c r="G46" s="114">
        <v>33</v>
      </c>
      <c r="H46" s="114">
        <v>3452</v>
      </c>
      <c r="I46" s="114">
        <v>5662</v>
      </c>
      <c r="J46" s="114">
        <v>9114</v>
      </c>
      <c r="K46" s="120">
        <v>539</v>
      </c>
      <c r="L46" s="125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spans="1:22" s="11" customFormat="1" ht="12.75" customHeight="1" x14ac:dyDescent="0.2">
      <c r="A47" s="110">
        <v>37712</v>
      </c>
      <c r="B47" s="113">
        <v>2192</v>
      </c>
      <c r="C47" s="114">
        <v>415</v>
      </c>
      <c r="D47" s="114">
        <v>2607</v>
      </c>
      <c r="E47" s="114">
        <v>904</v>
      </c>
      <c r="F47" s="114">
        <v>41</v>
      </c>
      <c r="G47" s="114">
        <v>20</v>
      </c>
      <c r="H47" s="114">
        <v>3572</v>
      </c>
      <c r="I47" s="114">
        <v>4941</v>
      </c>
      <c r="J47" s="114">
        <v>8513</v>
      </c>
      <c r="K47" s="120">
        <v>501</v>
      </c>
      <c r="L47" s="125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spans="1:22" s="11" customFormat="1" ht="12.75" customHeight="1" x14ac:dyDescent="0.2">
      <c r="A48" s="110">
        <v>37742</v>
      </c>
      <c r="B48" s="113">
        <v>2560</v>
      </c>
      <c r="C48" s="114">
        <v>391</v>
      </c>
      <c r="D48" s="114">
        <v>2951</v>
      </c>
      <c r="E48" s="114">
        <v>896</v>
      </c>
      <c r="F48" s="114">
        <v>41</v>
      </c>
      <c r="G48" s="114">
        <v>25</v>
      </c>
      <c r="H48" s="114">
        <v>3913</v>
      </c>
      <c r="I48" s="114">
        <v>5097</v>
      </c>
      <c r="J48" s="114">
        <v>9010</v>
      </c>
      <c r="K48" s="120">
        <v>362</v>
      </c>
      <c r="L48" s="125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spans="1:22" s="11" customFormat="1" ht="12.75" customHeight="1" x14ac:dyDescent="0.2">
      <c r="A49" s="110">
        <v>37773</v>
      </c>
      <c r="B49" s="113">
        <v>3214</v>
      </c>
      <c r="C49" s="114">
        <v>373</v>
      </c>
      <c r="D49" s="114">
        <v>3587</v>
      </c>
      <c r="E49" s="114">
        <v>1021</v>
      </c>
      <c r="F49" s="114">
        <v>42</v>
      </c>
      <c r="G49" s="114">
        <v>25</v>
      </c>
      <c r="H49" s="114">
        <v>4675</v>
      </c>
      <c r="I49" s="114">
        <v>5108</v>
      </c>
      <c r="J49" s="114">
        <v>9783</v>
      </c>
      <c r="K49" s="120">
        <v>389</v>
      </c>
      <c r="L49" s="125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spans="1:22" s="11" customFormat="1" ht="12.75" customHeight="1" x14ac:dyDescent="0.2">
      <c r="A50" s="110">
        <v>37803</v>
      </c>
      <c r="B50" s="113">
        <v>3103</v>
      </c>
      <c r="C50" s="114">
        <v>372</v>
      </c>
      <c r="D50" s="114">
        <v>3475</v>
      </c>
      <c r="E50" s="114">
        <v>1016</v>
      </c>
      <c r="F50" s="114">
        <v>42</v>
      </c>
      <c r="G50" s="114">
        <v>28</v>
      </c>
      <c r="H50" s="114">
        <v>4561</v>
      </c>
      <c r="I50" s="114">
        <v>4727</v>
      </c>
      <c r="J50" s="114">
        <v>9288</v>
      </c>
      <c r="K50" s="120">
        <v>549</v>
      </c>
      <c r="L50" s="125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spans="1:22" s="11" customFormat="1" ht="12.75" customHeight="1" x14ac:dyDescent="0.2">
      <c r="A51" s="110">
        <v>37834</v>
      </c>
      <c r="B51" s="113">
        <v>2937</v>
      </c>
      <c r="C51" s="114">
        <v>315</v>
      </c>
      <c r="D51" s="114">
        <v>3252</v>
      </c>
      <c r="E51" s="114">
        <v>971</v>
      </c>
      <c r="F51" s="114">
        <v>44</v>
      </c>
      <c r="G51" s="114">
        <v>8</v>
      </c>
      <c r="H51" s="114">
        <v>4275</v>
      </c>
      <c r="I51" s="114">
        <v>4366</v>
      </c>
      <c r="J51" s="114">
        <v>8641</v>
      </c>
      <c r="K51" s="120">
        <v>534</v>
      </c>
      <c r="L51" s="125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spans="1:22" s="11" customFormat="1" ht="12.75" customHeight="1" x14ac:dyDescent="0.2">
      <c r="A52" s="110">
        <v>37865</v>
      </c>
      <c r="B52" s="113">
        <v>3078</v>
      </c>
      <c r="C52" s="114">
        <v>234</v>
      </c>
      <c r="D52" s="114">
        <v>3312</v>
      </c>
      <c r="E52" s="114">
        <v>969</v>
      </c>
      <c r="F52" s="114">
        <v>44</v>
      </c>
      <c r="G52" s="114">
        <v>16</v>
      </c>
      <c r="H52" s="114">
        <v>4341</v>
      </c>
      <c r="I52" s="114">
        <v>4361</v>
      </c>
      <c r="J52" s="114">
        <v>8702</v>
      </c>
      <c r="K52" s="120">
        <v>482</v>
      </c>
      <c r="L52" s="125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spans="1:22" s="11" customFormat="1" ht="12.75" customHeight="1" x14ac:dyDescent="0.2">
      <c r="A53" s="110">
        <v>37895</v>
      </c>
      <c r="B53" s="113">
        <v>3239</v>
      </c>
      <c r="C53" s="114">
        <v>622</v>
      </c>
      <c r="D53" s="114">
        <v>3861</v>
      </c>
      <c r="E53" s="114">
        <v>1064</v>
      </c>
      <c r="F53" s="114">
        <v>43</v>
      </c>
      <c r="G53" s="114">
        <v>24</v>
      </c>
      <c r="H53" s="114">
        <v>4992</v>
      </c>
      <c r="I53" s="114">
        <v>4298</v>
      </c>
      <c r="J53" s="114">
        <v>9290</v>
      </c>
      <c r="K53" s="120">
        <v>485</v>
      </c>
      <c r="L53" s="125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spans="1:22" s="11" customFormat="1" ht="12.75" customHeight="1" x14ac:dyDescent="0.2">
      <c r="A54" s="110">
        <v>37926</v>
      </c>
      <c r="B54" s="113">
        <v>2951</v>
      </c>
      <c r="C54" s="114">
        <v>288</v>
      </c>
      <c r="D54" s="114">
        <v>3239</v>
      </c>
      <c r="E54" s="114">
        <v>981</v>
      </c>
      <c r="F54" s="114">
        <v>43</v>
      </c>
      <c r="G54" s="114">
        <v>40</v>
      </c>
      <c r="H54" s="114">
        <v>4303</v>
      </c>
      <c r="I54" s="114">
        <v>6307</v>
      </c>
      <c r="J54" s="114">
        <v>10610</v>
      </c>
      <c r="K54" s="120">
        <v>610</v>
      </c>
      <c r="L54" s="125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spans="1:22" s="11" customFormat="1" ht="12.75" customHeight="1" x14ac:dyDescent="0.2">
      <c r="A55" s="110">
        <v>37956</v>
      </c>
      <c r="B55" s="113">
        <v>2668</v>
      </c>
      <c r="C55" s="114">
        <v>188</v>
      </c>
      <c r="D55" s="114">
        <v>2856</v>
      </c>
      <c r="E55" s="114">
        <v>984</v>
      </c>
      <c r="F55" s="114">
        <v>43</v>
      </c>
      <c r="G55" s="114">
        <v>46</v>
      </c>
      <c r="H55" s="114">
        <v>3929</v>
      </c>
      <c r="I55" s="114">
        <v>5371</v>
      </c>
      <c r="J55" s="114">
        <v>9300</v>
      </c>
      <c r="K55" s="120">
        <v>700</v>
      </c>
      <c r="L55" s="125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spans="1:22" s="11" customFormat="1" ht="12.75" customHeight="1" x14ac:dyDescent="0.2">
      <c r="A56" s="110">
        <v>37987</v>
      </c>
      <c r="B56" s="113">
        <v>2229</v>
      </c>
      <c r="C56" s="114">
        <v>323</v>
      </c>
      <c r="D56" s="114">
        <v>2552</v>
      </c>
      <c r="E56" s="114">
        <v>963</v>
      </c>
      <c r="F56" s="114">
        <v>42</v>
      </c>
      <c r="G56" s="114">
        <v>55</v>
      </c>
      <c r="H56" s="114">
        <v>3612</v>
      </c>
      <c r="I56" s="114">
        <v>4833</v>
      </c>
      <c r="J56" s="114">
        <v>8445</v>
      </c>
      <c r="K56" s="120">
        <v>729</v>
      </c>
      <c r="L56" s="125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spans="1:22" s="11" customFormat="1" ht="12.75" customHeight="1" x14ac:dyDescent="0.2">
      <c r="A57" s="110">
        <v>38018</v>
      </c>
      <c r="B57" s="113">
        <v>2173</v>
      </c>
      <c r="C57" s="114">
        <v>475</v>
      </c>
      <c r="D57" s="114">
        <v>2648</v>
      </c>
      <c r="E57" s="114">
        <v>798</v>
      </c>
      <c r="F57" s="114">
        <v>43</v>
      </c>
      <c r="G57" s="114">
        <v>32</v>
      </c>
      <c r="H57" s="114">
        <v>3521</v>
      </c>
      <c r="I57" s="114">
        <v>5675</v>
      </c>
      <c r="J57" s="114">
        <v>9196</v>
      </c>
      <c r="K57" s="120">
        <v>720</v>
      </c>
      <c r="L57" s="125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spans="1:22" s="11" customFormat="1" ht="12.75" customHeight="1" x14ac:dyDescent="0.2">
      <c r="A58" s="110">
        <v>38047</v>
      </c>
      <c r="B58" s="113">
        <v>2042</v>
      </c>
      <c r="C58" s="114">
        <v>475</v>
      </c>
      <c r="D58" s="114">
        <v>2517</v>
      </c>
      <c r="E58" s="114">
        <v>828</v>
      </c>
      <c r="F58" s="114">
        <v>45</v>
      </c>
      <c r="G58" s="114">
        <v>7</v>
      </c>
      <c r="H58" s="114">
        <v>3397</v>
      </c>
      <c r="I58" s="114">
        <v>6696</v>
      </c>
      <c r="J58" s="114">
        <v>10093</v>
      </c>
      <c r="K58" s="120">
        <v>630</v>
      </c>
      <c r="L58" s="125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spans="1:22" s="11" customFormat="1" ht="12.75" customHeight="1" x14ac:dyDescent="0.2">
      <c r="A59" s="110">
        <v>38078</v>
      </c>
      <c r="B59" s="113">
        <v>2807</v>
      </c>
      <c r="C59" s="114">
        <v>469</v>
      </c>
      <c r="D59" s="114">
        <v>3276</v>
      </c>
      <c r="E59" s="114">
        <v>813</v>
      </c>
      <c r="F59" s="114">
        <v>47</v>
      </c>
      <c r="G59" s="114">
        <v>-21</v>
      </c>
      <c r="H59" s="114">
        <v>4115</v>
      </c>
      <c r="I59" s="114">
        <v>5231</v>
      </c>
      <c r="J59" s="114">
        <v>9346</v>
      </c>
      <c r="K59" s="120">
        <v>343</v>
      </c>
      <c r="L59" s="125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spans="1:22" s="11" customFormat="1" ht="12.75" customHeight="1" x14ac:dyDescent="0.2">
      <c r="A60" s="110">
        <v>38108</v>
      </c>
      <c r="B60" s="113">
        <v>2740</v>
      </c>
      <c r="C60" s="114">
        <v>290</v>
      </c>
      <c r="D60" s="114">
        <v>3030</v>
      </c>
      <c r="E60" s="114">
        <v>811</v>
      </c>
      <c r="F60" s="114">
        <v>48</v>
      </c>
      <c r="G60" s="114">
        <v>-1</v>
      </c>
      <c r="H60" s="114">
        <v>3888</v>
      </c>
      <c r="I60" s="114">
        <v>4011</v>
      </c>
      <c r="J60" s="114">
        <v>7899</v>
      </c>
      <c r="K60" s="120">
        <v>308</v>
      </c>
      <c r="L60" s="125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spans="1:22" s="11" customFormat="1" ht="12.75" customHeight="1" x14ac:dyDescent="0.2">
      <c r="A61" s="110">
        <v>38139</v>
      </c>
      <c r="B61" s="113">
        <v>2328</v>
      </c>
      <c r="C61" s="114">
        <v>248</v>
      </c>
      <c r="D61" s="114">
        <v>2576</v>
      </c>
      <c r="E61" s="114">
        <v>813</v>
      </c>
      <c r="F61" s="114">
        <v>48</v>
      </c>
      <c r="G61" s="114">
        <v>14</v>
      </c>
      <c r="H61" s="114">
        <v>3451</v>
      </c>
      <c r="I61" s="114">
        <v>3833</v>
      </c>
      <c r="J61" s="114">
        <v>7284</v>
      </c>
      <c r="K61" s="120">
        <v>273</v>
      </c>
      <c r="L61" s="125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spans="1:22" s="11" customFormat="1" ht="12.75" customHeight="1" x14ac:dyDescent="0.2">
      <c r="A62" s="110">
        <v>38169</v>
      </c>
      <c r="B62" s="113">
        <v>2118</v>
      </c>
      <c r="C62" s="114">
        <v>195</v>
      </c>
      <c r="D62" s="114">
        <v>2313</v>
      </c>
      <c r="E62" s="114">
        <v>762</v>
      </c>
      <c r="F62" s="114">
        <v>48</v>
      </c>
      <c r="G62" s="114">
        <v>12</v>
      </c>
      <c r="H62" s="114">
        <v>3135</v>
      </c>
      <c r="I62" s="114">
        <v>4734</v>
      </c>
      <c r="J62" s="114">
        <v>7869</v>
      </c>
      <c r="K62" s="120">
        <v>354</v>
      </c>
      <c r="L62" s="125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spans="1:22" s="11" customFormat="1" ht="12.75" customHeight="1" x14ac:dyDescent="0.2">
      <c r="A63" s="110">
        <v>38200</v>
      </c>
      <c r="B63" s="113">
        <v>2504</v>
      </c>
      <c r="C63" s="114">
        <v>304</v>
      </c>
      <c r="D63" s="114">
        <v>2808</v>
      </c>
      <c r="E63" s="114">
        <v>721</v>
      </c>
      <c r="F63" s="114">
        <v>48</v>
      </c>
      <c r="G63" s="114">
        <v>25</v>
      </c>
      <c r="H63" s="114">
        <v>3602</v>
      </c>
      <c r="I63" s="114">
        <v>4298</v>
      </c>
      <c r="J63" s="114">
        <v>7900</v>
      </c>
      <c r="K63" s="120">
        <v>339</v>
      </c>
      <c r="L63" s="125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spans="1:22" s="11" customFormat="1" ht="12.75" customHeight="1" x14ac:dyDescent="0.2">
      <c r="A64" s="110">
        <v>38231</v>
      </c>
      <c r="B64" s="113">
        <v>2342</v>
      </c>
      <c r="C64" s="114">
        <v>412</v>
      </c>
      <c r="D64" s="114">
        <v>2754</v>
      </c>
      <c r="E64" s="114">
        <v>672</v>
      </c>
      <c r="F64" s="114">
        <v>47</v>
      </c>
      <c r="G64" s="114">
        <v>50</v>
      </c>
      <c r="H64" s="114">
        <v>3523</v>
      </c>
      <c r="I64" s="114">
        <v>4552</v>
      </c>
      <c r="J64" s="114">
        <v>8075</v>
      </c>
      <c r="K64" s="120">
        <v>480</v>
      </c>
      <c r="L64" s="125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spans="1:22" s="11" customFormat="1" ht="12.75" customHeight="1" x14ac:dyDescent="0.2">
      <c r="A65" s="110">
        <v>38261</v>
      </c>
      <c r="B65" s="113">
        <v>3207</v>
      </c>
      <c r="C65" s="114">
        <v>545</v>
      </c>
      <c r="D65" s="114">
        <v>3752</v>
      </c>
      <c r="E65" s="114">
        <v>673</v>
      </c>
      <c r="F65" s="114">
        <v>47</v>
      </c>
      <c r="G65" s="114">
        <v>58</v>
      </c>
      <c r="H65" s="114">
        <v>4530</v>
      </c>
      <c r="I65" s="114">
        <v>4257</v>
      </c>
      <c r="J65" s="114">
        <v>8787</v>
      </c>
      <c r="K65" s="120">
        <v>547</v>
      </c>
      <c r="L65" s="125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spans="1:22" s="11" customFormat="1" ht="12.75" customHeight="1" x14ac:dyDescent="0.2">
      <c r="A66" s="110">
        <v>38292</v>
      </c>
      <c r="B66" s="113">
        <v>3920</v>
      </c>
      <c r="C66" s="114">
        <v>335</v>
      </c>
      <c r="D66" s="114">
        <v>4255</v>
      </c>
      <c r="E66" s="114">
        <v>657</v>
      </c>
      <c r="F66" s="114">
        <v>47</v>
      </c>
      <c r="G66" s="114">
        <v>88</v>
      </c>
      <c r="H66" s="114">
        <v>5047</v>
      </c>
      <c r="I66" s="114">
        <v>4821</v>
      </c>
      <c r="J66" s="114">
        <v>9868</v>
      </c>
      <c r="K66" s="120">
        <v>540</v>
      </c>
      <c r="L66" s="125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spans="1:22" s="11" customFormat="1" ht="12.75" customHeight="1" x14ac:dyDescent="0.2">
      <c r="A67" s="110">
        <v>38322</v>
      </c>
      <c r="B67" s="113">
        <v>3903</v>
      </c>
      <c r="C67" s="114">
        <v>296</v>
      </c>
      <c r="D67" s="114">
        <v>4199</v>
      </c>
      <c r="E67" s="114">
        <v>657</v>
      </c>
      <c r="F67" s="114">
        <v>47</v>
      </c>
      <c r="G67" s="114">
        <v>39</v>
      </c>
      <c r="H67" s="114">
        <v>4942</v>
      </c>
      <c r="I67" s="114">
        <v>4725</v>
      </c>
      <c r="J67" s="114">
        <v>9667</v>
      </c>
      <c r="K67" s="120">
        <v>630</v>
      </c>
      <c r="L67" s="125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spans="1:22" s="11" customFormat="1" ht="12.75" customHeight="1" x14ac:dyDescent="0.2">
      <c r="A68" s="110">
        <v>38353</v>
      </c>
      <c r="B68" s="113">
        <v>4113</v>
      </c>
      <c r="C68" s="114">
        <v>260</v>
      </c>
      <c r="D68" s="114">
        <v>4373</v>
      </c>
      <c r="E68" s="114">
        <v>628</v>
      </c>
      <c r="F68" s="114">
        <v>47</v>
      </c>
      <c r="G68" s="114">
        <v>68</v>
      </c>
      <c r="H68" s="114">
        <v>5116</v>
      </c>
      <c r="I68" s="114">
        <v>5452</v>
      </c>
      <c r="J68" s="114">
        <v>10568</v>
      </c>
      <c r="K68" s="120">
        <v>613</v>
      </c>
      <c r="L68" s="125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spans="1:22" s="11" customFormat="1" ht="12.75" customHeight="1" x14ac:dyDescent="0.2">
      <c r="A69" s="110">
        <v>38384</v>
      </c>
      <c r="B69" s="113">
        <v>3813</v>
      </c>
      <c r="C69" s="114">
        <v>256</v>
      </c>
      <c r="D69" s="114">
        <v>4069</v>
      </c>
      <c r="E69" s="114">
        <v>611</v>
      </c>
      <c r="F69" s="114">
        <v>48</v>
      </c>
      <c r="G69" s="114">
        <v>59</v>
      </c>
      <c r="H69" s="114">
        <v>4787</v>
      </c>
      <c r="I69" s="114">
        <v>3587</v>
      </c>
      <c r="J69" s="114">
        <v>8374</v>
      </c>
      <c r="K69" s="120">
        <v>647</v>
      </c>
      <c r="L69" s="125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spans="1:22" s="11" customFormat="1" ht="12.75" customHeight="1" x14ac:dyDescent="0.2">
      <c r="A70" s="110">
        <v>38412</v>
      </c>
      <c r="B70" s="113">
        <v>3698</v>
      </c>
      <c r="C70" s="114">
        <v>155</v>
      </c>
      <c r="D70" s="114">
        <v>3853</v>
      </c>
      <c r="E70" s="114">
        <v>570</v>
      </c>
      <c r="F70" s="114">
        <v>48</v>
      </c>
      <c r="G70" s="114">
        <v>11</v>
      </c>
      <c r="H70" s="114">
        <v>4482</v>
      </c>
      <c r="I70" s="114">
        <v>4345</v>
      </c>
      <c r="J70" s="114">
        <v>8827</v>
      </c>
      <c r="K70" s="120">
        <v>589</v>
      </c>
      <c r="L70" s="125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spans="1:22" s="11" customFormat="1" ht="12.75" customHeight="1" x14ac:dyDescent="0.2">
      <c r="A71" s="110">
        <v>38443</v>
      </c>
      <c r="B71" s="113">
        <v>3383</v>
      </c>
      <c r="C71" s="114">
        <v>328</v>
      </c>
      <c r="D71" s="114">
        <v>3711</v>
      </c>
      <c r="E71" s="114">
        <v>555</v>
      </c>
      <c r="F71" s="114">
        <v>47</v>
      </c>
      <c r="G71" s="114">
        <v>68</v>
      </c>
      <c r="H71" s="114">
        <v>4381</v>
      </c>
      <c r="I71" s="114">
        <v>6369</v>
      </c>
      <c r="J71" s="114">
        <v>10750</v>
      </c>
      <c r="K71" s="120">
        <v>690</v>
      </c>
      <c r="L71" s="125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spans="1:22" s="11" customFormat="1" ht="12.75" customHeight="1" x14ac:dyDescent="0.2">
      <c r="A72" s="110">
        <v>38473</v>
      </c>
      <c r="B72" s="113">
        <v>4155</v>
      </c>
      <c r="C72" s="114">
        <v>312</v>
      </c>
      <c r="D72" s="114">
        <v>4467</v>
      </c>
      <c r="E72" s="114">
        <v>555</v>
      </c>
      <c r="F72" s="114">
        <v>49</v>
      </c>
      <c r="G72" s="114">
        <v>-29</v>
      </c>
      <c r="H72" s="114">
        <v>5042</v>
      </c>
      <c r="I72" s="114">
        <v>5416</v>
      </c>
      <c r="J72" s="114">
        <v>10458</v>
      </c>
      <c r="K72" s="120">
        <v>568</v>
      </c>
      <c r="L72" s="125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spans="1:22" s="11" customFormat="1" ht="12.75" customHeight="1" x14ac:dyDescent="0.2">
      <c r="A73" s="110">
        <v>38504</v>
      </c>
      <c r="B73" s="113">
        <v>4853</v>
      </c>
      <c r="C73" s="114">
        <v>289</v>
      </c>
      <c r="D73" s="114">
        <v>5142</v>
      </c>
      <c r="E73" s="114">
        <v>513</v>
      </c>
      <c r="F73" s="114">
        <v>49</v>
      </c>
      <c r="G73" s="114">
        <v>-36</v>
      </c>
      <c r="H73" s="114">
        <v>5668</v>
      </c>
      <c r="I73" s="114">
        <v>4732</v>
      </c>
      <c r="J73" s="114">
        <v>10400</v>
      </c>
      <c r="K73" s="120">
        <v>608</v>
      </c>
      <c r="L73" s="125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 spans="1:22" s="11" customFormat="1" ht="12.75" customHeight="1" x14ac:dyDescent="0.2">
      <c r="A74" s="110">
        <v>38534</v>
      </c>
      <c r="B74" s="113">
        <v>4731</v>
      </c>
      <c r="C74" s="114">
        <v>232</v>
      </c>
      <c r="D74" s="114">
        <v>4963</v>
      </c>
      <c r="E74" s="114">
        <v>524</v>
      </c>
      <c r="F74" s="114">
        <v>50</v>
      </c>
      <c r="G74" s="114">
        <v>-86</v>
      </c>
      <c r="H74" s="114">
        <v>5451</v>
      </c>
      <c r="I74" s="114">
        <v>5713</v>
      </c>
      <c r="J74" s="114">
        <v>11164</v>
      </c>
      <c r="K74" s="120">
        <v>508</v>
      </c>
      <c r="L74" s="125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spans="1:22" s="11" customFormat="1" ht="12.75" customHeight="1" x14ac:dyDescent="0.2">
      <c r="A75" s="110">
        <v>38565</v>
      </c>
      <c r="B75" s="113">
        <v>4916</v>
      </c>
      <c r="C75" s="114">
        <v>313</v>
      </c>
      <c r="D75" s="114">
        <v>5229</v>
      </c>
      <c r="E75" s="114">
        <v>505</v>
      </c>
      <c r="F75" s="114">
        <v>50</v>
      </c>
      <c r="G75" s="114">
        <v>-37</v>
      </c>
      <c r="H75" s="114">
        <v>5747</v>
      </c>
      <c r="I75" s="114">
        <v>5584</v>
      </c>
      <c r="J75" s="114">
        <v>11331</v>
      </c>
      <c r="K75" s="120">
        <v>515</v>
      </c>
      <c r="L75" s="125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 spans="1:22" s="11" customFormat="1" ht="12.75" customHeight="1" x14ac:dyDescent="0.2">
      <c r="A76" s="110">
        <v>38596</v>
      </c>
      <c r="B76" s="115">
        <v>4902</v>
      </c>
      <c r="C76" s="118">
        <v>246</v>
      </c>
      <c r="D76" s="119">
        <v>5148</v>
      </c>
      <c r="E76" s="119">
        <v>491</v>
      </c>
      <c r="F76" s="119">
        <v>50</v>
      </c>
      <c r="G76" s="119">
        <v>14</v>
      </c>
      <c r="H76" s="119">
        <v>5703</v>
      </c>
      <c r="I76" s="119">
        <v>5012</v>
      </c>
      <c r="J76" s="119">
        <v>10715</v>
      </c>
      <c r="K76" s="119">
        <v>713</v>
      </c>
      <c r="L76" s="125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spans="1:22" s="11" customFormat="1" ht="12.75" customHeight="1" x14ac:dyDescent="0.2">
      <c r="A77" s="110">
        <v>38626</v>
      </c>
      <c r="B77" s="115">
        <v>5189</v>
      </c>
      <c r="C77" s="118">
        <v>186</v>
      </c>
      <c r="D77" s="119">
        <v>5375</v>
      </c>
      <c r="E77" s="119">
        <v>484</v>
      </c>
      <c r="F77" s="119">
        <v>49</v>
      </c>
      <c r="G77" s="119">
        <v>77</v>
      </c>
      <c r="H77" s="119">
        <v>5985</v>
      </c>
      <c r="I77" s="119">
        <v>5824</v>
      </c>
      <c r="J77" s="119">
        <v>11809</v>
      </c>
      <c r="K77" s="119">
        <v>836</v>
      </c>
      <c r="L77" s="125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spans="1:22" s="11" customFormat="1" ht="12.75" customHeight="1" x14ac:dyDescent="0.2">
      <c r="A78" s="110">
        <v>38657</v>
      </c>
      <c r="B78" s="115">
        <v>5139</v>
      </c>
      <c r="C78" s="118">
        <v>358</v>
      </c>
      <c r="D78" s="119">
        <v>5497</v>
      </c>
      <c r="E78" s="119">
        <v>422</v>
      </c>
      <c r="F78" s="119">
        <v>50</v>
      </c>
      <c r="G78" s="119">
        <v>124</v>
      </c>
      <c r="H78" s="119">
        <v>6093</v>
      </c>
      <c r="I78" s="119">
        <v>7026</v>
      </c>
      <c r="J78" s="119">
        <v>13119</v>
      </c>
      <c r="K78" s="119">
        <v>913</v>
      </c>
      <c r="L78" s="125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 spans="1:22" s="11" customFormat="1" ht="12.75" customHeight="1" x14ac:dyDescent="0.2">
      <c r="A79" s="110">
        <v>38687</v>
      </c>
      <c r="B79" s="115">
        <v>5815</v>
      </c>
      <c r="C79" s="118">
        <v>174</v>
      </c>
      <c r="D79" s="119">
        <v>5989</v>
      </c>
      <c r="E79" s="119">
        <v>242</v>
      </c>
      <c r="F79" s="119">
        <v>52</v>
      </c>
      <c r="G79" s="119">
        <v>-20</v>
      </c>
      <c r="H79" s="119">
        <v>6263</v>
      </c>
      <c r="I79" s="119">
        <v>6795</v>
      </c>
      <c r="J79" s="119">
        <v>13058</v>
      </c>
      <c r="K79" s="119">
        <v>522</v>
      </c>
      <c r="L79" s="125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 spans="1:22" s="11" customFormat="1" ht="12.75" customHeight="1" x14ac:dyDescent="0.2">
      <c r="A80" s="110">
        <v>38718</v>
      </c>
      <c r="B80" s="115">
        <v>5156</v>
      </c>
      <c r="C80" s="118">
        <v>174</v>
      </c>
      <c r="D80" s="119">
        <v>5330</v>
      </c>
      <c r="E80" s="119">
        <v>244</v>
      </c>
      <c r="F80" s="119">
        <v>52</v>
      </c>
      <c r="G80" s="119">
        <v>-46</v>
      </c>
      <c r="H80" s="119">
        <v>5580</v>
      </c>
      <c r="I80" s="119">
        <v>7406</v>
      </c>
      <c r="J80" s="119">
        <v>12986</v>
      </c>
      <c r="K80" s="119">
        <v>722</v>
      </c>
      <c r="L80" s="125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 spans="1:22" s="11" customFormat="1" ht="12.75" customHeight="1" x14ac:dyDescent="0.2">
      <c r="A81" s="110">
        <v>38749</v>
      </c>
      <c r="B81" s="115">
        <v>5045</v>
      </c>
      <c r="C81" s="118">
        <v>380</v>
      </c>
      <c r="D81" s="119">
        <v>5425</v>
      </c>
      <c r="E81" s="119">
        <v>240</v>
      </c>
      <c r="F81" s="119">
        <v>53</v>
      </c>
      <c r="G81" s="119">
        <v>-153</v>
      </c>
      <c r="H81" s="119">
        <v>5565</v>
      </c>
      <c r="I81" s="119">
        <v>8219</v>
      </c>
      <c r="J81" s="119">
        <v>13784</v>
      </c>
      <c r="K81" s="119">
        <v>219</v>
      </c>
      <c r="L81" s="125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 spans="1:22" s="11" customFormat="1" ht="12.75" customHeight="1" x14ac:dyDescent="0.2">
      <c r="A82" s="110">
        <v>38777</v>
      </c>
      <c r="B82" s="115">
        <v>5566</v>
      </c>
      <c r="C82" s="118">
        <v>392</v>
      </c>
      <c r="D82" s="119">
        <v>5958</v>
      </c>
      <c r="E82" s="119">
        <v>243</v>
      </c>
      <c r="F82" s="119">
        <v>58</v>
      </c>
      <c r="G82" s="119">
        <v>-548</v>
      </c>
      <c r="H82" s="119">
        <v>5711</v>
      </c>
      <c r="I82" s="119">
        <v>8886</v>
      </c>
      <c r="J82" s="119">
        <v>14597</v>
      </c>
      <c r="K82" s="119">
        <v>-266</v>
      </c>
      <c r="L82" s="125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 spans="1:22" s="12" customFormat="1" ht="12.75" customHeight="1" x14ac:dyDescent="0.2">
      <c r="A83" s="110">
        <v>38808</v>
      </c>
      <c r="B83" s="115">
        <v>5395</v>
      </c>
      <c r="C83" s="118">
        <v>421</v>
      </c>
      <c r="D83" s="119">
        <v>5816</v>
      </c>
      <c r="E83" s="119">
        <v>239</v>
      </c>
      <c r="F83" s="119">
        <v>57</v>
      </c>
      <c r="G83" s="119">
        <v>-258</v>
      </c>
      <c r="H83" s="119">
        <v>5854</v>
      </c>
      <c r="I83" s="119">
        <v>9846</v>
      </c>
      <c r="J83" s="119">
        <v>15700</v>
      </c>
      <c r="K83" s="119">
        <v>227</v>
      </c>
      <c r="L83" s="125"/>
      <c r="M83" s="13"/>
      <c r="N83" s="13"/>
      <c r="O83" s="13"/>
      <c r="P83" s="13"/>
      <c r="Q83" s="13"/>
      <c r="R83" s="13"/>
      <c r="S83" s="13"/>
      <c r="T83" s="13"/>
      <c r="U83" s="13"/>
      <c r="V83" s="13"/>
    </row>
    <row r="84" spans="1:22" s="11" customFormat="1" ht="12.75" customHeight="1" x14ac:dyDescent="0.2">
      <c r="A84" s="110">
        <v>38838</v>
      </c>
      <c r="B84" s="115">
        <v>5680</v>
      </c>
      <c r="C84" s="118">
        <v>296</v>
      </c>
      <c r="D84" s="119">
        <v>5976</v>
      </c>
      <c r="E84" s="119">
        <v>240</v>
      </c>
      <c r="F84" s="119">
        <v>55</v>
      </c>
      <c r="G84" s="119">
        <v>-89</v>
      </c>
      <c r="H84" s="119">
        <v>6182</v>
      </c>
      <c r="I84" s="119">
        <v>10695</v>
      </c>
      <c r="J84" s="119">
        <v>16877</v>
      </c>
      <c r="K84" s="119">
        <v>305</v>
      </c>
      <c r="L84" s="125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spans="1:22" s="11" customFormat="1" ht="12.75" customHeight="1" x14ac:dyDescent="0.2">
      <c r="A85" s="110">
        <v>38869</v>
      </c>
      <c r="B85" s="115">
        <v>5960</v>
      </c>
      <c r="C85" s="118">
        <v>385</v>
      </c>
      <c r="D85" s="119">
        <v>6345</v>
      </c>
      <c r="E85" s="119">
        <v>251</v>
      </c>
      <c r="F85" s="119">
        <v>58</v>
      </c>
      <c r="G85" s="119">
        <v>-265</v>
      </c>
      <c r="H85" s="119">
        <v>6389</v>
      </c>
      <c r="I85" s="119">
        <v>9877</v>
      </c>
      <c r="J85" s="119">
        <v>16266</v>
      </c>
      <c r="K85" s="119">
        <v>-129</v>
      </c>
      <c r="L85" s="125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 spans="1:22" s="11" customFormat="1" ht="12.75" customHeight="1" x14ac:dyDescent="0.2">
      <c r="A86" s="110">
        <v>38899</v>
      </c>
      <c r="B86" s="115">
        <v>6165</v>
      </c>
      <c r="C86" s="118">
        <v>484</v>
      </c>
      <c r="D86" s="119">
        <v>6649</v>
      </c>
      <c r="E86" s="119">
        <v>247</v>
      </c>
      <c r="F86" s="119">
        <v>57</v>
      </c>
      <c r="G86" s="119">
        <v>-165</v>
      </c>
      <c r="H86" s="119">
        <v>6788</v>
      </c>
      <c r="I86" s="119">
        <v>11519</v>
      </c>
      <c r="J86" s="119">
        <v>18307</v>
      </c>
      <c r="K86" s="119">
        <v>151</v>
      </c>
      <c r="L86" s="125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 spans="1:22" s="11" customFormat="1" ht="12.75" customHeight="1" x14ac:dyDescent="0.2">
      <c r="A87" s="110">
        <v>38930</v>
      </c>
      <c r="B87" s="115">
        <v>5397</v>
      </c>
      <c r="C87" s="118">
        <v>514</v>
      </c>
      <c r="D87" s="119">
        <v>5911</v>
      </c>
      <c r="E87" s="119">
        <v>234</v>
      </c>
      <c r="F87" s="119">
        <v>52</v>
      </c>
      <c r="G87" s="119">
        <v>214</v>
      </c>
      <c r="H87" s="119">
        <v>6411</v>
      </c>
      <c r="I87" s="119">
        <v>11470</v>
      </c>
      <c r="J87" s="119">
        <v>17881</v>
      </c>
      <c r="K87" s="119">
        <v>562</v>
      </c>
      <c r="L87" s="125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 spans="1:22" s="11" customFormat="1" ht="12.75" customHeight="1" x14ac:dyDescent="0.2">
      <c r="A88" s="110">
        <v>38961</v>
      </c>
      <c r="B88" s="115">
        <v>5208</v>
      </c>
      <c r="C88" s="118">
        <v>660</v>
      </c>
      <c r="D88" s="119">
        <v>5868</v>
      </c>
      <c r="E88" s="119">
        <v>233</v>
      </c>
      <c r="F88" s="119">
        <v>52</v>
      </c>
      <c r="G88" s="119">
        <v>176</v>
      </c>
      <c r="H88" s="119">
        <v>6329</v>
      </c>
      <c r="I88" s="119">
        <v>12078</v>
      </c>
      <c r="J88" s="119">
        <v>18407</v>
      </c>
      <c r="K88" s="119">
        <v>402</v>
      </c>
      <c r="L88" s="125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spans="1:22" s="11" customFormat="1" ht="12.75" customHeight="1" x14ac:dyDescent="0.2">
      <c r="A89" s="110">
        <v>38991</v>
      </c>
      <c r="B89" s="115">
        <v>4348</v>
      </c>
      <c r="C89" s="118">
        <v>483</v>
      </c>
      <c r="D89" s="119">
        <v>4831</v>
      </c>
      <c r="E89" s="119">
        <v>196</v>
      </c>
      <c r="F89" s="119">
        <v>51</v>
      </c>
      <c r="G89" s="119">
        <v>93</v>
      </c>
      <c r="H89" s="119">
        <v>5171</v>
      </c>
      <c r="I89" s="119">
        <v>14209</v>
      </c>
      <c r="J89" s="119">
        <v>19380</v>
      </c>
      <c r="K89" s="119">
        <v>584</v>
      </c>
      <c r="L89" s="125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 spans="1:22" s="11" customFormat="1" ht="12.75" customHeight="1" x14ac:dyDescent="0.2">
      <c r="A90" s="110">
        <v>39022</v>
      </c>
      <c r="B90" s="115">
        <v>4467</v>
      </c>
      <c r="C90" s="118">
        <v>336</v>
      </c>
      <c r="D90" s="119">
        <v>4803</v>
      </c>
      <c r="E90" s="119">
        <v>160</v>
      </c>
      <c r="F90" s="119">
        <v>49</v>
      </c>
      <c r="G90" s="119">
        <v>122</v>
      </c>
      <c r="H90" s="119">
        <v>5134</v>
      </c>
      <c r="I90" s="119">
        <v>14144</v>
      </c>
      <c r="J90" s="119">
        <v>19278</v>
      </c>
      <c r="K90" s="119">
        <v>652</v>
      </c>
      <c r="L90" s="125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 spans="1:22" s="11" customFormat="1" ht="12.75" customHeight="1" x14ac:dyDescent="0.2">
      <c r="A91" s="110">
        <v>39052</v>
      </c>
      <c r="B91" s="115">
        <v>4242</v>
      </c>
      <c r="C91" s="118">
        <v>713</v>
      </c>
      <c r="D91" s="119">
        <v>4955</v>
      </c>
      <c r="E91" s="119">
        <v>154</v>
      </c>
      <c r="F91" s="119">
        <v>48</v>
      </c>
      <c r="G91" s="119">
        <v>226</v>
      </c>
      <c r="H91" s="119">
        <v>5383</v>
      </c>
      <c r="I91" s="119">
        <v>14534</v>
      </c>
      <c r="J91" s="119">
        <v>19917</v>
      </c>
      <c r="K91" s="119">
        <v>959</v>
      </c>
      <c r="L91" s="125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 spans="1:22" s="11" customFormat="1" ht="12.75" customHeight="1" x14ac:dyDescent="0.2">
      <c r="A92" s="110">
        <v>39083</v>
      </c>
      <c r="B92" s="115">
        <v>3834</v>
      </c>
      <c r="C92" s="118">
        <v>537</v>
      </c>
      <c r="D92" s="119">
        <v>4371</v>
      </c>
      <c r="E92" s="119">
        <v>157</v>
      </c>
      <c r="F92" s="119">
        <v>49</v>
      </c>
      <c r="G92" s="119">
        <v>24</v>
      </c>
      <c r="H92" s="119">
        <v>4601</v>
      </c>
      <c r="I92" s="119">
        <v>14493</v>
      </c>
      <c r="J92" s="119">
        <v>19094</v>
      </c>
      <c r="K92" s="119">
        <v>469</v>
      </c>
      <c r="L92" s="125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 spans="1:22" s="11" customFormat="1" ht="12.75" customHeight="1" x14ac:dyDescent="0.2">
      <c r="A93" s="110">
        <v>39114</v>
      </c>
      <c r="B93" s="115">
        <v>3977</v>
      </c>
      <c r="C93" s="118">
        <v>519</v>
      </c>
      <c r="D93" s="119">
        <v>4496</v>
      </c>
      <c r="E93" s="119">
        <v>155</v>
      </c>
      <c r="F93" s="119">
        <v>46</v>
      </c>
      <c r="G93" s="119">
        <v>51</v>
      </c>
      <c r="H93" s="119">
        <v>4748</v>
      </c>
      <c r="I93" s="119">
        <v>14738</v>
      </c>
      <c r="J93" s="119">
        <v>19486</v>
      </c>
      <c r="K93" s="119">
        <v>751</v>
      </c>
      <c r="L93" s="125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 spans="1:22" s="11" customFormat="1" ht="12.75" customHeight="1" x14ac:dyDescent="0.2">
      <c r="A94" s="110">
        <v>39142</v>
      </c>
      <c r="B94" s="115">
        <v>4503</v>
      </c>
      <c r="C94" s="118">
        <v>483</v>
      </c>
      <c r="D94" s="119">
        <v>4986</v>
      </c>
      <c r="E94" s="119">
        <v>153</v>
      </c>
      <c r="F94" s="119">
        <v>45</v>
      </c>
      <c r="G94" s="119">
        <v>115</v>
      </c>
      <c r="H94" s="119">
        <v>5299</v>
      </c>
      <c r="I94" s="119">
        <v>15081</v>
      </c>
      <c r="J94" s="119">
        <v>20380</v>
      </c>
      <c r="K94" s="119">
        <v>966</v>
      </c>
      <c r="L94" s="125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 spans="1:22" s="11" customFormat="1" ht="12.75" customHeight="1" x14ac:dyDescent="0.2">
      <c r="A95" s="110">
        <v>39173</v>
      </c>
      <c r="B95" s="115">
        <v>4830</v>
      </c>
      <c r="C95" s="118">
        <v>858</v>
      </c>
      <c r="D95" s="119">
        <v>5688</v>
      </c>
      <c r="E95" s="119">
        <v>128</v>
      </c>
      <c r="F95" s="119">
        <v>44</v>
      </c>
      <c r="G95" s="119">
        <v>210</v>
      </c>
      <c r="H95" s="119">
        <v>6070</v>
      </c>
      <c r="I95" s="119">
        <v>15522</v>
      </c>
      <c r="J95" s="119">
        <v>21592</v>
      </c>
      <c r="K95" s="119">
        <v>1109</v>
      </c>
      <c r="L95" s="125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 spans="1:22" s="11" customFormat="1" ht="12.75" customHeight="1" x14ac:dyDescent="0.2">
      <c r="A96" s="110">
        <v>39203</v>
      </c>
      <c r="B96" s="115">
        <v>4573</v>
      </c>
      <c r="C96" s="118">
        <v>341</v>
      </c>
      <c r="D96" s="119">
        <v>4914</v>
      </c>
      <c r="E96" s="119">
        <v>127</v>
      </c>
      <c r="F96" s="119">
        <v>42</v>
      </c>
      <c r="G96" s="119">
        <v>92</v>
      </c>
      <c r="H96" s="119">
        <v>5175</v>
      </c>
      <c r="I96" s="119">
        <v>16134</v>
      </c>
      <c r="J96" s="119">
        <v>21309</v>
      </c>
      <c r="K96" s="119">
        <v>779</v>
      </c>
      <c r="L96" s="125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 spans="1:22" s="11" customFormat="1" ht="12.75" customHeight="1" x14ac:dyDescent="0.2">
      <c r="A97" s="110">
        <v>39234</v>
      </c>
      <c r="B97" s="115">
        <v>4449</v>
      </c>
      <c r="C97" s="118">
        <v>674</v>
      </c>
      <c r="D97" s="119">
        <v>5123</v>
      </c>
      <c r="E97" s="119">
        <v>108</v>
      </c>
      <c r="F97" s="119">
        <v>40</v>
      </c>
      <c r="G97" s="119">
        <v>175</v>
      </c>
      <c r="H97" s="119">
        <v>5446</v>
      </c>
      <c r="I97" s="119">
        <v>15502</v>
      </c>
      <c r="J97" s="118">
        <v>20948</v>
      </c>
      <c r="K97" s="119">
        <v>1151</v>
      </c>
      <c r="L97" s="125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 spans="1:22" s="11" customFormat="1" ht="12.75" customHeight="1" x14ac:dyDescent="0.2">
      <c r="A98" s="110">
        <v>39264</v>
      </c>
      <c r="B98" s="115">
        <v>4801</v>
      </c>
      <c r="C98" s="118">
        <v>662</v>
      </c>
      <c r="D98" s="119">
        <v>5463</v>
      </c>
      <c r="E98" s="119">
        <v>109</v>
      </c>
      <c r="F98" s="118">
        <v>41</v>
      </c>
      <c r="G98" s="119">
        <v>21</v>
      </c>
      <c r="H98" s="119">
        <v>5634</v>
      </c>
      <c r="I98" s="119">
        <v>16635</v>
      </c>
      <c r="J98" s="118">
        <v>22269</v>
      </c>
      <c r="K98" s="119">
        <v>1011</v>
      </c>
      <c r="L98" s="125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 spans="1:22" s="11" customFormat="1" ht="12.75" customHeight="1" x14ac:dyDescent="0.2">
      <c r="A99" s="110">
        <v>39295</v>
      </c>
      <c r="B99" s="115">
        <v>5400</v>
      </c>
      <c r="C99" s="118">
        <v>608</v>
      </c>
      <c r="D99" s="119">
        <v>6008</v>
      </c>
      <c r="E99" s="119">
        <v>120</v>
      </c>
      <c r="F99" s="118">
        <v>42</v>
      </c>
      <c r="G99" s="119">
        <v>-47</v>
      </c>
      <c r="H99" s="119">
        <v>6123</v>
      </c>
      <c r="I99" s="119">
        <v>17795</v>
      </c>
      <c r="J99" s="118">
        <v>23918</v>
      </c>
      <c r="K99" s="119">
        <v>-254</v>
      </c>
      <c r="L99" s="125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 spans="1:22" s="11" customFormat="1" ht="12.75" customHeight="1" x14ac:dyDescent="0.2">
      <c r="A100" s="110">
        <v>39326</v>
      </c>
      <c r="B100" s="115">
        <v>5051</v>
      </c>
      <c r="C100" s="118">
        <v>669</v>
      </c>
      <c r="D100" s="118">
        <v>5720</v>
      </c>
      <c r="E100" s="118">
        <v>113</v>
      </c>
      <c r="F100" s="118">
        <v>40</v>
      </c>
      <c r="G100" s="118">
        <v>11</v>
      </c>
      <c r="H100" s="118">
        <v>5884</v>
      </c>
      <c r="I100" s="119">
        <v>16441</v>
      </c>
      <c r="J100" s="118">
        <v>22325</v>
      </c>
      <c r="K100" s="119">
        <v>1020</v>
      </c>
      <c r="L100" s="125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 spans="1:22" s="11" customFormat="1" ht="12.75" customHeight="1" x14ac:dyDescent="0.2">
      <c r="A101" s="110">
        <v>39356</v>
      </c>
      <c r="B101" s="115">
        <v>5231</v>
      </c>
      <c r="C101" s="118">
        <v>667</v>
      </c>
      <c r="D101" s="118">
        <v>5898</v>
      </c>
      <c r="E101" s="118">
        <v>109</v>
      </c>
      <c r="F101" s="118">
        <v>40</v>
      </c>
      <c r="G101" s="118">
        <v>27</v>
      </c>
      <c r="H101" s="118">
        <v>6074</v>
      </c>
      <c r="I101" s="118">
        <v>16216</v>
      </c>
      <c r="J101" s="118">
        <v>22290</v>
      </c>
      <c r="K101" s="119">
        <v>1147</v>
      </c>
      <c r="L101" s="125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 spans="1:22" s="11" customFormat="1" ht="12.75" customHeight="1" x14ac:dyDescent="0.2">
      <c r="A102" s="110">
        <v>39387</v>
      </c>
      <c r="B102" s="115">
        <v>5561</v>
      </c>
      <c r="C102" s="118">
        <v>408</v>
      </c>
      <c r="D102" s="118">
        <v>5969</v>
      </c>
      <c r="E102" s="118">
        <v>109</v>
      </c>
      <c r="F102" s="118">
        <v>37</v>
      </c>
      <c r="G102" s="118">
        <v>9</v>
      </c>
      <c r="H102" s="118">
        <v>6124</v>
      </c>
      <c r="I102" s="118">
        <v>15865</v>
      </c>
      <c r="J102" s="118">
        <v>21989</v>
      </c>
      <c r="K102" s="119">
        <v>1169</v>
      </c>
      <c r="L102" s="125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 spans="1:22" s="11" customFormat="1" ht="12.75" customHeight="1" x14ac:dyDescent="0.2">
      <c r="A103" s="110">
        <v>39417</v>
      </c>
      <c r="B103" s="115">
        <v>5049</v>
      </c>
      <c r="C103" s="118">
        <v>470</v>
      </c>
      <c r="D103" s="118">
        <v>5519</v>
      </c>
      <c r="E103" s="118">
        <v>108</v>
      </c>
      <c r="F103" s="118">
        <v>37</v>
      </c>
      <c r="G103" s="118">
        <v>0</v>
      </c>
      <c r="H103" s="118">
        <v>5664</v>
      </c>
      <c r="I103" s="118">
        <v>16605</v>
      </c>
      <c r="J103" s="118">
        <v>22269</v>
      </c>
      <c r="K103" s="119">
        <v>932</v>
      </c>
      <c r="L103" s="125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 spans="1:22" s="11" customFormat="1" ht="12.75" customHeight="1" x14ac:dyDescent="0.2">
      <c r="A104" s="110">
        <v>39448</v>
      </c>
      <c r="B104" s="115">
        <v>5280</v>
      </c>
      <c r="C104" s="118">
        <v>592</v>
      </c>
      <c r="D104" s="118">
        <v>5872</v>
      </c>
      <c r="E104" s="118">
        <v>106</v>
      </c>
      <c r="F104" s="118">
        <v>37</v>
      </c>
      <c r="G104" s="118">
        <v>0</v>
      </c>
      <c r="H104" s="118">
        <v>6015</v>
      </c>
      <c r="I104" s="118">
        <v>16651</v>
      </c>
      <c r="J104" s="118">
        <v>22666</v>
      </c>
      <c r="K104" s="119">
        <v>993</v>
      </c>
      <c r="L104" s="125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 spans="1:22" s="11" customFormat="1" ht="12.75" customHeight="1" x14ac:dyDescent="0.2">
      <c r="A105" s="110">
        <v>39479</v>
      </c>
      <c r="B105" s="115">
        <v>4411</v>
      </c>
      <c r="C105" s="118">
        <v>936</v>
      </c>
      <c r="D105" s="118">
        <v>5347</v>
      </c>
      <c r="E105" s="118">
        <v>99</v>
      </c>
      <c r="F105" s="118">
        <v>34</v>
      </c>
      <c r="G105" s="118">
        <v>0</v>
      </c>
      <c r="H105" s="118">
        <v>5480</v>
      </c>
      <c r="I105" s="118">
        <v>16600</v>
      </c>
      <c r="J105" s="118">
        <v>22080</v>
      </c>
      <c r="K105" s="119">
        <v>1350</v>
      </c>
      <c r="L105" s="125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 spans="1:22" s="11" customFormat="1" ht="12.75" customHeight="1" x14ac:dyDescent="0.2">
      <c r="A106" s="110">
        <v>39508</v>
      </c>
      <c r="B106" s="115">
        <v>4680</v>
      </c>
      <c r="C106" s="118">
        <v>508</v>
      </c>
      <c r="D106" s="118">
        <v>5188</v>
      </c>
      <c r="E106" s="118">
        <v>119</v>
      </c>
      <c r="F106" s="118">
        <v>35</v>
      </c>
      <c r="G106" s="118">
        <v>0</v>
      </c>
      <c r="H106" s="118">
        <v>5342</v>
      </c>
      <c r="I106" s="118">
        <v>19197</v>
      </c>
      <c r="J106" s="118">
        <v>24539</v>
      </c>
      <c r="K106" s="119">
        <v>804</v>
      </c>
      <c r="L106" s="125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 spans="1:22" s="11" customFormat="1" ht="12.75" customHeight="1" x14ac:dyDescent="0.2">
      <c r="A107" s="110">
        <v>39539</v>
      </c>
      <c r="B107" s="115">
        <v>4971</v>
      </c>
      <c r="C107" s="118">
        <v>469</v>
      </c>
      <c r="D107" s="118">
        <v>5440</v>
      </c>
      <c r="E107" s="118">
        <v>120</v>
      </c>
      <c r="F107" s="118">
        <v>36</v>
      </c>
      <c r="G107" s="118">
        <v>0</v>
      </c>
      <c r="H107" s="118">
        <v>5596</v>
      </c>
      <c r="I107" s="118">
        <v>19148</v>
      </c>
      <c r="J107" s="118">
        <v>24744</v>
      </c>
      <c r="K107" s="119">
        <v>502</v>
      </c>
      <c r="L107" s="125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 spans="1:22" s="11" customFormat="1" ht="12.75" customHeight="1" x14ac:dyDescent="0.2">
      <c r="A108" s="110">
        <v>39569</v>
      </c>
      <c r="B108" s="115">
        <v>4892</v>
      </c>
      <c r="C108" s="118">
        <v>614</v>
      </c>
      <c r="D108" s="118">
        <v>5506</v>
      </c>
      <c r="E108" s="118">
        <v>138</v>
      </c>
      <c r="F108" s="118">
        <v>34</v>
      </c>
      <c r="G108" s="118">
        <v>0</v>
      </c>
      <c r="H108" s="118">
        <v>5678</v>
      </c>
      <c r="I108" s="118">
        <v>20344</v>
      </c>
      <c r="J108" s="118">
        <v>26022</v>
      </c>
      <c r="K108" s="119">
        <v>750</v>
      </c>
      <c r="L108" s="125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 spans="1:22" s="11" customFormat="1" ht="12.75" customHeight="1" x14ac:dyDescent="0.2">
      <c r="A109" s="110">
        <v>39600</v>
      </c>
      <c r="B109" s="115">
        <v>5004</v>
      </c>
      <c r="C109" s="118">
        <v>507</v>
      </c>
      <c r="D109" s="118">
        <v>5511</v>
      </c>
      <c r="E109" s="118">
        <v>142</v>
      </c>
      <c r="F109" s="118">
        <v>35</v>
      </c>
      <c r="G109" s="118">
        <v>0</v>
      </c>
      <c r="H109" s="118">
        <v>5688</v>
      </c>
      <c r="I109" s="118">
        <v>19936</v>
      </c>
      <c r="J109" s="118">
        <v>25624</v>
      </c>
      <c r="K109" s="119">
        <v>122</v>
      </c>
      <c r="L109" s="125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 spans="1:22" s="11" customFormat="1" ht="12.75" customHeight="1" x14ac:dyDescent="0.2">
      <c r="A110" s="110">
        <v>39630</v>
      </c>
      <c r="B110" s="115">
        <v>4052</v>
      </c>
      <c r="C110" s="118">
        <v>264</v>
      </c>
      <c r="D110" s="118">
        <v>4316</v>
      </c>
      <c r="E110" s="118">
        <v>146</v>
      </c>
      <c r="F110" s="118">
        <v>36</v>
      </c>
      <c r="G110" s="118">
        <v>0</v>
      </c>
      <c r="H110" s="118">
        <v>4498</v>
      </c>
      <c r="I110" s="118">
        <v>16082</v>
      </c>
      <c r="J110" s="118">
        <v>20580</v>
      </c>
      <c r="K110" s="119">
        <v>24</v>
      </c>
      <c r="L110" s="125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 spans="1:22" s="11" customFormat="1" ht="12.75" customHeight="1" x14ac:dyDescent="0.2">
      <c r="A111" s="110">
        <v>39661</v>
      </c>
      <c r="B111" s="115">
        <v>4091</v>
      </c>
      <c r="C111" s="118">
        <v>293</v>
      </c>
      <c r="D111" s="118">
        <v>4384</v>
      </c>
      <c r="E111" s="118">
        <v>148</v>
      </c>
      <c r="F111" s="118">
        <v>34</v>
      </c>
      <c r="G111" s="118">
        <v>0</v>
      </c>
      <c r="H111" s="118">
        <v>4566</v>
      </c>
      <c r="I111" s="118">
        <v>15542</v>
      </c>
      <c r="J111" s="118">
        <v>20108</v>
      </c>
      <c r="K111" s="118">
        <v>-64</v>
      </c>
      <c r="L111" s="125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 spans="1:22" s="14" customFormat="1" ht="12.75" customHeight="1" x14ac:dyDescent="0.2">
      <c r="A112" s="110">
        <v>39692</v>
      </c>
      <c r="B112" s="115">
        <v>4450</v>
      </c>
      <c r="C112" s="118">
        <v>242</v>
      </c>
      <c r="D112" s="118">
        <v>4692</v>
      </c>
      <c r="E112" s="118">
        <v>149</v>
      </c>
      <c r="F112" s="118">
        <v>36</v>
      </c>
      <c r="G112" s="118">
        <v>-2</v>
      </c>
      <c r="H112" s="118">
        <v>4875</v>
      </c>
      <c r="I112" s="118">
        <v>16542</v>
      </c>
      <c r="J112" s="118">
        <v>21417</v>
      </c>
      <c r="K112" s="118">
        <v>-375</v>
      </c>
      <c r="L112" s="125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 spans="1:22" s="14" customFormat="1" ht="12.75" customHeight="1" x14ac:dyDescent="0.2">
      <c r="A113" s="110">
        <v>39722</v>
      </c>
      <c r="B113" s="115">
        <v>5628</v>
      </c>
      <c r="C113" s="118">
        <v>682</v>
      </c>
      <c r="D113" s="118">
        <v>6310</v>
      </c>
      <c r="E113" s="118">
        <v>162</v>
      </c>
      <c r="F113" s="118">
        <v>39</v>
      </c>
      <c r="G113" s="118">
        <v>-16</v>
      </c>
      <c r="H113" s="118">
        <v>6495</v>
      </c>
      <c r="I113" s="118">
        <v>15432</v>
      </c>
      <c r="J113" s="118">
        <v>21927</v>
      </c>
      <c r="K113" s="118">
        <v>-992</v>
      </c>
      <c r="L113" s="125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 spans="1:22" s="14" customFormat="1" ht="12.75" customHeight="1" x14ac:dyDescent="0.2">
      <c r="A114" s="110">
        <v>39753</v>
      </c>
      <c r="B114" s="115">
        <v>5519</v>
      </c>
      <c r="C114" s="118">
        <v>477</v>
      </c>
      <c r="D114" s="118">
        <v>5996</v>
      </c>
      <c r="E114" s="118">
        <v>308</v>
      </c>
      <c r="F114" s="118">
        <v>40</v>
      </c>
      <c r="G114" s="118">
        <v>-5</v>
      </c>
      <c r="H114" s="118">
        <v>6339</v>
      </c>
      <c r="I114" s="118">
        <v>15259</v>
      </c>
      <c r="J114" s="118">
        <v>21598</v>
      </c>
      <c r="K114" s="118">
        <v>-874</v>
      </c>
      <c r="L114" s="125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 spans="1:22" s="14" customFormat="1" ht="12.75" customHeight="1" x14ac:dyDescent="0.2">
      <c r="A115" s="110">
        <v>39783</v>
      </c>
      <c r="B115" s="115">
        <v>3722</v>
      </c>
      <c r="C115" s="118">
        <v>249</v>
      </c>
      <c r="D115" s="118">
        <v>3971</v>
      </c>
      <c r="E115" s="118">
        <v>304</v>
      </c>
      <c r="F115" s="118">
        <v>39</v>
      </c>
      <c r="G115" s="118">
        <v>-6</v>
      </c>
      <c r="H115" s="118">
        <v>4308</v>
      </c>
      <c r="I115" s="118">
        <v>14797</v>
      </c>
      <c r="J115" s="118">
        <v>19105</v>
      </c>
      <c r="K115" s="118">
        <v>-273</v>
      </c>
      <c r="L115" s="125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 spans="1:22" s="14" customFormat="1" ht="12.75" customHeight="1" x14ac:dyDescent="0.2">
      <c r="A116" s="110">
        <v>39814</v>
      </c>
      <c r="B116" s="116">
        <v>2426</v>
      </c>
      <c r="C116" s="117">
        <v>687</v>
      </c>
      <c r="D116" s="117">
        <v>3113</v>
      </c>
      <c r="E116" s="117">
        <v>334</v>
      </c>
      <c r="F116" s="117">
        <v>43</v>
      </c>
      <c r="G116" s="117">
        <v>-37</v>
      </c>
      <c r="H116" s="117">
        <v>3453</v>
      </c>
      <c r="I116" s="117">
        <v>20688</v>
      </c>
      <c r="J116" s="117">
        <v>24141</v>
      </c>
      <c r="K116" s="117">
        <v>-776</v>
      </c>
      <c r="L116" s="125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 spans="1:22" s="14" customFormat="1" ht="12.75" customHeight="1" x14ac:dyDescent="0.2">
      <c r="A117" s="110">
        <v>39845</v>
      </c>
      <c r="B117" s="116">
        <v>2388</v>
      </c>
      <c r="C117" s="117">
        <v>507</v>
      </c>
      <c r="D117" s="117">
        <v>2895</v>
      </c>
      <c r="E117" s="117">
        <v>331</v>
      </c>
      <c r="F117" s="117">
        <v>42</v>
      </c>
      <c r="G117" s="117">
        <v>-33</v>
      </c>
      <c r="H117" s="117">
        <v>3235</v>
      </c>
      <c r="I117" s="117">
        <v>20966</v>
      </c>
      <c r="J117" s="117">
        <v>24201</v>
      </c>
      <c r="K117" s="117">
        <v>-947</v>
      </c>
      <c r="L117" s="125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 spans="1:22" s="14" customFormat="1" ht="12.75" customHeight="1" x14ac:dyDescent="0.2">
      <c r="A118" s="110">
        <v>39873</v>
      </c>
      <c r="B118" s="116">
        <v>2145</v>
      </c>
      <c r="C118" s="117">
        <v>874</v>
      </c>
      <c r="D118" s="117">
        <v>3019</v>
      </c>
      <c r="E118" s="117">
        <v>301</v>
      </c>
      <c r="F118" s="117">
        <v>38</v>
      </c>
      <c r="G118" s="117">
        <v>16</v>
      </c>
      <c r="H118" s="117">
        <v>3374</v>
      </c>
      <c r="I118" s="117">
        <v>17090</v>
      </c>
      <c r="J118" s="117">
        <v>20464</v>
      </c>
      <c r="K118" s="117">
        <v>264</v>
      </c>
      <c r="L118" s="125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 spans="1:22" s="108" customFormat="1" ht="12.75" customHeight="1" x14ac:dyDescent="0.2">
      <c r="A119" s="110">
        <v>39904</v>
      </c>
      <c r="B119" s="116">
        <v>2173</v>
      </c>
      <c r="C119" s="117">
        <v>692</v>
      </c>
      <c r="D119" s="117">
        <v>2865</v>
      </c>
      <c r="E119" s="117">
        <v>302</v>
      </c>
      <c r="F119" s="117">
        <v>38</v>
      </c>
      <c r="G119" s="117">
        <v>-9</v>
      </c>
      <c r="H119" s="117">
        <v>3196</v>
      </c>
      <c r="I119" s="117">
        <v>16024</v>
      </c>
      <c r="J119" s="117">
        <v>19220</v>
      </c>
      <c r="K119" s="117">
        <v>162</v>
      </c>
      <c r="L119" s="125"/>
      <c r="M119" s="13"/>
      <c r="N119" s="13"/>
      <c r="O119" s="13"/>
      <c r="P119" s="13"/>
      <c r="Q119" s="13"/>
      <c r="R119" s="13"/>
      <c r="S119" s="13"/>
      <c r="T119" s="13"/>
      <c r="U119" s="13"/>
      <c r="V119" s="13"/>
    </row>
    <row r="120" spans="1:22" s="108" customFormat="1" ht="12.75" customHeight="1" x14ac:dyDescent="0.2">
      <c r="A120" s="110">
        <v>39934</v>
      </c>
      <c r="B120" s="116">
        <v>1801</v>
      </c>
      <c r="C120" s="117">
        <v>1303</v>
      </c>
      <c r="D120" s="117">
        <v>3104</v>
      </c>
      <c r="E120" s="117">
        <v>280</v>
      </c>
      <c r="F120" s="117">
        <v>35</v>
      </c>
      <c r="G120" s="117">
        <v>-8</v>
      </c>
      <c r="H120" s="117">
        <v>3411</v>
      </c>
      <c r="I120" s="117">
        <v>17150</v>
      </c>
      <c r="J120" s="117">
        <v>20561</v>
      </c>
      <c r="K120" s="117">
        <v>1345</v>
      </c>
      <c r="L120" s="125"/>
      <c r="M120" s="13"/>
      <c r="N120" s="13"/>
      <c r="O120" s="13"/>
      <c r="P120" s="13"/>
      <c r="Q120" s="13"/>
      <c r="R120" s="13"/>
      <c r="S120" s="13"/>
      <c r="T120" s="13"/>
      <c r="U120" s="13"/>
      <c r="V120" s="13"/>
    </row>
    <row r="121" spans="1:22" s="108" customFormat="1" ht="12.75" customHeight="1" x14ac:dyDescent="0.2">
      <c r="A121" s="110">
        <v>39965</v>
      </c>
      <c r="B121" s="116">
        <v>1783</v>
      </c>
      <c r="C121" s="117">
        <v>1047</v>
      </c>
      <c r="D121" s="117">
        <v>2830</v>
      </c>
      <c r="E121" s="117">
        <v>413</v>
      </c>
      <c r="F121" s="117">
        <v>34</v>
      </c>
      <c r="G121" s="117">
        <v>-7</v>
      </c>
      <c r="H121" s="117">
        <v>3270</v>
      </c>
      <c r="I121" s="117">
        <v>16997</v>
      </c>
      <c r="J121" s="117">
        <v>20267</v>
      </c>
      <c r="K121" s="117">
        <v>1334</v>
      </c>
      <c r="L121" s="125"/>
      <c r="M121" s="13"/>
      <c r="N121" s="13"/>
      <c r="O121" s="13"/>
      <c r="P121" s="13"/>
      <c r="Q121" s="13"/>
      <c r="R121" s="13"/>
      <c r="S121" s="13"/>
      <c r="T121" s="13"/>
      <c r="U121" s="13"/>
      <c r="V121" s="13"/>
    </row>
    <row r="122" spans="1:22" s="108" customFormat="1" ht="12.75" customHeight="1" x14ac:dyDescent="0.2">
      <c r="A122" s="110">
        <v>39995</v>
      </c>
      <c r="B122" s="116">
        <v>1066</v>
      </c>
      <c r="C122" s="117">
        <v>1289</v>
      </c>
      <c r="D122" s="117">
        <v>2355</v>
      </c>
      <c r="E122" s="117">
        <v>412</v>
      </c>
      <c r="F122" s="117">
        <v>34</v>
      </c>
      <c r="G122" s="117">
        <v>-8</v>
      </c>
      <c r="H122" s="117">
        <v>2793</v>
      </c>
      <c r="I122" s="117">
        <v>14882</v>
      </c>
      <c r="J122" s="117">
        <v>17675</v>
      </c>
      <c r="K122" s="117">
        <v>1296</v>
      </c>
      <c r="L122" s="125"/>
      <c r="M122" s="13"/>
      <c r="N122" s="13"/>
      <c r="O122" s="13"/>
      <c r="P122" s="13"/>
      <c r="Q122" s="13"/>
      <c r="R122" s="13"/>
      <c r="S122" s="13"/>
      <c r="T122" s="13"/>
      <c r="U122" s="13"/>
      <c r="V122" s="13"/>
    </row>
    <row r="123" spans="1:22" s="108" customFormat="1" ht="12.75" customHeight="1" x14ac:dyDescent="0.2">
      <c r="A123" s="110">
        <v>40026</v>
      </c>
      <c r="B123" s="117">
        <v>1032</v>
      </c>
      <c r="C123" s="117">
        <v>1452</v>
      </c>
      <c r="D123" s="117">
        <v>2484</v>
      </c>
      <c r="E123" s="117">
        <v>398</v>
      </c>
      <c r="F123" s="117">
        <v>1551</v>
      </c>
      <c r="G123" s="117">
        <v>-4</v>
      </c>
      <c r="H123" s="117">
        <v>4429</v>
      </c>
      <c r="I123" s="117">
        <v>14770</v>
      </c>
      <c r="J123" s="117">
        <v>19199</v>
      </c>
      <c r="K123" s="117">
        <v>1638</v>
      </c>
      <c r="L123" s="125"/>
      <c r="M123" s="13"/>
      <c r="N123" s="13"/>
      <c r="O123" s="13"/>
      <c r="P123" s="13"/>
      <c r="Q123" s="13"/>
      <c r="R123" s="13"/>
      <c r="S123" s="13"/>
      <c r="T123" s="13"/>
      <c r="U123" s="13"/>
      <c r="V123" s="13"/>
    </row>
    <row r="124" spans="1:22" s="108" customFormat="1" ht="12.75" customHeight="1" x14ac:dyDescent="0.2">
      <c r="A124" s="110">
        <v>40057</v>
      </c>
      <c r="B124" s="117">
        <v>976</v>
      </c>
      <c r="C124" s="117">
        <v>1795</v>
      </c>
      <c r="D124" s="117">
        <v>2771</v>
      </c>
      <c r="E124" s="117">
        <v>383</v>
      </c>
      <c r="F124" s="117">
        <v>1599</v>
      </c>
      <c r="G124" s="117">
        <v>-4</v>
      </c>
      <c r="H124" s="117">
        <v>4749</v>
      </c>
      <c r="I124" s="117">
        <v>15247</v>
      </c>
      <c r="J124" s="117">
        <v>19996</v>
      </c>
      <c r="K124" s="117">
        <v>2208</v>
      </c>
      <c r="L124" s="125"/>
      <c r="M124" s="13"/>
      <c r="N124" s="13"/>
      <c r="O124" s="13"/>
      <c r="P124" s="13"/>
      <c r="Q124" s="13"/>
      <c r="R124" s="13"/>
      <c r="S124" s="13"/>
      <c r="T124" s="13"/>
      <c r="U124" s="13"/>
      <c r="V124" s="13"/>
    </row>
    <row r="125" spans="1:22" s="108" customFormat="1" ht="12.75" customHeight="1" x14ac:dyDescent="0.2">
      <c r="A125" s="110">
        <v>40087</v>
      </c>
      <c r="B125" s="117">
        <v>1000</v>
      </c>
      <c r="C125" s="117">
        <v>1910</v>
      </c>
      <c r="D125" s="117">
        <v>2910</v>
      </c>
      <c r="E125" s="117">
        <v>378</v>
      </c>
      <c r="F125" s="117">
        <v>1580</v>
      </c>
      <c r="G125" s="117">
        <v>-6</v>
      </c>
      <c r="H125" s="117">
        <v>4862</v>
      </c>
      <c r="I125" s="117">
        <v>15551</v>
      </c>
      <c r="J125" s="117">
        <v>20413</v>
      </c>
      <c r="K125" s="117">
        <v>2140</v>
      </c>
      <c r="L125" s="125"/>
      <c r="M125" s="13"/>
      <c r="N125" s="13"/>
      <c r="O125" s="13"/>
      <c r="P125" s="13"/>
      <c r="Q125" s="13"/>
      <c r="R125" s="13"/>
      <c r="S125" s="13"/>
      <c r="T125" s="13"/>
      <c r="U125" s="13"/>
      <c r="V125" s="13"/>
    </row>
    <row r="126" spans="1:22" s="108" customFormat="1" ht="12.75" customHeight="1" x14ac:dyDescent="0.2">
      <c r="A126" s="110">
        <v>40118</v>
      </c>
      <c r="B126" s="117">
        <v>1221</v>
      </c>
      <c r="C126" s="117">
        <v>1261</v>
      </c>
      <c r="D126" s="117">
        <v>2482</v>
      </c>
      <c r="E126" s="117">
        <v>389</v>
      </c>
      <c r="F126" s="117">
        <v>1626</v>
      </c>
      <c r="G126" s="117">
        <v>-10</v>
      </c>
      <c r="H126" s="117">
        <v>4487</v>
      </c>
      <c r="I126" s="117">
        <v>17329</v>
      </c>
      <c r="J126" s="117">
        <v>21816</v>
      </c>
      <c r="K126" s="117">
        <v>1553</v>
      </c>
      <c r="L126" s="125"/>
      <c r="M126" s="13"/>
      <c r="N126" s="13"/>
      <c r="O126" s="13"/>
      <c r="P126" s="13"/>
      <c r="Q126" s="13"/>
      <c r="R126" s="13"/>
      <c r="S126" s="13"/>
      <c r="T126" s="13"/>
      <c r="U126" s="13"/>
      <c r="V126" s="13"/>
    </row>
    <row r="127" spans="1:22" s="108" customFormat="1" ht="12.75" customHeight="1" x14ac:dyDescent="0.2">
      <c r="A127" s="110">
        <v>40148</v>
      </c>
      <c r="B127" s="117">
        <v>2178</v>
      </c>
      <c r="C127" s="117">
        <v>1039</v>
      </c>
      <c r="D127" s="117">
        <v>3217</v>
      </c>
      <c r="E127" s="117">
        <v>375</v>
      </c>
      <c r="F127" s="117">
        <v>1843</v>
      </c>
      <c r="G127" s="117">
        <v>-6</v>
      </c>
      <c r="H127" s="117">
        <v>5429</v>
      </c>
      <c r="I127" s="117">
        <v>16163</v>
      </c>
      <c r="J127" s="117">
        <v>21592</v>
      </c>
      <c r="K127" s="117">
        <v>1905</v>
      </c>
      <c r="L127" s="125"/>
      <c r="M127" s="13"/>
      <c r="N127" s="13"/>
      <c r="O127" s="13"/>
      <c r="P127" s="13"/>
      <c r="Q127" s="13"/>
      <c r="R127" s="13"/>
      <c r="S127" s="13"/>
      <c r="T127" s="13"/>
      <c r="U127" s="13"/>
      <c r="V127" s="13"/>
    </row>
    <row r="128" spans="1:22" s="108" customFormat="1" ht="12.75" customHeight="1" x14ac:dyDescent="0.2">
      <c r="A128" s="110">
        <v>40179</v>
      </c>
      <c r="B128" s="117">
        <v>2520</v>
      </c>
      <c r="C128" s="117">
        <v>981</v>
      </c>
      <c r="D128" s="117">
        <v>3501</v>
      </c>
      <c r="E128" s="117">
        <v>384</v>
      </c>
      <c r="F128" s="117">
        <v>1888</v>
      </c>
      <c r="G128" s="117">
        <v>-11</v>
      </c>
      <c r="H128" s="117">
        <v>5762</v>
      </c>
      <c r="I128" s="117">
        <v>19146</v>
      </c>
      <c r="J128" s="117">
        <v>24908</v>
      </c>
      <c r="K128" s="117">
        <v>1193</v>
      </c>
      <c r="L128" s="125"/>
      <c r="M128" s="13"/>
      <c r="N128" s="13"/>
      <c r="O128" s="13"/>
      <c r="P128" s="13"/>
      <c r="Q128" s="13"/>
      <c r="R128" s="13"/>
      <c r="S128" s="13"/>
      <c r="T128" s="13"/>
      <c r="U128" s="13"/>
      <c r="V128" s="13"/>
    </row>
    <row r="129" spans="1:22" s="108" customFormat="1" ht="12.75" customHeight="1" x14ac:dyDescent="0.2">
      <c r="A129" s="110">
        <v>40210</v>
      </c>
      <c r="B129" s="117">
        <v>2758</v>
      </c>
      <c r="C129" s="117">
        <v>928</v>
      </c>
      <c r="D129" s="117">
        <v>3686</v>
      </c>
      <c r="E129" s="117">
        <v>384</v>
      </c>
      <c r="F129" s="117">
        <v>1886</v>
      </c>
      <c r="G129" s="117">
        <v>-11</v>
      </c>
      <c r="H129" s="117">
        <v>5945</v>
      </c>
      <c r="I129" s="117">
        <v>18019</v>
      </c>
      <c r="J129" s="117">
        <v>23964</v>
      </c>
      <c r="K129" s="117">
        <v>1215</v>
      </c>
      <c r="L129" s="125"/>
      <c r="M129" s="13"/>
      <c r="N129" s="13"/>
      <c r="O129" s="13"/>
      <c r="P129" s="13"/>
      <c r="Q129" s="13"/>
      <c r="R129" s="13"/>
      <c r="S129" s="13"/>
      <c r="T129" s="13"/>
      <c r="U129" s="13"/>
      <c r="V129" s="13"/>
    </row>
    <row r="130" spans="1:22" s="108" customFormat="1" ht="12.75" customHeight="1" x14ac:dyDescent="0.2">
      <c r="A130" s="110">
        <v>40238</v>
      </c>
      <c r="B130" s="117">
        <v>2664</v>
      </c>
      <c r="C130" s="117">
        <v>1262</v>
      </c>
      <c r="D130" s="117">
        <v>3926</v>
      </c>
      <c r="E130" s="117">
        <v>371</v>
      </c>
      <c r="F130" s="117">
        <v>1824</v>
      </c>
      <c r="G130" s="117">
        <v>-12</v>
      </c>
      <c r="H130" s="117">
        <v>6109</v>
      </c>
      <c r="I130" s="117">
        <v>17314</v>
      </c>
      <c r="J130" s="117">
        <v>23423</v>
      </c>
      <c r="K130" s="117">
        <v>1690</v>
      </c>
      <c r="L130" s="125"/>
      <c r="M130" s="13"/>
      <c r="N130" s="13"/>
      <c r="O130" s="13"/>
      <c r="P130" s="13"/>
      <c r="Q130" s="13"/>
      <c r="R130" s="13"/>
      <c r="S130" s="13"/>
      <c r="T130" s="13"/>
      <c r="U130" s="13"/>
      <c r="V130" s="13"/>
    </row>
    <row r="131" spans="1:22" s="108" customFormat="1" ht="12.75" customHeight="1" x14ac:dyDescent="0.2">
      <c r="A131" s="110">
        <v>40269</v>
      </c>
      <c r="B131" s="117">
        <v>2577</v>
      </c>
      <c r="C131" s="117">
        <v>1646</v>
      </c>
      <c r="D131" s="117">
        <v>4223</v>
      </c>
      <c r="E131" s="117">
        <v>362</v>
      </c>
      <c r="F131" s="117">
        <v>1782</v>
      </c>
      <c r="G131" s="117">
        <v>-10</v>
      </c>
      <c r="H131" s="117">
        <v>6357</v>
      </c>
      <c r="I131" s="117">
        <v>17189</v>
      </c>
      <c r="J131" s="117">
        <v>23546</v>
      </c>
      <c r="K131" s="117">
        <v>2114</v>
      </c>
      <c r="L131" s="125"/>
      <c r="M131" s="13"/>
      <c r="N131" s="13"/>
      <c r="O131" s="13"/>
      <c r="P131" s="13"/>
      <c r="Q131" s="13"/>
      <c r="R131" s="13"/>
      <c r="S131" s="13"/>
      <c r="T131" s="13"/>
      <c r="U131" s="13"/>
      <c r="V131" s="13"/>
    </row>
    <row r="132" spans="1:22" s="108" customFormat="1" ht="12.75" customHeight="1" x14ac:dyDescent="0.2">
      <c r="A132" s="110">
        <v>40299</v>
      </c>
      <c r="B132" s="117">
        <v>2700</v>
      </c>
      <c r="C132" s="117">
        <v>1016</v>
      </c>
      <c r="D132" s="117">
        <v>3716</v>
      </c>
      <c r="E132" s="117">
        <v>375</v>
      </c>
      <c r="F132" s="117">
        <v>1845</v>
      </c>
      <c r="G132" s="117">
        <v>-7</v>
      </c>
      <c r="H132" s="117">
        <v>5929</v>
      </c>
      <c r="I132" s="117">
        <v>20614</v>
      </c>
      <c r="J132" s="117">
        <v>26543</v>
      </c>
      <c r="K132" s="117">
        <v>1454</v>
      </c>
      <c r="L132" s="125"/>
      <c r="M132" s="13"/>
      <c r="N132" s="13"/>
      <c r="O132" s="13"/>
      <c r="P132" s="13"/>
      <c r="Q132" s="13"/>
      <c r="R132" s="13"/>
      <c r="S132" s="13"/>
      <c r="T132" s="13"/>
      <c r="U132" s="13"/>
      <c r="V132" s="13"/>
    </row>
    <row r="133" spans="1:22" s="108" customFormat="1" ht="12.75" customHeight="1" x14ac:dyDescent="0.2">
      <c r="A133" s="110">
        <v>40330</v>
      </c>
      <c r="B133" s="117">
        <v>1597</v>
      </c>
      <c r="C133" s="117">
        <v>1165</v>
      </c>
      <c r="D133" s="117">
        <v>2762</v>
      </c>
      <c r="E133" s="117">
        <v>371</v>
      </c>
      <c r="F133" s="117">
        <v>1822</v>
      </c>
      <c r="G133" s="117">
        <v>-6</v>
      </c>
      <c r="H133" s="117">
        <v>4949</v>
      </c>
      <c r="I133" s="117">
        <v>19724</v>
      </c>
      <c r="J133" s="117">
        <v>24673</v>
      </c>
      <c r="K133" s="117">
        <v>1740</v>
      </c>
      <c r="L133" s="125"/>
      <c r="M133" s="13"/>
      <c r="N133" s="13"/>
      <c r="O133" s="13"/>
      <c r="P133" s="13"/>
      <c r="Q133" s="13"/>
      <c r="R133" s="13"/>
      <c r="S133" s="13"/>
      <c r="T133" s="13"/>
      <c r="U133" s="13"/>
      <c r="V133" s="13"/>
    </row>
    <row r="134" spans="1:22" s="108" customFormat="1" ht="12.75" customHeight="1" x14ac:dyDescent="0.2">
      <c r="A134" s="110">
        <v>40360</v>
      </c>
      <c r="B134" s="117">
        <v>1500</v>
      </c>
      <c r="C134" s="117">
        <v>1018</v>
      </c>
      <c r="D134" s="117">
        <v>2518</v>
      </c>
      <c r="E134" s="117">
        <v>367</v>
      </c>
      <c r="F134" s="117">
        <v>1805</v>
      </c>
      <c r="G134" s="117">
        <v>-9</v>
      </c>
      <c r="H134" s="117">
        <v>4681</v>
      </c>
      <c r="I134" s="117">
        <v>16822</v>
      </c>
      <c r="J134" s="117">
        <v>21503</v>
      </c>
      <c r="K134" s="117">
        <v>2038</v>
      </c>
      <c r="L134" s="125"/>
      <c r="M134" s="13"/>
      <c r="N134" s="13"/>
      <c r="O134" s="13"/>
      <c r="P134" s="13"/>
      <c r="Q134" s="13"/>
      <c r="R134" s="13"/>
      <c r="S134" s="13"/>
      <c r="T134" s="13"/>
      <c r="U134" s="13"/>
      <c r="V134" s="13"/>
    </row>
    <row r="135" spans="1:22" s="108" customFormat="1" ht="12.75" customHeight="1" x14ac:dyDescent="0.2">
      <c r="A135" s="110">
        <v>40391</v>
      </c>
      <c r="B135" s="117">
        <v>1430</v>
      </c>
      <c r="C135" s="117">
        <v>1023</v>
      </c>
      <c r="D135" s="117">
        <v>2453</v>
      </c>
      <c r="E135" s="117">
        <v>373</v>
      </c>
      <c r="F135" s="117">
        <v>1832</v>
      </c>
      <c r="G135" s="117">
        <v>-11</v>
      </c>
      <c r="H135" s="117">
        <v>4647</v>
      </c>
      <c r="I135" s="117">
        <v>18396</v>
      </c>
      <c r="J135" s="117">
        <v>23043</v>
      </c>
      <c r="K135" s="117">
        <v>1610</v>
      </c>
      <c r="L135" s="125"/>
      <c r="M135" s="13"/>
      <c r="N135" s="13"/>
      <c r="O135" s="13"/>
      <c r="P135" s="13"/>
      <c r="Q135" s="13"/>
      <c r="R135" s="13"/>
      <c r="S135" s="13"/>
      <c r="T135" s="13"/>
      <c r="U135" s="13"/>
      <c r="V135" s="13"/>
    </row>
    <row r="136" spans="1:22" s="108" customFormat="1" ht="12.75" customHeight="1" x14ac:dyDescent="0.2">
      <c r="A136" s="110">
        <v>40422</v>
      </c>
      <c r="B136" s="117">
        <v>1590</v>
      </c>
      <c r="C136" s="117">
        <v>1224</v>
      </c>
      <c r="D136" s="117">
        <v>2814</v>
      </c>
      <c r="E136" s="117">
        <v>367</v>
      </c>
      <c r="F136" s="117">
        <v>1804</v>
      </c>
      <c r="G136" s="117">
        <v>-15</v>
      </c>
      <c r="H136" s="117">
        <v>4970</v>
      </c>
      <c r="I136" s="117">
        <v>18144</v>
      </c>
      <c r="J136" s="117">
        <v>23114</v>
      </c>
      <c r="K136" s="117">
        <v>1929</v>
      </c>
      <c r="L136" s="125"/>
      <c r="M136" s="13"/>
      <c r="N136" s="13"/>
      <c r="O136" s="13"/>
      <c r="P136" s="13"/>
      <c r="Q136" s="13"/>
      <c r="R136" s="13"/>
      <c r="S136" s="13"/>
      <c r="T136" s="13"/>
      <c r="U136" s="13"/>
      <c r="V136" s="13"/>
    </row>
    <row r="137" spans="1:22" s="108" customFormat="1" ht="12.75" customHeight="1" x14ac:dyDescent="0.2">
      <c r="A137" s="110">
        <v>40452</v>
      </c>
      <c r="B137" s="117">
        <v>1350</v>
      </c>
      <c r="C137" s="117">
        <v>1330</v>
      </c>
      <c r="D137" s="117">
        <v>2680</v>
      </c>
      <c r="E137" s="117">
        <v>363</v>
      </c>
      <c r="F137" s="117">
        <v>1787</v>
      </c>
      <c r="G137" s="117">
        <v>-12</v>
      </c>
      <c r="H137" s="117">
        <v>4818</v>
      </c>
      <c r="I137" s="117">
        <v>16150</v>
      </c>
      <c r="J137" s="117">
        <v>20968</v>
      </c>
      <c r="K137" s="117">
        <v>2437</v>
      </c>
      <c r="L137" s="125"/>
      <c r="M137" s="13"/>
      <c r="N137" s="13"/>
      <c r="O137" s="13"/>
      <c r="P137" s="13"/>
      <c r="Q137" s="13"/>
      <c r="R137" s="13"/>
      <c r="S137" s="13"/>
      <c r="T137" s="13"/>
      <c r="U137" s="13"/>
      <c r="V137" s="13"/>
    </row>
    <row r="138" spans="1:22" s="108" customFormat="1" ht="12.75" customHeight="1" x14ac:dyDescent="0.2">
      <c r="A138" s="110">
        <v>40483</v>
      </c>
      <c r="B138" s="117">
        <v>1320</v>
      </c>
      <c r="C138" s="117">
        <v>1705</v>
      </c>
      <c r="D138" s="117">
        <v>3025</v>
      </c>
      <c r="E138" s="117">
        <v>363</v>
      </c>
      <c r="F138" s="117">
        <v>1752</v>
      </c>
      <c r="G138" s="117">
        <v>-12</v>
      </c>
      <c r="H138" s="117">
        <v>5128</v>
      </c>
      <c r="I138" s="117">
        <v>17097</v>
      </c>
      <c r="J138" s="117">
        <v>22225</v>
      </c>
      <c r="K138" s="117">
        <v>2542</v>
      </c>
      <c r="L138" s="125"/>
      <c r="M138" s="13"/>
      <c r="N138" s="13"/>
      <c r="O138" s="13"/>
      <c r="P138" s="13"/>
      <c r="Q138" s="13"/>
      <c r="R138" s="13"/>
      <c r="S138" s="13"/>
      <c r="T138" s="13"/>
      <c r="U138" s="13"/>
      <c r="V138" s="13"/>
    </row>
    <row r="139" spans="1:22" s="108" customFormat="1" ht="12.75" customHeight="1" x14ac:dyDescent="0.2">
      <c r="A139" s="110">
        <v>40513</v>
      </c>
      <c r="B139" s="117">
        <v>1295</v>
      </c>
      <c r="C139" s="117">
        <v>1520</v>
      </c>
      <c r="D139" s="117">
        <v>2815</v>
      </c>
      <c r="E139" s="117">
        <v>355</v>
      </c>
      <c r="F139" s="117">
        <v>1711</v>
      </c>
      <c r="G139" s="117">
        <v>-14</v>
      </c>
      <c r="H139" s="117">
        <v>4867</v>
      </c>
      <c r="I139" s="117">
        <v>16837</v>
      </c>
      <c r="J139" s="117">
        <v>21704</v>
      </c>
      <c r="K139" s="117">
        <v>2673</v>
      </c>
      <c r="L139" s="125"/>
      <c r="M139" s="13"/>
      <c r="N139" s="13"/>
      <c r="O139" s="13"/>
      <c r="P139" s="13"/>
      <c r="Q139" s="13"/>
      <c r="R139" s="13"/>
      <c r="S139" s="13"/>
      <c r="T139" s="13"/>
      <c r="U139" s="13"/>
      <c r="V139" s="13"/>
    </row>
    <row r="140" spans="1:22" s="108" customFormat="1" ht="12.75" customHeight="1" x14ac:dyDescent="0.2">
      <c r="A140" s="110">
        <v>40544</v>
      </c>
      <c r="B140" s="117">
        <v>1252</v>
      </c>
      <c r="C140" s="117">
        <v>1237</v>
      </c>
      <c r="D140" s="117">
        <v>2489</v>
      </c>
      <c r="E140" s="117">
        <v>469</v>
      </c>
      <c r="F140" s="117">
        <v>1728</v>
      </c>
      <c r="G140" s="117">
        <v>-12</v>
      </c>
      <c r="H140" s="117">
        <v>4674</v>
      </c>
      <c r="I140" s="117">
        <v>19279</v>
      </c>
      <c r="J140" s="117">
        <v>23953</v>
      </c>
      <c r="K140" s="117">
        <v>2490</v>
      </c>
      <c r="L140" s="125"/>
      <c r="M140" s="13"/>
      <c r="N140" s="13"/>
      <c r="O140" s="13"/>
      <c r="P140" s="13"/>
      <c r="Q140" s="13"/>
      <c r="R140" s="13"/>
      <c r="S140" s="13"/>
      <c r="T140" s="13"/>
      <c r="U140" s="13"/>
      <c r="V140" s="13"/>
    </row>
    <row r="141" spans="1:22" s="108" customFormat="1" ht="12.75" customHeight="1" x14ac:dyDescent="0.2">
      <c r="A141" s="110">
        <v>40575</v>
      </c>
      <c r="B141" s="117">
        <v>1277</v>
      </c>
      <c r="C141" s="117">
        <v>797</v>
      </c>
      <c r="D141" s="117">
        <v>2074</v>
      </c>
      <c r="E141" s="117">
        <v>485</v>
      </c>
      <c r="F141" s="117">
        <v>1785</v>
      </c>
      <c r="G141" s="117">
        <v>-17</v>
      </c>
      <c r="H141" s="117">
        <v>4327</v>
      </c>
      <c r="I141" s="117">
        <v>19166</v>
      </c>
      <c r="J141" s="117">
        <v>23493</v>
      </c>
      <c r="K141" s="117">
        <v>2017</v>
      </c>
      <c r="L141" s="125"/>
      <c r="M141" s="13"/>
      <c r="N141" s="13"/>
      <c r="O141" s="13"/>
      <c r="P141" s="13"/>
      <c r="Q141" s="13"/>
      <c r="R141" s="13"/>
      <c r="S141" s="13"/>
      <c r="T141" s="13"/>
      <c r="U141" s="13"/>
      <c r="V141" s="13"/>
    </row>
    <row r="142" spans="1:22" s="108" customFormat="1" ht="12.75" customHeight="1" x14ac:dyDescent="0.2">
      <c r="A142" s="110">
        <v>40603</v>
      </c>
      <c r="B142" s="117">
        <v>1263</v>
      </c>
      <c r="C142" s="117">
        <v>1177</v>
      </c>
      <c r="D142" s="117">
        <v>2440</v>
      </c>
      <c r="E142" s="117">
        <v>483</v>
      </c>
      <c r="F142" s="117">
        <v>1778</v>
      </c>
      <c r="G142" s="117">
        <v>-18</v>
      </c>
      <c r="H142" s="117">
        <v>4683</v>
      </c>
      <c r="I142" s="117">
        <v>20055</v>
      </c>
      <c r="J142" s="117">
        <v>24738</v>
      </c>
      <c r="K142" s="117">
        <v>2306</v>
      </c>
      <c r="L142" s="125"/>
      <c r="M142" s="13"/>
      <c r="N142" s="13"/>
      <c r="O142" s="13"/>
      <c r="P142" s="13"/>
      <c r="Q142" s="13"/>
      <c r="R142" s="13"/>
      <c r="S142" s="13"/>
      <c r="T142" s="13"/>
      <c r="U142" s="13"/>
      <c r="V142" s="13"/>
    </row>
    <row r="143" spans="1:22" s="108" customFormat="1" ht="12.75" customHeight="1" x14ac:dyDescent="0.2">
      <c r="A143" s="110">
        <v>40634</v>
      </c>
      <c r="B143" s="117">
        <v>1218</v>
      </c>
      <c r="C143" s="117">
        <v>1499</v>
      </c>
      <c r="D143" s="117">
        <v>2717</v>
      </c>
      <c r="E143" s="117">
        <v>469</v>
      </c>
      <c r="F143" s="117">
        <v>1729</v>
      </c>
      <c r="G143" s="117">
        <v>-17</v>
      </c>
      <c r="H143" s="117">
        <v>4898</v>
      </c>
      <c r="I143" s="117">
        <v>20346</v>
      </c>
      <c r="J143" s="117">
        <v>25244</v>
      </c>
      <c r="K143" s="117">
        <v>2866</v>
      </c>
      <c r="L143" s="125"/>
      <c r="M143" s="13"/>
      <c r="N143" s="13"/>
      <c r="O143" s="13"/>
      <c r="P143" s="13"/>
      <c r="Q143" s="13"/>
      <c r="R143" s="13"/>
      <c r="S143" s="13"/>
      <c r="T143" s="13"/>
      <c r="U143" s="13"/>
      <c r="V143" s="13"/>
    </row>
    <row r="144" spans="1:22" s="108" customFormat="1" ht="12.75" customHeight="1" x14ac:dyDescent="0.2">
      <c r="A144" s="110">
        <v>40664</v>
      </c>
      <c r="B144" s="117">
        <v>1165</v>
      </c>
      <c r="C144" s="117">
        <v>1844</v>
      </c>
      <c r="D144" s="117">
        <v>3009</v>
      </c>
      <c r="E144" s="117">
        <v>513</v>
      </c>
      <c r="F144" s="117">
        <v>1660</v>
      </c>
      <c r="G144" s="117">
        <v>-12</v>
      </c>
      <c r="H144" s="117">
        <v>5170</v>
      </c>
      <c r="I144" s="117">
        <v>21288</v>
      </c>
      <c r="J144" s="117">
        <v>26458</v>
      </c>
      <c r="K144" s="117">
        <v>3342</v>
      </c>
      <c r="L144" s="125"/>
      <c r="M144" s="13"/>
      <c r="N144" s="13"/>
      <c r="O144" s="13"/>
      <c r="P144" s="13"/>
      <c r="Q144" s="13"/>
      <c r="R144" s="13"/>
      <c r="S144" s="13"/>
      <c r="T144" s="13"/>
      <c r="U144" s="13"/>
      <c r="V144" s="13"/>
    </row>
    <row r="145" spans="1:22" s="108" customFormat="1" ht="12.75" customHeight="1" x14ac:dyDescent="0.2">
      <c r="A145" s="110">
        <v>40695</v>
      </c>
      <c r="B145" s="117">
        <v>1114</v>
      </c>
      <c r="C145" s="117">
        <v>1373</v>
      </c>
      <c r="D145" s="117">
        <v>2487</v>
      </c>
      <c r="E145" s="117">
        <v>510</v>
      </c>
      <c r="F145" s="117">
        <v>1650</v>
      </c>
      <c r="G145" s="117">
        <v>-12</v>
      </c>
      <c r="H145" s="117">
        <v>4635</v>
      </c>
      <c r="I145" s="117">
        <v>21795</v>
      </c>
      <c r="J145" s="117">
        <v>26430</v>
      </c>
      <c r="K145" s="117">
        <v>3273</v>
      </c>
      <c r="L145" s="125"/>
      <c r="M145" s="13"/>
      <c r="N145" s="13"/>
      <c r="O145" s="13"/>
      <c r="P145" s="13"/>
      <c r="Q145" s="13"/>
      <c r="R145" s="13"/>
      <c r="S145" s="13"/>
      <c r="T145" s="13"/>
      <c r="U145" s="13"/>
      <c r="V145" s="13"/>
    </row>
    <row r="146" spans="1:22" s="108" customFormat="1" ht="12.75" customHeight="1" x14ac:dyDescent="0.2">
      <c r="A146" s="110">
        <v>40725</v>
      </c>
      <c r="B146" s="117">
        <v>1243</v>
      </c>
      <c r="C146" s="117">
        <v>2165</v>
      </c>
      <c r="D146" s="117">
        <v>3408</v>
      </c>
      <c r="E146" s="117">
        <v>517</v>
      </c>
      <c r="F146" s="117">
        <v>1570</v>
      </c>
      <c r="G146" s="117">
        <v>-11</v>
      </c>
      <c r="H146" s="117">
        <v>5484</v>
      </c>
      <c r="I146" s="117">
        <v>19322</v>
      </c>
      <c r="J146" s="117">
        <v>24806</v>
      </c>
      <c r="K146" s="117">
        <v>3708</v>
      </c>
      <c r="L146" s="125"/>
      <c r="M146" s="13"/>
      <c r="N146" s="13"/>
      <c r="O146" s="13"/>
      <c r="P146" s="13"/>
      <c r="Q146" s="13"/>
      <c r="R146" s="13"/>
      <c r="S146" s="13"/>
      <c r="T146" s="13"/>
      <c r="U146" s="13"/>
      <c r="V146" s="13"/>
    </row>
    <row r="147" spans="1:22" s="108" customFormat="1" ht="12.75" customHeight="1" x14ac:dyDescent="0.2">
      <c r="A147" s="110">
        <v>40756</v>
      </c>
      <c r="B147" s="117">
        <v>1147</v>
      </c>
      <c r="C147" s="117">
        <v>1742</v>
      </c>
      <c r="D147" s="117">
        <v>2889</v>
      </c>
      <c r="E147" s="117">
        <v>527</v>
      </c>
      <c r="F147" s="117">
        <v>1601</v>
      </c>
      <c r="G147" s="117">
        <v>-5</v>
      </c>
      <c r="H147" s="117">
        <v>5012</v>
      </c>
      <c r="I147" s="117">
        <v>19032</v>
      </c>
      <c r="J147" s="117">
        <v>24044</v>
      </c>
      <c r="K147" s="117">
        <v>3434</v>
      </c>
      <c r="L147" s="125"/>
      <c r="M147" s="13"/>
      <c r="N147" s="13"/>
      <c r="O147" s="13"/>
      <c r="P147" s="13"/>
      <c r="Q147" s="13"/>
      <c r="R147" s="13"/>
      <c r="S147" s="13"/>
      <c r="T147" s="13"/>
      <c r="U147" s="13"/>
      <c r="V147" s="13"/>
    </row>
    <row r="148" spans="1:22" s="108" customFormat="1" ht="12.75" customHeight="1" x14ac:dyDescent="0.2">
      <c r="A148" s="110">
        <v>40787</v>
      </c>
      <c r="B148" s="117">
        <v>1039</v>
      </c>
      <c r="C148" s="117">
        <v>1344</v>
      </c>
      <c r="D148" s="117">
        <v>2383</v>
      </c>
      <c r="E148" s="117">
        <v>615</v>
      </c>
      <c r="F148" s="117">
        <v>1688</v>
      </c>
      <c r="G148" s="117">
        <v>-7</v>
      </c>
      <c r="H148" s="117">
        <v>4679</v>
      </c>
      <c r="I148" s="117">
        <v>22035</v>
      </c>
      <c r="J148" s="117">
        <v>26714</v>
      </c>
      <c r="K148" s="117">
        <v>2234</v>
      </c>
      <c r="L148" s="125"/>
      <c r="M148" s="13"/>
      <c r="N148" s="13"/>
      <c r="O148" s="13"/>
      <c r="P148" s="13"/>
      <c r="Q148" s="13"/>
      <c r="R148" s="13"/>
      <c r="S148" s="13"/>
      <c r="T148" s="13"/>
      <c r="U148" s="13"/>
      <c r="V148" s="13"/>
    </row>
    <row r="149" spans="1:22" s="108" customFormat="1" ht="12.75" customHeight="1" x14ac:dyDescent="0.2">
      <c r="A149" s="110">
        <v>40817</v>
      </c>
      <c r="B149" s="117">
        <v>1075</v>
      </c>
      <c r="C149" s="117">
        <v>1510</v>
      </c>
      <c r="D149" s="117">
        <v>2585</v>
      </c>
      <c r="E149" s="117">
        <v>586</v>
      </c>
      <c r="F149" s="117">
        <v>1610</v>
      </c>
      <c r="G149" s="117">
        <v>-6</v>
      </c>
      <c r="H149" s="117">
        <v>4775</v>
      </c>
      <c r="I149" s="117">
        <v>22069</v>
      </c>
      <c r="J149" s="117">
        <v>26844</v>
      </c>
      <c r="K149" s="117">
        <v>2794</v>
      </c>
      <c r="L149" s="125"/>
      <c r="M149" s="13"/>
      <c r="N149" s="13"/>
      <c r="O149" s="13"/>
      <c r="P149" s="13"/>
      <c r="Q149" s="13"/>
      <c r="R149" s="13"/>
      <c r="S149" s="13"/>
      <c r="T149" s="13"/>
      <c r="U149" s="13"/>
      <c r="V149" s="13"/>
    </row>
    <row r="150" spans="1:22" s="108" customFormat="1" ht="12.75" customHeight="1" x14ac:dyDescent="0.2">
      <c r="A150" s="110">
        <v>40848</v>
      </c>
      <c r="B150" s="117">
        <v>1089</v>
      </c>
      <c r="C150" s="117">
        <v>850</v>
      </c>
      <c r="D150" s="117">
        <v>1939</v>
      </c>
      <c r="E150" s="117">
        <v>613</v>
      </c>
      <c r="F150" s="117">
        <v>1682</v>
      </c>
      <c r="G150" s="117">
        <v>-8</v>
      </c>
      <c r="H150" s="117">
        <v>4226</v>
      </c>
      <c r="I150" s="117">
        <v>21592</v>
      </c>
      <c r="J150" s="117">
        <v>25818</v>
      </c>
      <c r="K150" s="117">
        <v>2203</v>
      </c>
      <c r="L150" s="125"/>
      <c r="M150" s="13"/>
      <c r="N150" s="13"/>
      <c r="O150" s="13"/>
      <c r="P150" s="13"/>
      <c r="Q150" s="13"/>
      <c r="R150" s="13"/>
      <c r="S150" s="13"/>
      <c r="T150" s="13"/>
      <c r="U150" s="13"/>
      <c r="V150" s="13"/>
    </row>
    <row r="151" spans="1:22" s="108" customFormat="1" ht="12.75" customHeight="1" x14ac:dyDescent="0.2">
      <c r="A151" s="110">
        <v>40878</v>
      </c>
      <c r="B151" s="117">
        <v>1066</v>
      </c>
      <c r="C151" s="117">
        <v>1056</v>
      </c>
      <c r="D151" s="117">
        <v>2122</v>
      </c>
      <c r="E151" s="117">
        <v>646</v>
      </c>
      <c r="F151" s="117">
        <v>1648</v>
      </c>
      <c r="G151" s="117">
        <v>-8</v>
      </c>
      <c r="H151" s="117">
        <v>4409</v>
      </c>
      <c r="I151" s="117">
        <v>17647</v>
      </c>
      <c r="J151" s="117">
        <v>22056</v>
      </c>
      <c r="K151" s="117">
        <v>2283</v>
      </c>
      <c r="L151" s="125"/>
      <c r="M151" s="13"/>
      <c r="N151" s="13"/>
      <c r="O151" s="13"/>
      <c r="P151" s="13"/>
      <c r="Q151" s="13"/>
      <c r="R151" s="13"/>
      <c r="S151" s="13"/>
      <c r="T151" s="13"/>
      <c r="U151" s="13"/>
      <c r="V151" s="13"/>
    </row>
    <row r="152" spans="1:22" s="108" customFormat="1" ht="12.75" customHeight="1" x14ac:dyDescent="0.2">
      <c r="A152" s="110">
        <v>40909</v>
      </c>
      <c r="B152" s="117">
        <v>960</v>
      </c>
      <c r="C152" s="117">
        <v>1307</v>
      </c>
      <c r="D152" s="117">
        <v>2267</v>
      </c>
      <c r="E152" s="117">
        <v>613</v>
      </c>
      <c r="F152" s="117">
        <v>1551</v>
      </c>
      <c r="G152" s="117">
        <v>-8</v>
      </c>
      <c r="H152" s="117">
        <v>4423</v>
      </c>
      <c r="I152" s="117">
        <v>18296</v>
      </c>
      <c r="J152" s="117">
        <v>22719</v>
      </c>
      <c r="K152" s="117">
        <v>2822</v>
      </c>
      <c r="L152" s="125"/>
      <c r="M152" s="13"/>
      <c r="N152" s="13"/>
      <c r="O152" s="13"/>
      <c r="P152" s="13"/>
      <c r="Q152" s="13"/>
      <c r="R152" s="13"/>
      <c r="S152" s="13"/>
      <c r="T152" s="13"/>
      <c r="U152" s="13"/>
      <c r="V152" s="13"/>
    </row>
    <row r="153" spans="1:22" s="108" customFormat="1" ht="12.75" customHeight="1" x14ac:dyDescent="0.2">
      <c r="A153" s="110">
        <v>40940</v>
      </c>
      <c r="B153" s="117">
        <v>818</v>
      </c>
      <c r="C153" s="117">
        <v>1384</v>
      </c>
      <c r="D153" s="117">
        <v>2202</v>
      </c>
      <c r="E153" s="117">
        <v>601</v>
      </c>
      <c r="F153" s="117">
        <v>1521</v>
      </c>
      <c r="G153" s="117">
        <v>-6</v>
      </c>
      <c r="H153" s="117">
        <v>4318</v>
      </c>
      <c r="I153" s="117">
        <v>18788</v>
      </c>
      <c r="J153" s="117">
        <v>23106</v>
      </c>
      <c r="K153" s="117">
        <v>2949</v>
      </c>
      <c r="L153" s="125"/>
      <c r="M153" s="13"/>
      <c r="N153" s="13"/>
      <c r="O153" s="13"/>
      <c r="P153" s="13"/>
      <c r="Q153" s="13"/>
      <c r="R153" s="13"/>
      <c r="S153" s="13"/>
      <c r="T153" s="13"/>
      <c r="U153" s="13"/>
      <c r="V153" s="13"/>
    </row>
    <row r="154" spans="1:22" s="108" customFormat="1" ht="12.75" customHeight="1" x14ac:dyDescent="0.2">
      <c r="A154" s="110">
        <v>40969</v>
      </c>
      <c r="B154" s="117">
        <v>784</v>
      </c>
      <c r="C154" s="117">
        <v>1381</v>
      </c>
      <c r="D154" s="117">
        <v>2165</v>
      </c>
      <c r="E154" s="117">
        <v>625</v>
      </c>
      <c r="F154" s="117">
        <v>1557</v>
      </c>
      <c r="G154" s="117">
        <v>-6</v>
      </c>
      <c r="H154" s="117">
        <v>4341</v>
      </c>
      <c r="I154" s="117">
        <v>19121</v>
      </c>
      <c r="J154" s="117">
        <v>23462</v>
      </c>
      <c r="K154" s="117">
        <v>2765</v>
      </c>
      <c r="L154" s="125"/>
      <c r="M154" s="13"/>
      <c r="N154" s="13"/>
      <c r="O154" s="13"/>
      <c r="P154" s="13"/>
      <c r="Q154" s="13"/>
      <c r="R154" s="13"/>
      <c r="S154" s="13"/>
      <c r="T154" s="13"/>
      <c r="U154" s="13"/>
      <c r="V154" s="13"/>
    </row>
    <row r="155" spans="1:22" s="108" customFormat="1" ht="12.75" customHeight="1" x14ac:dyDescent="0.2">
      <c r="A155" s="110">
        <v>41000</v>
      </c>
      <c r="B155" s="117">
        <v>1403</v>
      </c>
      <c r="C155" s="117">
        <v>848</v>
      </c>
      <c r="D155" s="117">
        <v>2251</v>
      </c>
      <c r="E155" s="117">
        <v>653</v>
      </c>
      <c r="F155" s="117">
        <v>1553</v>
      </c>
      <c r="G155" s="117">
        <v>-5</v>
      </c>
      <c r="H155" s="117">
        <v>4452</v>
      </c>
      <c r="I155" s="117">
        <v>19069</v>
      </c>
      <c r="J155" s="117">
        <v>23521</v>
      </c>
      <c r="K155" s="117">
        <v>2385</v>
      </c>
      <c r="L155" s="125"/>
      <c r="M155" s="13"/>
      <c r="N155" s="13"/>
      <c r="O155" s="13"/>
      <c r="P155" s="13"/>
      <c r="Q155" s="13"/>
      <c r="R155" s="13"/>
      <c r="S155" s="13"/>
      <c r="T155" s="13"/>
      <c r="U155" s="13"/>
      <c r="V155" s="13"/>
    </row>
    <row r="156" spans="1:22" s="108" customFormat="1" ht="12.75" customHeight="1" x14ac:dyDescent="0.2">
      <c r="A156" s="110">
        <v>41030</v>
      </c>
      <c r="B156" s="117">
        <v>3231</v>
      </c>
      <c r="C156" s="117">
        <v>716</v>
      </c>
      <c r="D156" s="117">
        <v>3947</v>
      </c>
      <c r="E156" s="117">
        <v>693</v>
      </c>
      <c r="F156" s="117">
        <v>1649</v>
      </c>
      <c r="G156" s="117">
        <v>-7</v>
      </c>
      <c r="H156" s="117">
        <v>6282</v>
      </c>
      <c r="I156" s="117">
        <v>21955</v>
      </c>
      <c r="J156" s="117">
        <v>28237</v>
      </c>
      <c r="K156" s="117">
        <v>1301</v>
      </c>
      <c r="L156" s="125"/>
      <c r="M156" s="13"/>
      <c r="N156" s="13"/>
      <c r="O156" s="13"/>
      <c r="P156" s="13"/>
      <c r="Q156" s="13"/>
      <c r="R156" s="13"/>
      <c r="S156" s="13"/>
      <c r="T156" s="13"/>
      <c r="U156" s="13"/>
      <c r="V156" s="13"/>
    </row>
    <row r="157" spans="1:22" s="108" customFormat="1" ht="12.75" customHeight="1" x14ac:dyDescent="0.2">
      <c r="A157" s="110">
        <v>41061</v>
      </c>
      <c r="B157" s="117">
        <v>2960</v>
      </c>
      <c r="C157" s="117">
        <v>900</v>
      </c>
      <c r="D157" s="117">
        <v>3860</v>
      </c>
      <c r="E157" s="117">
        <v>663</v>
      </c>
      <c r="F157" s="117">
        <v>1578</v>
      </c>
      <c r="G157" s="117">
        <v>-7</v>
      </c>
      <c r="H157" s="117">
        <v>6094</v>
      </c>
      <c r="I157" s="117">
        <v>19305</v>
      </c>
      <c r="J157" s="117">
        <v>25399</v>
      </c>
      <c r="K157" s="117">
        <v>1892</v>
      </c>
      <c r="L157" s="125"/>
      <c r="M157" s="13"/>
      <c r="N157" s="13"/>
      <c r="O157" s="13"/>
      <c r="P157" s="13"/>
      <c r="Q157" s="13"/>
      <c r="R157" s="13"/>
      <c r="S157" s="13"/>
      <c r="T157" s="13"/>
      <c r="U157" s="13"/>
      <c r="V157" s="13"/>
    </row>
    <row r="158" spans="1:22" s="108" customFormat="1" ht="12.75" customHeight="1" x14ac:dyDescent="0.2">
      <c r="A158" s="110">
        <v>41091</v>
      </c>
      <c r="B158" s="117">
        <v>2834</v>
      </c>
      <c r="C158" s="117">
        <v>974</v>
      </c>
      <c r="D158" s="117">
        <v>3808</v>
      </c>
      <c r="E158" s="117">
        <v>644</v>
      </c>
      <c r="F158" s="117">
        <v>1523</v>
      </c>
      <c r="G158" s="117">
        <v>-8</v>
      </c>
      <c r="H158" s="117">
        <v>5967</v>
      </c>
      <c r="I158" s="117">
        <v>16685</v>
      </c>
      <c r="J158" s="117">
        <v>22652</v>
      </c>
      <c r="K158" s="117">
        <v>2106</v>
      </c>
      <c r="L158" s="125"/>
      <c r="M158" s="13"/>
      <c r="N158" s="13"/>
      <c r="O158" s="13"/>
      <c r="P158" s="13"/>
      <c r="Q158" s="13"/>
      <c r="R158" s="13"/>
      <c r="S158" s="13"/>
      <c r="T158" s="13"/>
      <c r="U158" s="13"/>
      <c r="V158" s="13"/>
    </row>
    <row r="159" spans="1:22" s="12" customFormat="1" ht="12.75" customHeight="1" x14ac:dyDescent="0.2">
      <c r="A159" s="110">
        <v>41122</v>
      </c>
      <c r="B159" s="117">
        <v>3190</v>
      </c>
      <c r="C159" s="117">
        <v>598</v>
      </c>
      <c r="D159" s="117">
        <v>3788</v>
      </c>
      <c r="E159" s="117">
        <v>664</v>
      </c>
      <c r="F159" s="117">
        <v>1555</v>
      </c>
      <c r="G159" s="117">
        <v>-8</v>
      </c>
      <c r="H159" s="117">
        <v>5999</v>
      </c>
      <c r="I159" s="117">
        <v>16182</v>
      </c>
      <c r="J159" s="117">
        <v>22181</v>
      </c>
      <c r="K159" s="117">
        <v>1950</v>
      </c>
      <c r="L159" s="125"/>
      <c r="M159" s="13"/>
      <c r="N159" s="13"/>
      <c r="O159" s="13"/>
      <c r="P159" s="13"/>
      <c r="Q159" s="13"/>
      <c r="R159" s="13"/>
      <c r="S159" s="13"/>
      <c r="T159" s="13"/>
      <c r="U159" s="13"/>
      <c r="V159" s="13"/>
    </row>
    <row r="160" spans="1:22" s="12" customFormat="1" ht="12.75" customHeight="1" x14ac:dyDescent="0.2">
      <c r="A160" s="110">
        <v>41153</v>
      </c>
      <c r="B160" s="117">
        <v>2686</v>
      </c>
      <c r="C160" s="117">
        <v>811</v>
      </c>
      <c r="D160" s="117">
        <v>3497</v>
      </c>
      <c r="E160" s="117">
        <v>647</v>
      </c>
      <c r="F160" s="117">
        <v>1514</v>
      </c>
      <c r="G160" s="117">
        <v>-6</v>
      </c>
      <c r="H160" s="117">
        <v>5652</v>
      </c>
      <c r="I160" s="117">
        <v>16378</v>
      </c>
      <c r="J160" s="117">
        <v>22030</v>
      </c>
      <c r="K160" s="117">
        <v>2298</v>
      </c>
      <c r="L160" s="122"/>
      <c r="M160" s="13"/>
      <c r="N160" s="13"/>
      <c r="O160" s="13"/>
      <c r="P160" s="13"/>
      <c r="Q160" s="13"/>
      <c r="R160" s="13"/>
      <c r="S160" s="13"/>
      <c r="T160" s="13"/>
      <c r="U160" s="13"/>
      <c r="V160" s="13"/>
    </row>
    <row r="161" spans="1:30" s="12" customFormat="1" ht="12.75" customHeight="1" x14ac:dyDescent="0.2">
      <c r="A161" s="110">
        <v>41183</v>
      </c>
      <c r="B161" s="117">
        <v>2845</v>
      </c>
      <c r="C161" s="117">
        <v>830</v>
      </c>
      <c r="D161" s="117">
        <v>3675</v>
      </c>
      <c r="E161" s="117">
        <v>655</v>
      </c>
      <c r="F161" s="117">
        <v>1532</v>
      </c>
      <c r="G161" s="117">
        <v>-5</v>
      </c>
      <c r="H161" s="117">
        <v>5857</v>
      </c>
      <c r="I161" s="117">
        <v>17944</v>
      </c>
      <c r="J161" s="117">
        <v>23801</v>
      </c>
      <c r="K161" s="117">
        <v>2126</v>
      </c>
      <c r="L161" s="122"/>
      <c r="M161" s="13"/>
      <c r="N161" s="13"/>
      <c r="O161" s="13"/>
      <c r="P161" s="13"/>
      <c r="Q161" s="13"/>
      <c r="R161" s="13"/>
      <c r="S161" s="13"/>
      <c r="T161" s="13"/>
      <c r="U161" s="13"/>
      <c r="V161" s="13"/>
    </row>
    <row r="162" spans="1:30" s="11" customFormat="1" ht="12.75" customHeight="1" x14ac:dyDescent="0.2">
      <c r="A162" s="110">
        <v>41214</v>
      </c>
      <c r="B162" s="117">
        <v>2792</v>
      </c>
      <c r="C162" s="117">
        <v>959</v>
      </c>
      <c r="D162" s="117">
        <v>3751</v>
      </c>
      <c r="E162" s="117">
        <v>664</v>
      </c>
      <c r="F162" s="117">
        <v>1526</v>
      </c>
      <c r="G162" s="117">
        <v>-5</v>
      </c>
      <c r="H162" s="117">
        <v>5936</v>
      </c>
      <c r="I162" s="117">
        <v>17941</v>
      </c>
      <c r="J162" s="117">
        <v>23877</v>
      </c>
      <c r="K162" s="117">
        <v>2093</v>
      </c>
      <c r="L162" s="106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</row>
    <row r="163" spans="1:30" s="11" customFormat="1" ht="12.75" customHeight="1" x14ac:dyDescent="0.2">
      <c r="A163" s="110">
        <v>41244</v>
      </c>
      <c r="B163" s="117">
        <v>2963</v>
      </c>
      <c r="C163" s="117">
        <v>921</v>
      </c>
      <c r="D163" s="117">
        <v>3884</v>
      </c>
      <c r="E163" s="117">
        <v>666</v>
      </c>
      <c r="F163" s="117">
        <v>1532</v>
      </c>
      <c r="G163" s="117">
        <v>-5</v>
      </c>
      <c r="H163" s="117">
        <v>6077</v>
      </c>
      <c r="I163" s="117">
        <v>15357</v>
      </c>
      <c r="J163" s="117">
        <v>21434</v>
      </c>
      <c r="K163" s="117">
        <v>2159</v>
      </c>
      <c r="L163" s="106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</row>
    <row r="164" spans="1:30" s="11" customFormat="1" ht="12.75" customHeight="1" x14ac:dyDescent="0.2">
      <c r="A164" s="110">
        <v>41275</v>
      </c>
      <c r="B164" s="117">
        <v>3446</v>
      </c>
      <c r="C164" s="117">
        <v>1003</v>
      </c>
      <c r="D164" s="117">
        <v>4449</v>
      </c>
      <c r="E164" s="117">
        <v>664</v>
      </c>
      <c r="F164" s="117">
        <v>1500</v>
      </c>
      <c r="G164" s="117">
        <v>-5</v>
      </c>
      <c r="H164" s="117">
        <v>6608</v>
      </c>
      <c r="I164" s="117">
        <v>18997</v>
      </c>
      <c r="J164" s="117">
        <v>25605</v>
      </c>
      <c r="K164" s="117">
        <v>2236</v>
      </c>
      <c r="L164" s="106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</row>
    <row r="165" spans="1:30" s="11" customFormat="1" ht="12.75" customHeight="1" x14ac:dyDescent="0.2">
      <c r="A165" s="110">
        <v>41306</v>
      </c>
      <c r="B165" s="117">
        <v>3266</v>
      </c>
      <c r="C165" s="117">
        <v>894</v>
      </c>
      <c r="D165" s="117">
        <v>4160</v>
      </c>
      <c r="E165" s="117">
        <v>657</v>
      </c>
      <c r="F165" s="117">
        <v>1484</v>
      </c>
      <c r="G165" s="117">
        <v>-4</v>
      </c>
      <c r="H165" s="117">
        <v>6297</v>
      </c>
      <c r="I165" s="117">
        <v>18878</v>
      </c>
      <c r="J165" s="117">
        <v>25175</v>
      </c>
      <c r="K165" s="117">
        <v>2190</v>
      </c>
      <c r="L165" s="106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 spans="1:30" s="11" customFormat="1" ht="12.75" customHeight="1" x14ac:dyDescent="0.2">
      <c r="A166" s="110">
        <v>41334</v>
      </c>
      <c r="B166" s="117">
        <v>2911</v>
      </c>
      <c r="C166" s="117">
        <v>2095</v>
      </c>
      <c r="D166" s="117">
        <v>5006</v>
      </c>
      <c r="E166" s="117">
        <v>644</v>
      </c>
      <c r="F166" s="117">
        <v>1418</v>
      </c>
      <c r="G166" s="117">
        <v>-5</v>
      </c>
      <c r="H166" s="117">
        <v>7063</v>
      </c>
      <c r="I166" s="117">
        <v>16765</v>
      </c>
      <c r="J166" s="117">
        <v>23828</v>
      </c>
      <c r="K166" s="117">
        <v>2391</v>
      </c>
      <c r="L166" s="106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 spans="1:30" s="11" customFormat="1" ht="12.75" customHeight="1" x14ac:dyDescent="0.2">
      <c r="A167" s="110">
        <v>41365</v>
      </c>
      <c r="B167" s="117">
        <v>313</v>
      </c>
      <c r="C167" s="117">
        <v>1221</v>
      </c>
      <c r="D167" s="117">
        <v>1534</v>
      </c>
      <c r="E167" s="117">
        <v>634</v>
      </c>
      <c r="F167" s="117">
        <v>1487</v>
      </c>
      <c r="G167" s="117">
        <v>-2</v>
      </c>
      <c r="H167" s="117">
        <v>3653</v>
      </c>
      <c r="I167" s="117">
        <v>15066</v>
      </c>
      <c r="J167" s="117">
        <v>18719</v>
      </c>
      <c r="K167" s="117">
        <v>2316</v>
      </c>
      <c r="L167" s="106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 spans="1:30" s="11" customFormat="1" ht="12.75" customHeight="1" x14ac:dyDescent="0.2">
      <c r="A168" s="110">
        <v>41395</v>
      </c>
      <c r="B168" s="117">
        <v>344</v>
      </c>
      <c r="C168" s="117">
        <v>911</v>
      </c>
      <c r="D168" s="117">
        <v>1255</v>
      </c>
      <c r="E168" s="117">
        <v>677</v>
      </c>
      <c r="F168" s="117">
        <v>1563</v>
      </c>
      <c r="G168" s="117">
        <v>-1</v>
      </c>
      <c r="H168" s="117">
        <v>3494</v>
      </c>
      <c r="I168" s="117">
        <v>18133</v>
      </c>
      <c r="J168" s="117">
        <v>21627</v>
      </c>
      <c r="K168" s="117">
        <v>1867</v>
      </c>
      <c r="L168" s="106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 spans="1:30" s="11" customFormat="1" ht="12.75" customHeight="1" x14ac:dyDescent="0.2">
      <c r="A169" s="110">
        <v>41426</v>
      </c>
      <c r="B169" s="117">
        <v>414</v>
      </c>
      <c r="C169" s="117">
        <v>628</v>
      </c>
      <c r="D169" s="117">
        <v>1042</v>
      </c>
      <c r="E169" s="117">
        <v>713</v>
      </c>
      <c r="F169" s="117">
        <v>1570</v>
      </c>
      <c r="G169" s="117">
        <v>-1</v>
      </c>
      <c r="H169" s="117">
        <v>3324</v>
      </c>
      <c r="I169" s="117">
        <v>19334</v>
      </c>
      <c r="J169" s="117">
        <v>22658</v>
      </c>
      <c r="K169" s="117">
        <v>1501</v>
      </c>
      <c r="L169" s="106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 spans="1:30" s="11" customFormat="1" ht="12.75" customHeight="1" x14ac:dyDescent="0.2">
      <c r="A170" s="110">
        <v>41456</v>
      </c>
      <c r="B170" s="117">
        <v>387</v>
      </c>
      <c r="C170" s="117">
        <v>933</v>
      </c>
      <c r="D170" s="117">
        <v>1320</v>
      </c>
      <c r="E170" s="117">
        <v>704</v>
      </c>
      <c r="F170" s="117">
        <v>1609</v>
      </c>
      <c r="G170" s="117">
        <v>2</v>
      </c>
      <c r="H170" s="117">
        <v>3635</v>
      </c>
      <c r="I170" s="117">
        <v>15333</v>
      </c>
      <c r="J170" s="117">
        <v>18968</v>
      </c>
      <c r="K170" s="117">
        <v>1841</v>
      </c>
      <c r="L170" s="106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 spans="1:30" s="11" customFormat="1" ht="12.75" customHeight="1" x14ac:dyDescent="0.2">
      <c r="A171" s="110">
        <v>41487</v>
      </c>
      <c r="B171" s="117">
        <v>386</v>
      </c>
      <c r="C171" s="117">
        <v>742</v>
      </c>
      <c r="D171" s="117">
        <v>1128</v>
      </c>
      <c r="E171" s="117">
        <v>724</v>
      </c>
      <c r="F171" s="117">
        <v>1658</v>
      </c>
      <c r="G171" s="117">
        <v>1</v>
      </c>
      <c r="H171" s="117">
        <v>3511</v>
      </c>
      <c r="I171" s="117">
        <v>16349</v>
      </c>
      <c r="J171" s="117">
        <v>19860</v>
      </c>
      <c r="K171" s="117">
        <v>1507</v>
      </c>
      <c r="L171" s="106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</row>
    <row r="172" spans="1:30" s="11" customFormat="1" ht="12.75" customHeight="1" x14ac:dyDescent="0.2">
      <c r="A172" s="110">
        <v>41518</v>
      </c>
      <c r="B172" s="117">
        <v>353</v>
      </c>
      <c r="C172" s="117">
        <v>973</v>
      </c>
      <c r="D172" s="117">
        <v>1326</v>
      </c>
      <c r="E172" s="117">
        <v>713</v>
      </c>
      <c r="F172" s="117">
        <v>1577</v>
      </c>
      <c r="G172" s="117">
        <v>2</v>
      </c>
      <c r="H172" s="117">
        <v>3618</v>
      </c>
      <c r="I172" s="117">
        <v>15573</v>
      </c>
      <c r="J172" s="117">
        <v>19191</v>
      </c>
      <c r="K172" s="117">
        <v>2033</v>
      </c>
      <c r="L172" s="106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 spans="1:30" s="14" customFormat="1" ht="12.75" customHeight="1" x14ac:dyDescent="0.2">
      <c r="A173" s="110">
        <v>41548</v>
      </c>
      <c r="B173" s="117">
        <v>600</v>
      </c>
      <c r="C173" s="117">
        <v>663</v>
      </c>
      <c r="D173" s="117">
        <v>1263</v>
      </c>
      <c r="E173" s="117">
        <v>714</v>
      </c>
      <c r="F173" s="117">
        <v>1581</v>
      </c>
      <c r="G173" s="117">
        <v>2</v>
      </c>
      <c r="H173" s="117">
        <v>3560</v>
      </c>
      <c r="I173" s="117">
        <v>18714</v>
      </c>
      <c r="J173" s="117">
        <v>22274</v>
      </c>
      <c r="K173" s="117">
        <v>1942</v>
      </c>
      <c r="L173" s="8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 spans="1:30" s="11" customFormat="1" ht="12.75" customHeight="1" x14ac:dyDescent="0.2">
      <c r="A174" s="110">
        <v>41579</v>
      </c>
      <c r="B174" s="117">
        <v>695</v>
      </c>
      <c r="C174" s="117">
        <v>664</v>
      </c>
      <c r="D174" s="117">
        <v>1359</v>
      </c>
      <c r="E174" s="117">
        <v>745</v>
      </c>
      <c r="F174" s="117">
        <v>1602</v>
      </c>
      <c r="G174" s="117">
        <v>4</v>
      </c>
      <c r="H174" s="117">
        <v>3710</v>
      </c>
      <c r="I174" s="117">
        <v>18952</v>
      </c>
      <c r="J174" s="117">
        <v>22662</v>
      </c>
      <c r="K174" s="117">
        <v>1637</v>
      </c>
      <c r="L174" s="106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 spans="1:30" s="11" customFormat="1" ht="12.75" customHeight="1" x14ac:dyDescent="0.2">
      <c r="A175" s="110">
        <v>41609</v>
      </c>
      <c r="B175" s="117">
        <v>535</v>
      </c>
      <c r="C175" s="117">
        <v>770</v>
      </c>
      <c r="D175" s="117">
        <v>1305</v>
      </c>
      <c r="E175" s="117">
        <v>739</v>
      </c>
      <c r="F175" s="117">
        <v>1591</v>
      </c>
      <c r="G175" s="117">
        <v>6</v>
      </c>
      <c r="H175" s="117">
        <v>3641</v>
      </c>
      <c r="I175" s="117">
        <v>16257</v>
      </c>
      <c r="J175" s="117">
        <v>19898</v>
      </c>
      <c r="K175" s="117">
        <v>1621</v>
      </c>
      <c r="L175" s="106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 spans="1:30" s="11" customFormat="1" ht="12.75" customHeight="1" x14ac:dyDescent="0.2">
      <c r="A176" s="110">
        <v>41640</v>
      </c>
      <c r="B176" s="117">
        <v>811</v>
      </c>
      <c r="C176" s="117">
        <v>565</v>
      </c>
      <c r="D176" s="117">
        <v>1376</v>
      </c>
      <c r="E176" s="117">
        <v>741</v>
      </c>
      <c r="F176" s="117">
        <v>1577</v>
      </c>
      <c r="G176" s="117">
        <v>4</v>
      </c>
      <c r="H176" s="117">
        <v>3698</v>
      </c>
      <c r="I176" s="117">
        <v>18852</v>
      </c>
      <c r="J176" s="117">
        <v>22550</v>
      </c>
      <c r="K176" s="117">
        <v>1553</v>
      </c>
      <c r="L176" s="106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 spans="1:30" s="14" customFormat="1" ht="12.75" customHeight="1" x14ac:dyDescent="0.2">
      <c r="A177" s="110">
        <v>41671</v>
      </c>
      <c r="B177" s="117">
        <v>669</v>
      </c>
      <c r="C177" s="117">
        <v>901</v>
      </c>
      <c r="D177" s="117">
        <v>1570</v>
      </c>
      <c r="E177" s="117">
        <v>720</v>
      </c>
      <c r="F177" s="117">
        <v>1508</v>
      </c>
      <c r="G177" s="117">
        <v>6</v>
      </c>
      <c r="H177" s="117">
        <v>3804</v>
      </c>
      <c r="I177" s="117">
        <v>18001</v>
      </c>
      <c r="J177" s="117">
        <v>21805</v>
      </c>
      <c r="K177" s="117">
        <v>1777</v>
      </c>
      <c r="L177" s="8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 spans="1:30" s="14" customFormat="1" ht="12.75" customHeight="1" x14ac:dyDescent="0.2">
      <c r="A178" s="110">
        <v>41699</v>
      </c>
      <c r="B178" s="117">
        <v>675</v>
      </c>
      <c r="C178" s="117">
        <v>1046</v>
      </c>
      <c r="D178" s="117">
        <v>1721</v>
      </c>
      <c r="E178" s="117">
        <v>699</v>
      </c>
      <c r="F178" s="117">
        <v>1448</v>
      </c>
      <c r="G178" s="117">
        <v>7</v>
      </c>
      <c r="H178" s="117">
        <v>3875</v>
      </c>
      <c r="I178" s="117">
        <v>17127</v>
      </c>
      <c r="J178" s="117">
        <v>21002</v>
      </c>
      <c r="K178" s="117">
        <v>1977</v>
      </c>
      <c r="L178" s="8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</row>
    <row r="179" spans="1:30" s="11" customFormat="1" ht="12.75" customHeight="1" x14ac:dyDescent="0.2">
      <c r="A179" s="110">
        <v>41730</v>
      </c>
      <c r="B179" s="117">
        <v>886</v>
      </c>
      <c r="C179" s="117">
        <v>933</v>
      </c>
      <c r="D179" s="117">
        <v>1819</v>
      </c>
      <c r="E179" s="117">
        <v>717</v>
      </c>
      <c r="F179" s="117">
        <v>1470</v>
      </c>
      <c r="G179" s="117">
        <v>4</v>
      </c>
      <c r="H179" s="117">
        <v>4010</v>
      </c>
      <c r="I179" s="117">
        <v>15621</v>
      </c>
      <c r="J179" s="117">
        <v>19631</v>
      </c>
      <c r="K179" s="117">
        <v>1768</v>
      </c>
      <c r="L179" s="8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 spans="1:30" s="14" customFormat="1" ht="12.75" customHeight="1" x14ac:dyDescent="0.2">
      <c r="A180" s="110">
        <v>41760</v>
      </c>
      <c r="B180" s="117">
        <v>1136</v>
      </c>
      <c r="C180" s="117">
        <v>852</v>
      </c>
      <c r="D180" s="117">
        <v>1988</v>
      </c>
      <c r="E180" s="117">
        <v>722</v>
      </c>
      <c r="F180" s="117">
        <v>1472</v>
      </c>
      <c r="G180" s="117">
        <v>1</v>
      </c>
      <c r="H180" s="117">
        <v>4183</v>
      </c>
      <c r="I180" s="117">
        <v>17169</v>
      </c>
      <c r="J180" s="117">
        <v>21352</v>
      </c>
      <c r="K180" s="117">
        <v>1661</v>
      </c>
      <c r="L180" s="8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</row>
    <row r="181" spans="1:30" s="14" customFormat="1" ht="12.75" customHeight="1" x14ac:dyDescent="0.2">
      <c r="A181" s="110">
        <v>41791</v>
      </c>
      <c r="B181" s="117">
        <v>1023</v>
      </c>
      <c r="C181" s="117">
        <v>977</v>
      </c>
      <c r="D181" s="117">
        <v>2000</v>
      </c>
      <c r="E181" s="117">
        <v>703</v>
      </c>
      <c r="F181" s="117">
        <v>1433</v>
      </c>
      <c r="G181" s="117">
        <v>0</v>
      </c>
      <c r="H181" s="117">
        <v>4136</v>
      </c>
      <c r="I181" s="117">
        <v>16940</v>
      </c>
      <c r="J181" s="117">
        <v>21076</v>
      </c>
      <c r="K181" s="117">
        <v>1914</v>
      </c>
      <c r="L181" s="8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 spans="1:30" s="14" customFormat="1" ht="12.75" customHeight="1" x14ac:dyDescent="0.2">
      <c r="A182" s="110">
        <v>41821</v>
      </c>
      <c r="B182" s="117">
        <v>1274</v>
      </c>
      <c r="C182" s="117">
        <v>818</v>
      </c>
      <c r="D182" s="117">
        <v>2092</v>
      </c>
      <c r="E182" s="117">
        <v>716</v>
      </c>
      <c r="F182" s="117">
        <v>1458</v>
      </c>
      <c r="G182" s="117">
        <v>0</v>
      </c>
      <c r="H182" s="117">
        <v>4266</v>
      </c>
      <c r="I182" s="117">
        <v>16313</v>
      </c>
      <c r="J182" s="117">
        <v>20579</v>
      </c>
      <c r="K182" s="117">
        <v>1387</v>
      </c>
      <c r="L182" s="8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 spans="1:30" s="14" customFormat="1" ht="12.75" customHeight="1" x14ac:dyDescent="0.2">
      <c r="A183" s="110">
        <v>41852</v>
      </c>
      <c r="B183" s="117">
        <v>1174</v>
      </c>
      <c r="C183" s="117">
        <v>692</v>
      </c>
      <c r="D183" s="117">
        <v>1866</v>
      </c>
      <c r="E183" s="117">
        <v>717</v>
      </c>
      <c r="F183" s="117">
        <v>1680</v>
      </c>
      <c r="G183" s="117">
        <v>0</v>
      </c>
      <c r="H183" s="117">
        <v>4263</v>
      </c>
      <c r="I183" s="117">
        <v>18224</v>
      </c>
      <c r="J183" s="117">
        <v>22487</v>
      </c>
      <c r="K183" s="117">
        <v>1289</v>
      </c>
      <c r="L183" s="8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 spans="1:30" s="11" customFormat="1" ht="12.75" customHeight="1" x14ac:dyDescent="0.2">
      <c r="A184" s="110">
        <v>41883</v>
      </c>
      <c r="B184" s="117">
        <v>1305</v>
      </c>
      <c r="C184" s="117">
        <v>642</v>
      </c>
      <c r="D184" s="117">
        <v>1947</v>
      </c>
      <c r="E184" s="117">
        <v>774</v>
      </c>
      <c r="F184" s="117">
        <v>1777</v>
      </c>
      <c r="G184" s="117">
        <v>0</v>
      </c>
      <c r="H184" s="117">
        <v>4498</v>
      </c>
      <c r="I184" s="117">
        <v>18592</v>
      </c>
      <c r="J184" s="117">
        <v>23090</v>
      </c>
      <c r="K184" s="117">
        <v>881</v>
      </c>
      <c r="L184" s="8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 spans="1:30" s="11" customFormat="1" ht="12.75" customHeight="1" x14ac:dyDescent="0.2">
      <c r="A185" s="110">
        <v>41913</v>
      </c>
      <c r="B185" s="117">
        <v>1178</v>
      </c>
      <c r="C185" s="117">
        <v>720</v>
      </c>
      <c r="D185" s="117">
        <v>1898</v>
      </c>
      <c r="E185" s="117">
        <v>755</v>
      </c>
      <c r="F185" s="117">
        <v>1752</v>
      </c>
      <c r="G185" s="117">
        <v>0</v>
      </c>
      <c r="H185" s="117">
        <v>4405</v>
      </c>
      <c r="I185" s="117">
        <v>18919</v>
      </c>
      <c r="J185" s="117">
        <v>23324</v>
      </c>
      <c r="K185" s="117">
        <v>696</v>
      </c>
      <c r="L185" s="8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 spans="1:30" s="14" customFormat="1" ht="12.75" customHeight="1" x14ac:dyDescent="0.2">
      <c r="A186" s="110">
        <v>41944</v>
      </c>
      <c r="B186" s="117">
        <v>1080</v>
      </c>
      <c r="C186" s="117">
        <v>724</v>
      </c>
      <c r="D186" s="117">
        <v>1804</v>
      </c>
      <c r="E186" s="117">
        <v>743</v>
      </c>
      <c r="F186" s="117">
        <v>1718</v>
      </c>
      <c r="G186" s="117">
        <v>0</v>
      </c>
      <c r="H186" s="117">
        <v>4265</v>
      </c>
      <c r="I186" s="117">
        <v>18938</v>
      </c>
      <c r="J186" s="117">
        <v>23203</v>
      </c>
      <c r="K186" s="117">
        <v>825</v>
      </c>
      <c r="L186" s="8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 spans="1:30" s="14" customFormat="1" ht="12.75" customHeight="1" x14ac:dyDescent="0.2">
      <c r="A187" s="110">
        <v>41974</v>
      </c>
      <c r="B187" s="117">
        <v>966</v>
      </c>
      <c r="C187" s="117">
        <v>877</v>
      </c>
      <c r="D187" s="117">
        <v>1843</v>
      </c>
      <c r="E187" s="117">
        <v>667</v>
      </c>
      <c r="F187" s="117">
        <v>1620</v>
      </c>
      <c r="G187" s="117">
        <v>0</v>
      </c>
      <c r="H187" s="117">
        <v>4130</v>
      </c>
      <c r="I187" s="117">
        <v>16129</v>
      </c>
      <c r="J187" s="117">
        <v>20259</v>
      </c>
      <c r="K187" s="117">
        <v>800</v>
      </c>
      <c r="L187" s="8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 spans="1:30" s="14" customFormat="1" ht="12.75" customHeight="1" x14ac:dyDescent="0.2">
      <c r="A188" s="110">
        <v>42005</v>
      </c>
      <c r="B188" s="117">
        <v>939</v>
      </c>
      <c r="C188" s="117">
        <v>819</v>
      </c>
      <c r="D188" s="117">
        <v>1758</v>
      </c>
      <c r="E188" s="117">
        <v>692</v>
      </c>
      <c r="F188" s="117">
        <v>1696</v>
      </c>
      <c r="G188" s="117">
        <v>0</v>
      </c>
      <c r="H188" s="117">
        <v>4146</v>
      </c>
      <c r="I188" s="117">
        <v>21141</v>
      </c>
      <c r="J188" s="117">
        <v>25287</v>
      </c>
      <c r="K188" s="117">
        <v>508</v>
      </c>
      <c r="L188" s="8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 spans="1:30" s="11" customFormat="1" ht="12.75" customHeight="1" x14ac:dyDescent="0.2">
      <c r="A189" s="110">
        <v>42036</v>
      </c>
      <c r="B189" s="117">
        <v>874</v>
      </c>
      <c r="C189" s="117">
        <v>764</v>
      </c>
      <c r="D189" s="117">
        <v>1638</v>
      </c>
      <c r="E189" s="117">
        <v>626</v>
      </c>
      <c r="F189" s="117">
        <v>1589</v>
      </c>
      <c r="G189" s="117">
        <v>0</v>
      </c>
      <c r="H189" s="117">
        <v>3853</v>
      </c>
      <c r="I189" s="117">
        <v>20684</v>
      </c>
      <c r="J189" s="117">
        <v>24537</v>
      </c>
      <c r="K189" s="117">
        <v>752</v>
      </c>
      <c r="L189" s="8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 spans="1:30" s="14" customFormat="1" ht="12.75" customHeight="1" x14ac:dyDescent="0.2">
      <c r="A190" s="110">
        <v>42064</v>
      </c>
      <c r="B190" s="117">
        <v>613</v>
      </c>
      <c r="C190" s="117">
        <v>1150</v>
      </c>
      <c r="D190" s="117">
        <v>1763</v>
      </c>
      <c r="E190" s="117">
        <v>518</v>
      </c>
      <c r="F190" s="117">
        <v>1414</v>
      </c>
      <c r="G190" s="117">
        <v>0</v>
      </c>
      <c r="H190" s="117">
        <v>3695</v>
      </c>
      <c r="I190" s="117">
        <v>21017</v>
      </c>
      <c r="J190" s="117">
        <v>24712</v>
      </c>
      <c r="K190" s="117">
        <v>777</v>
      </c>
      <c r="L190" s="8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 spans="1:30" s="14" customFormat="1" ht="12.75" customHeight="1" x14ac:dyDescent="0.2">
      <c r="A191" s="110">
        <v>42095</v>
      </c>
      <c r="B191" s="117">
        <v>899</v>
      </c>
      <c r="C191" s="117">
        <v>1018</v>
      </c>
      <c r="D191" s="117">
        <v>1917</v>
      </c>
      <c r="E191" s="117">
        <v>518</v>
      </c>
      <c r="F191" s="117">
        <v>1565</v>
      </c>
      <c r="G191" s="117">
        <v>0</v>
      </c>
      <c r="H191" s="117">
        <v>4000</v>
      </c>
      <c r="I191" s="117">
        <v>19393</v>
      </c>
      <c r="J191" s="117">
        <v>23393</v>
      </c>
      <c r="K191" s="117">
        <v>642</v>
      </c>
      <c r="L191" s="8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 spans="1:30" s="11" customFormat="1" ht="12.75" customHeight="1" x14ac:dyDescent="0.2">
      <c r="A192" s="110">
        <v>42125</v>
      </c>
      <c r="B192" s="117">
        <v>961</v>
      </c>
      <c r="C192" s="117">
        <v>560</v>
      </c>
      <c r="D192" s="117">
        <v>1521</v>
      </c>
      <c r="E192" s="117">
        <v>548</v>
      </c>
      <c r="F192" s="117">
        <v>1626</v>
      </c>
      <c r="G192" s="117">
        <v>0</v>
      </c>
      <c r="H192" s="117">
        <v>3695</v>
      </c>
      <c r="I192" s="117">
        <v>22498</v>
      </c>
      <c r="J192" s="117">
        <v>26193</v>
      </c>
      <c r="K192" s="117">
        <v>246</v>
      </c>
      <c r="L192" s="8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 spans="1:30" s="11" customFormat="1" ht="12.75" customHeight="1" x14ac:dyDescent="0.2">
      <c r="A193" s="110">
        <v>42156</v>
      </c>
      <c r="B193" s="117">
        <v>1012</v>
      </c>
      <c r="C193" s="117">
        <v>452</v>
      </c>
      <c r="D193" s="117">
        <v>1464</v>
      </c>
      <c r="E193" s="117">
        <v>573</v>
      </c>
      <c r="F193" s="117">
        <v>1669</v>
      </c>
      <c r="G193" s="117">
        <v>0</v>
      </c>
      <c r="H193" s="117">
        <v>3706</v>
      </c>
      <c r="I193" s="117">
        <v>22772</v>
      </c>
      <c r="J193" s="117">
        <v>26478</v>
      </c>
      <c r="K193" s="117">
        <v>3</v>
      </c>
      <c r="L193" s="8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 spans="1:30" s="132" customFormat="1" ht="12.75" customHeight="1" x14ac:dyDescent="0.2">
      <c r="A194" s="110">
        <v>42186</v>
      </c>
      <c r="B194" s="117">
        <v>1011</v>
      </c>
      <c r="C194" s="117">
        <v>564</v>
      </c>
      <c r="D194" s="117">
        <v>1575</v>
      </c>
      <c r="E194" s="117">
        <v>589</v>
      </c>
      <c r="F194" s="117">
        <v>1708</v>
      </c>
      <c r="G194" s="117">
        <v>0</v>
      </c>
      <c r="H194" s="117">
        <v>3872</v>
      </c>
      <c r="I194" s="117">
        <v>21490</v>
      </c>
      <c r="J194" s="117">
        <v>25362</v>
      </c>
      <c r="K194" s="117">
        <v>-48</v>
      </c>
      <c r="L194" s="81"/>
      <c r="M194" s="131"/>
      <c r="N194" s="131"/>
      <c r="O194" s="131"/>
      <c r="P194" s="131"/>
      <c r="Q194" s="131"/>
      <c r="R194" s="131"/>
      <c r="S194" s="131"/>
      <c r="T194" s="131"/>
      <c r="U194" s="131"/>
      <c r="V194" s="131"/>
      <c r="W194" s="131"/>
      <c r="X194" s="131"/>
      <c r="Y194" s="131"/>
      <c r="Z194" s="131"/>
      <c r="AA194" s="131"/>
      <c r="AB194" s="131"/>
      <c r="AC194" s="131"/>
      <c r="AD194" s="131"/>
    </row>
    <row r="195" spans="1:30" s="132" customFormat="1" ht="12.75" customHeight="1" x14ac:dyDescent="0.2">
      <c r="A195" s="110">
        <v>42217</v>
      </c>
      <c r="B195" s="117">
        <v>994</v>
      </c>
      <c r="C195" s="117">
        <v>578</v>
      </c>
      <c r="D195" s="117">
        <v>1572</v>
      </c>
      <c r="E195" s="117">
        <v>614</v>
      </c>
      <c r="F195" s="117">
        <v>1758</v>
      </c>
      <c r="G195" s="117">
        <v>0</v>
      </c>
      <c r="H195" s="117">
        <v>3944</v>
      </c>
      <c r="I195" s="117">
        <v>22576</v>
      </c>
      <c r="J195" s="117">
        <v>26520</v>
      </c>
      <c r="K195" s="117">
        <v>-147</v>
      </c>
      <c r="L195" s="81"/>
      <c r="M195" s="131"/>
      <c r="N195" s="131"/>
      <c r="O195" s="131"/>
      <c r="P195" s="131"/>
      <c r="Q195" s="131"/>
      <c r="R195" s="131"/>
      <c r="S195" s="131"/>
      <c r="T195" s="131"/>
      <c r="U195" s="131"/>
      <c r="V195" s="131"/>
      <c r="W195" s="131"/>
      <c r="X195" s="131"/>
      <c r="Y195" s="131"/>
      <c r="Z195" s="131"/>
      <c r="AA195" s="131"/>
      <c r="AB195" s="131"/>
      <c r="AC195" s="131"/>
      <c r="AD195" s="131"/>
    </row>
    <row r="196" spans="1:30" s="132" customFormat="1" ht="12.75" customHeight="1" x14ac:dyDescent="0.2">
      <c r="A196" s="110">
        <v>42248</v>
      </c>
      <c r="B196" s="117">
        <v>1915</v>
      </c>
      <c r="C196" s="117">
        <v>624</v>
      </c>
      <c r="D196" s="117">
        <v>2539</v>
      </c>
      <c r="E196" s="117">
        <v>616</v>
      </c>
      <c r="F196" s="117">
        <v>1956</v>
      </c>
      <c r="G196" s="117">
        <v>0</v>
      </c>
      <c r="H196" s="117">
        <v>5111</v>
      </c>
      <c r="I196" s="117">
        <v>18307</v>
      </c>
      <c r="J196" s="117">
        <v>23418</v>
      </c>
      <c r="K196" s="117">
        <v>-62</v>
      </c>
      <c r="L196" s="81"/>
      <c r="M196" s="131"/>
      <c r="N196" s="131"/>
      <c r="O196" s="131"/>
      <c r="P196" s="131"/>
      <c r="Q196" s="131"/>
      <c r="R196" s="131"/>
      <c r="S196" s="131"/>
      <c r="T196" s="131"/>
      <c r="U196" s="131"/>
      <c r="V196" s="131"/>
      <c r="W196" s="131"/>
      <c r="X196" s="131"/>
      <c r="Y196" s="131"/>
      <c r="Z196" s="131"/>
      <c r="AA196" s="131"/>
      <c r="AB196" s="131"/>
      <c r="AC196" s="131"/>
      <c r="AD196" s="131"/>
    </row>
    <row r="197" spans="1:30" s="132" customFormat="1" ht="12.75" customHeight="1" x14ac:dyDescent="0.2">
      <c r="A197" s="110">
        <v>42278</v>
      </c>
      <c r="B197" s="117">
        <v>2000</v>
      </c>
      <c r="C197" s="117">
        <v>665</v>
      </c>
      <c r="D197" s="117">
        <v>2665</v>
      </c>
      <c r="E197" s="117">
        <v>580</v>
      </c>
      <c r="F197" s="117">
        <v>1838</v>
      </c>
      <c r="G197" s="117">
        <v>0</v>
      </c>
      <c r="H197" s="117">
        <v>5083</v>
      </c>
      <c r="I197" s="117">
        <v>18116</v>
      </c>
      <c r="J197" s="117">
        <v>23199</v>
      </c>
      <c r="K197" s="117">
        <v>123</v>
      </c>
      <c r="L197" s="81"/>
      <c r="M197" s="131"/>
      <c r="N197" s="131"/>
      <c r="O197" s="131"/>
      <c r="P197" s="131"/>
      <c r="Q197" s="131"/>
      <c r="R197" s="131"/>
      <c r="S197" s="131"/>
      <c r="T197" s="131"/>
      <c r="U197" s="131"/>
      <c r="V197" s="131"/>
      <c r="W197" s="131"/>
      <c r="X197" s="131"/>
      <c r="Y197" s="131"/>
      <c r="Z197" s="131"/>
      <c r="AA197" s="131"/>
      <c r="AB197" s="131"/>
      <c r="AC197" s="131"/>
      <c r="AD197" s="131"/>
    </row>
    <row r="198" spans="1:30" s="11" customFormat="1" ht="12.75" customHeight="1" x14ac:dyDescent="0.2">
      <c r="A198" s="110">
        <v>42309</v>
      </c>
      <c r="B198" s="117">
        <v>2294</v>
      </c>
      <c r="C198" s="117">
        <v>708</v>
      </c>
      <c r="D198" s="117">
        <v>3002</v>
      </c>
      <c r="E198" s="117">
        <v>590</v>
      </c>
      <c r="F198" s="117">
        <v>1868</v>
      </c>
      <c r="G198" s="117">
        <v>0</v>
      </c>
      <c r="H198" s="117">
        <v>5460</v>
      </c>
      <c r="I198" s="117">
        <v>19351</v>
      </c>
      <c r="J198" s="117">
        <v>24811</v>
      </c>
      <c r="K198" s="117">
        <v>81</v>
      </c>
      <c r="L198" s="8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 spans="1:30" s="11" customFormat="1" ht="12.75" customHeight="1" x14ac:dyDescent="0.2">
      <c r="A199" s="110">
        <v>42339</v>
      </c>
      <c r="B199" s="117">
        <v>448</v>
      </c>
      <c r="C199" s="117">
        <v>636</v>
      </c>
      <c r="D199" s="117">
        <v>1084</v>
      </c>
      <c r="E199" s="117">
        <v>565</v>
      </c>
      <c r="F199" s="117">
        <v>1768</v>
      </c>
      <c r="G199" s="117">
        <v>0</v>
      </c>
      <c r="H199" s="117">
        <v>3417</v>
      </c>
      <c r="I199" s="117">
        <v>18052</v>
      </c>
      <c r="J199" s="117">
        <v>21469</v>
      </c>
      <c r="K199" s="117">
        <v>-54</v>
      </c>
      <c r="L199" s="8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 spans="1:30" s="11" customFormat="1" ht="12.75" customHeight="1" x14ac:dyDescent="0.2">
      <c r="A200" s="110">
        <v>42370</v>
      </c>
      <c r="B200" s="117">
        <v>1260</v>
      </c>
      <c r="C200" s="117">
        <v>819</v>
      </c>
      <c r="D200" s="117">
        <v>2079</v>
      </c>
      <c r="E200" s="117">
        <v>595</v>
      </c>
      <c r="F200" s="117">
        <v>1858</v>
      </c>
      <c r="G200" s="117">
        <v>0</v>
      </c>
      <c r="H200" s="117">
        <v>4532</v>
      </c>
      <c r="I200" s="117">
        <v>21352</v>
      </c>
      <c r="J200" s="117">
        <v>25884</v>
      </c>
      <c r="K200" s="117">
        <v>102</v>
      </c>
      <c r="L200" s="8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 spans="1:30" s="11" customFormat="1" ht="12.75" customHeight="1" x14ac:dyDescent="0.2">
      <c r="A201" s="110">
        <v>42401</v>
      </c>
      <c r="B201" s="117">
        <v>1917</v>
      </c>
      <c r="C201" s="117">
        <v>832</v>
      </c>
      <c r="D201" s="117">
        <v>2749</v>
      </c>
      <c r="E201" s="117">
        <v>595</v>
      </c>
      <c r="F201" s="117">
        <v>1858</v>
      </c>
      <c r="G201" s="117">
        <v>0</v>
      </c>
      <c r="H201" s="117">
        <v>5202</v>
      </c>
      <c r="I201" s="117">
        <v>20024</v>
      </c>
      <c r="J201" s="117">
        <v>25226</v>
      </c>
      <c r="K201" s="117">
        <v>101</v>
      </c>
      <c r="L201" s="8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 spans="1:30" s="11" customFormat="1" ht="12.75" customHeight="1" x14ac:dyDescent="0.2">
      <c r="A202" s="110">
        <v>42430</v>
      </c>
      <c r="B202" s="117">
        <v>2006</v>
      </c>
      <c r="C202" s="117">
        <v>756</v>
      </c>
      <c r="D202" s="117">
        <v>2762</v>
      </c>
      <c r="E202" s="117">
        <v>380</v>
      </c>
      <c r="F202" s="117">
        <v>1577</v>
      </c>
      <c r="G202" s="117">
        <v>0</v>
      </c>
      <c r="H202" s="117">
        <v>4719</v>
      </c>
      <c r="I202" s="117">
        <v>19539</v>
      </c>
      <c r="J202" s="117">
        <v>24258</v>
      </c>
      <c r="K202" s="117">
        <v>232</v>
      </c>
      <c r="L202" s="8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 spans="1:30" s="11" customFormat="1" ht="12.75" customHeight="1" x14ac:dyDescent="0.2">
      <c r="A203" s="110">
        <v>42461</v>
      </c>
      <c r="B203" s="117">
        <v>2319</v>
      </c>
      <c r="C203" s="117">
        <v>801</v>
      </c>
      <c r="D203" s="117">
        <v>3120</v>
      </c>
      <c r="E203" s="117">
        <v>377</v>
      </c>
      <c r="F203" s="117">
        <v>1575</v>
      </c>
      <c r="G203" s="117">
        <v>0</v>
      </c>
      <c r="H203" s="117">
        <v>5072</v>
      </c>
      <c r="I203" s="117">
        <v>20354</v>
      </c>
      <c r="J203" s="117">
        <v>25426</v>
      </c>
      <c r="K203" s="117">
        <v>201</v>
      </c>
      <c r="L203" s="8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 spans="1:30" s="11" customFormat="1" ht="12.75" customHeight="1" x14ac:dyDescent="0.2">
      <c r="A204" s="110">
        <v>42491</v>
      </c>
      <c r="B204" s="117">
        <v>2847</v>
      </c>
      <c r="C204" s="117">
        <v>629</v>
      </c>
      <c r="D204" s="117">
        <v>3476</v>
      </c>
      <c r="E204" s="117">
        <v>388</v>
      </c>
      <c r="F204" s="117">
        <v>1622</v>
      </c>
      <c r="G204" s="117">
        <v>0</v>
      </c>
      <c r="H204" s="117">
        <v>5486</v>
      </c>
      <c r="I204" s="117">
        <v>23071</v>
      </c>
      <c r="J204" s="117">
        <v>28557</v>
      </c>
      <c r="K204" s="117">
        <v>152</v>
      </c>
      <c r="L204" s="81"/>
      <c r="M204" s="1"/>
      <c r="N204" s="115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 spans="1:30" s="11" customFormat="1" ht="12.75" customHeight="1" x14ac:dyDescent="0.2">
      <c r="A205" s="110">
        <v>42522</v>
      </c>
      <c r="B205" s="117">
        <v>2592</v>
      </c>
      <c r="C205" s="117">
        <v>821</v>
      </c>
      <c r="D205" s="117">
        <v>3413</v>
      </c>
      <c r="E205" s="117">
        <v>365</v>
      </c>
      <c r="F205" s="117">
        <v>1525</v>
      </c>
      <c r="G205" s="117">
        <v>0</v>
      </c>
      <c r="H205" s="117">
        <v>5303</v>
      </c>
      <c r="I205" s="117">
        <v>19858</v>
      </c>
      <c r="J205" s="117">
        <v>25161</v>
      </c>
      <c r="K205" s="117">
        <v>528</v>
      </c>
      <c r="L205" s="81"/>
      <c r="M205" s="1"/>
      <c r="N205" s="115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 spans="1:30" s="11" customFormat="1" ht="12.75" customHeight="1" x14ac:dyDescent="0.2">
      <c r="A206" s="110">
        <v>42552</v>
      </c>
      <c r="B206" s="117">
        <v>2330</v>
      </c>
      <c r="C206" s="117">
        <v>1094</v>
      </c>
      <c r="D206" s="117">
        <v>3424</v>
      </c>
      <c r="E206" s="117">
        <v>364</v>
      </c>
      <c r="F206" s="117">
        <v>1520</v>
      </c>
      <c r="G206" s="117">
        <v>0</v>
      </c>
      <c r="H206" s="117">
        <v>5308</v>
      </c>
      <c r="I206" s="117">
        <v>18009</v>
      </c>
      <c r="J206" s="117">
        <v>23317</v>
      </c>
      <c r="K206" s="117">
        <v>458</v>
      </c>
      <c r="L206" s="81"/>
      <c r="M206" s="1"/>
      <c r="N206" s="115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 spans="1:30" s="11" customFormat="1" ht="12.75" customHeight="1" x14ac:dyDescent="0.2">
      <c r="A207" s="110">
        <v>42583</v>
      </c>
      <c r="B207" s="117">
        <v>2255</v>
      </c>
      <c r="C207" s="117">
        <v>882</v>
      </c>
      <c r="D207" s="117">
        <v>3137</v>
      </c>
      <c r="E207" s="117">
        <v>358</v>
      </c>
      <c r="F207" s="117">
        <v>1496</v>
      </c>
      <c r="G207" s="117">
        <v>0</v>
      </c>
      <c r="H207" s="117">
        <v>4991</v>
      </c>
      <c r="I207" s="117">
        <v>19863</v>
      </c>
      <c r="J207" s="117">
        <v>24854</v>
      </c>
      <c r="K207" s="117">
        <v>463</v>
      </c>
      <c r="L207" s="81"/>
      <c r="M207" s="1"/>
      <c r="N207" s="115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 spans="1:30" s="11" customFormat="1" ht="12.75" customHeight="1" x14ac:dyDescent="0.2">
      <c r="A208" s="110">
        <v>42614</v>
      </c>
      <c r="B208" s="117">
        <v>2582</v>
      </c>
      <c r="C208" s="117">
        <v>741</v>
      </c>
      <c r="D208" s="117">
        <v>3323</v>
      </c>
      <c r="E208" s="117">
        <v>364</v>
      </c>
      <c r="F208" s="117">
        <v>1482</v>
      </c>
      <c r="G208" s="117">
        <v>0</v>
      </c>
      <c r="H208" s="117">
        <v>5169</v>
      </c>
      <c r="I208" s="117">
        <v>19294</v>
      </c>
      <c r="J208" s="117">
        <v>24463</v>
      </c>
      <c r="K208" s="117">
        <v>463</v>
      </c>
      <c r="L208" s="81"/>
      <c r="M208" s="1"/>
      <c r="N208" s="115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 spans="1:30" s="11" customFormat="1" ht="12.75" customHeight="1" x14ac:dyDescent="0.2">
      <c r="A209" s="110">
        <v>42644</v>
      </c>
      <c r="B209" s="117">
        <v>2490</v>
      </c>
      <c r="C209" s="117">
        <v>669</v>
      </c>
      <c r="D209" s="117">
        <v>3159</v>
      </c>
      <c r="E209" s="117">
        <v>363</v>
      </c>
      <c r="F209" s="117">
        <v>1476</v>
      </c>
      <c r="G209" s="117">
        <v>0</v>
      </c>
      <c r="H209" s="117">
        <v>4998</v>
      </c>
      <c r="I209" s="117">
        <v>19599</v>
      </c>
      <c r="J209" s="117">
        <v>24597</v>
      </c>
      <c r="K209" s="117">
        <v>393</v>
      </c>
      <c r="L209" s="81"/>
      <c r="M209" s="1"/>
      <c r="N209" s="115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 spans="1:30" s="11" customFormat="1" ht="12.75" customHeight="1" x14ac:dyDescent="0.2">
      <c r="A210" s="110">
        <v>42675</v>
      </c>
      <c r="B210" s="117">
        <v>2398</v>
      </c>
      <c r="C210" s="117">
        <v>410</v>
      </c>
      <c r="D210" s="117">
        <v>2808</v>
      </c>
      <c r="E210" s="117">
        <v>358</v>
      </c>
      <c r="F210" s="117">
        <v>1456</v>
      </c>
      <c r="G210" s="117">
        <v>0</v>
      </c>
      <c r="H210" s="117">
        <v>4622</v>
      </c>
      <c r="I210" s="117">
        <v>18963</v>
      </c>
      <c r="J210" s="117">
        <v>23585</v>
      </c>
      <c r="K210" s="117">
        <v>284</v>
      </c>
      <c r="L210" s="81"/>
      <c r="M210" s="1"/>
      <c r="N210" s="115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 spans="1:30" s="11" customFormat="1" ht="12.75" customHeight="1" x14ac:dyDescent="0.2">
      <c r="A211" s="110">
        <v>42705</v>
      </c>
      <c r="B211" s="117">
        <v>1562</v>
      </c>
      <c r="C211" s="117">
        <v>599</v>
      </c>
      <c r="D211" s="117">
        <v>2161</v>
      </c>
      <c r="E211" s="117">
        <v>364</v>
      </c>
      <c r="F211" s="117">
        <v>1481</v>
      </c>
      <c r="G211" s="117">
        <v>0</v>
      </c>
      <c r="H211" s="117">
        <v>4006</v>
      </c>
      <c r="I211" s="117">
        <v>21551</v>
      </c>
      <c r="J211" s="117">
        <v>25557</v>
      </c>
      <c r="K211" s="117">
        <v>94</v>
      </c>
      <c r="L211" s="81"/>
      <c r="M211" s="1"/>
      <c r="N211" s="115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</row>
    <row r="212" spans="1:30" s="11" customFormat="1" ht="12.75" customHeight="1" x14ac:dyDescent="0.2">
      <c r="A212" s="110">
        <v>42736</v>
      </c>
      <c r="B212" s="117">
        <v>2355</v>
      </c>
      <c r="C212" s="117">
        <v>560</v>
      </c>
      <c r="D212" s="117">
        <v>2915</v>
      </c>
      <c r="E212" s="117">
        <v>351</v>
      </c>
      <c r="F212" s="117">
        <v>1405</v>
      </c>
      <c r="G212" s="117">
        <v>0</v>
      </c>
      <c r="H212" s="117">
        <v>4671</v>
      </c>
      <c r="I212" s="117">
        <v>20997</v>
      </c>
      <c r="J212" s="117">
        <v>25668</v>
      </c>
      <c r="K212" s="117">
        <v>319</v>
      </c>
      <c r="L212" s="81"/>
      <c r="M212" s="1"/>
      <c r="N212" s="115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</row>
    <row r="213" spans="1:30" s="11" customFormat="1" ht="12.75" customHeight="1" x14ac:dyDescent="0.2">
      <c r="A213" s="110">
        <v>42767</v>
      </c>
      <c r="B213" s="117">
        <v>2610</v>
      </c>
      <c r="C213" s="117">
        <v>503</v>
      </c>
      <c r="D213" s="117">
        <v>3113</v>
      </c>
      <c r="E213" s="117">
        <v>355</v>
      </c>
      <c r="F213" s="117">
        <v>1420</v>
      </c>
      <c r="G213" s="117">
        <v>0</v>
      </c>
      <c r="H213" s="117">
        <v>4888</v>
      </c>
      <c r="I213" s="117">
        <v>20778</v>
      </c>
      <c r="J213" s="117">
        <v>25666</v>
      </c>
      <c r="K213" s="117">
        <v>190</v>
      </c>
      <c r="L213" s="81"/>
      <c r="M213" s="1"/>
      <c r="N213" s="115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</row>
    <row r="214" spans="1:30" s="11" customFormat="1" ht="12.75" customHeight="1" x14ac:dyDescent="0.2">
      <c r="A214" s="110">
        <v>42795</v>
      </c>
      <c r="B214" s="117">
        <v>3217</v>
      </c>
      <c r="C214" s="117">
        <v>513</v>
      </c>
      <c r="D214" s="117">
        <v>3730</v>
      </c>
      <c r="E214" s="117">
        <v>366</v>
      </c>
      <c r="F214" s="117">
        <v>1464</v>
      </c>
      <c r="G214" s="117">
        <v>0</v>
      </c>
      <c r="H214" s="117">
        <v>5560</v>
      </c>
      <c r="I214" s="117">
        <v>20990</v>
      </c>
      <c r="J214" s="117">
        <v>26550</v>
      </c>
      <c r="K214" s="117">
        <v>91</v>
      </c>
      <c r="L214" s="81"/>
      <c r="M214" s="1"/>
      <c r="N214" s="115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</row>
    <row r="215" spans="1:30" s="11" customFormat="1" ht="12.75" customHeight="1" x14ac:dyDescent="0.2">
      <c r="A215" s="110">
        <v>42826</v>
      </c>
      <c r="B215" s="117">
        <v>3657</v>
      </c>
      <c r="C215" s="117">
        <v>617</v>
      </c>
      <c r="D215" s="117">
        <v>4274</v>
      </c>
      <c r="E215" s="117">
        <v>374</v>
      </c>
      <c r="F215" s="117">
        <v>1497</v>
      </c>
      <c r="G215" s="117">
        <v>0</v>
      </c>
      <c r="H215" s="117">
        <v>6145</v>
      </c>
      <c r="I215" s="117">
        <v>20606</v>
      </c>
      <c r="J215" s="117">
        <v>26751</v>
      </c>
      <c r="K215" s="117">
        <v>31</v>
      </c>
      <c r="L215" s="81"/>
      <c r="M215" s="1"/>
      <c r="N215" s="115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 spans="1:30" s="11" customFormat="1" ht="12.75" customHeight="1" x14ac:dyDescent="0.2">
      <c r="A216" s="110">
        <v>42856</v>
      </c>
      <c r="B216" s="117">
        <v>3954</v>
      </c>
      <c r="C216" s="117">
        <v>531</v>
      </c>
      <c r="D216" s="117">
        <v>4485</v>
      </c>
      <c r="E216" s="117">
        <v>365</v>
      </c>
      <c r="F216" s="117">
        <v>1520</v>
      </c>
      <c r="G216" s="117">
        <v>0</v>
      </c>
      <c r="H216" s="117">
        <v>6370</v>
      </c>
      <c r="I216" s="117">
        <v>20344</v>
      </c>
      <c r="J216" s="117">
        <v>26714</v>
      </c>
      <c r="K216" s="117">
        <v>221</v>
      </c>
      <c r="L216" s="81"/>
      <c r="M216" s="1"/>
      <c r="N216" s="115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</row>
    <row r="217" spans="1:30" s="11" customFormat="1" ht="12.75" customHeight="1" x14ac:dyDescent="0.2">
      <c r="A217" s="110">
        <v>42887</v>
      </c>
      <c r="B217" s="117">
        <v>3880</v>
      </c>
      <c r="C217" s="117">
        <v>712</v>
      </c>
      <c r="D217" s="117">
        <v>4592</v>
      </c>
      <c r="E217" s="117">
        <v>352</v>
      </c>
      <c r="F217" s="117">
        <v>1475</v>
      </c>
      <c r="G217" s="117">
        <v>0</v>
      </c>
      <c r="H217" s="117">
        <v>6419</v>
      </c>
      <c r="I217" s="117">
        <v>21068</v>
      </c>
      <c r="J217" s="117">
        <v>27487</v>
      </c>
      <c r="K217" s="117">
        <v>384</v>
      </c>
      <c r="L217" s="81"/>
      <c r="M217" s="1"/>
      <c r="N217" s="115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</row>
    <row r="218" spans="1:30" s="14" customFormat="1" ht="12.75" customHeight="1" x14ac:dyDescent="0.2">
      <c r="A218" s="110">
        <v>42917</v>
      </c>
      <c r="B218" s="117">
        <v>3677</v>
      </c>
      <c r="C218" s="117">
        <v>990</v>
      </c>
      <c r="D218" s="117">
        <v>4667</v>
      </c>
      <c r="E218" s="117">
        <v>341</v>
      </c>
      <c r="F218" s="117">
        <v>1455</v>
      </c>
      <c r="G218" s="117">
        <v>0</v>
      </c>
      <c r="H218" s="117">
        <v>6463</v>
      </c>
      <c r="I218" s="117">
        <v>18224</v>
      </c>
      <c r="J218" s="117">
        <v>24687</v>
      </c>
      <c r="K218" s="117">
        <v>449</v>
      </c>
      <c r="L218" s="81"/>
      <c r="M218" s="1"/>
      <c r="N218" s="115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 spans="1:30" s="14" customFormat="1" ht="12.75" customHeight="1" x14ac:dyDescent="0.2">
      <c r="A219" s="110">
        <v>42948</v>
      </c>
      <c r="B219" s="117">
        <v>4897</v>
      </c>
      <c r="C219" s="117">
        <v>289</v>
      </c>
      <c r="D219" s="117">
        <v>5186</v>
      </c>
      <c r="E219" s="117">
        <v>359</v>
      </c>
      <c r="F219" s="117">
        <v>1531</v>
      </c>
      <c r="G219" s="117">
        <v>0</v>
      </c>
      <c r="H219" s="117">
        <v>7076</v>
      </c>
      <c r="I219" s="117">
        <v>20707</v>
      </c>
      <c r="J219" s="117">
        <v>27783</v>
      </c>
      <c r="K219" s="117">
        <v>164</v>
      </c>
      <c r="L219" s="81"/>
      <c r="M219" s="1"/>
      <c r="N219" s="115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</row>
    <row r="220" spans="1:30" s="14" customFormat="1" ht="12.75" customHeight="1" x14ac:dyDescent="0.2">
      <c r="A220" s="110">
        <v>42979</v>
      </c>
      <c r="B220" s="117">
        <v>6192</v>
      </c>
      <c r="C220" s="117">
        <v>249</v>
      </c>
      <c r="D220" s="117">
        <v>6441</v>
      </c>
      <c r="E220" s="117">
        <v>355</v>
      </c>
      <c r="F220" s="117">
        <v>1522</v>
      </c>
      <c r="G220" s="117">
        <v>0</v>
      </c>
      <c r="H220" s="117">
        <v>8318</v>
      </c>
      <c r="I220" s="117">
        <v>21131</v>
      </c>
      <c r="J220" s="117">
        <v>29449</v>
      </c>
      <c r="K220" s="117">
        <v>152</v>
      </c>
      <c r="L220" s="81"/>
      <c r="M220" s="1"/>
      <c r="N220" s="115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</row>
    <row r="221" spans="1:30" s="14" customFormat="1" ht="12.75" customHeight="1" x14ac:dyDescent="0.2">
      <c r="A221" s="110">
        <v>43009</v>
      </c>
      <c r="B221" s="117">
        <v>4814</v>
      </c>
      <c r="C221" s="117">
        <v>197</v>
      </c>
      <c r="D221" s="117">
        <v>5011</v>
      </c>
      <c r="E221" s="117">
        <v>371</v>
      </c>
      <c r="F221" s="117">
        <v>1592</v>
      </c>
      <c r="G221" s="117">
        <v>0</v>
      </c>
      <c r="H221" s="117">
        <v>6974</v>
      </c>
      <c r="I221" s="117">
        <v>25811</v>
      </c>
      <c r="J221" s="117">
        <v>32785</v>
      </c>
      <c r="K221" s="117">
        <v>192</v>
      </c>
      <c r="L221" s="81"/>
      <c r="M221" s="1"/>
      <c r="N221" s="115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 spans="1:30" s="14" customFormat="1" ht="12.75" customHeight="1" x14ac:dyDescent="0.2">
      <c r="A222" s="110">
        <v>43040</v>
      </c>
      <c r="B222" s="117">
        <v>5042</v>
      </c>
      <c r="C222" s="117">
        <v>274</v>
      </c>
      <c r="D222" s="117">
        <v>5316</v>
      </c>
      <c r="E222" s="117">
        <v>363</v>
      </c>
      <c r="F222" s="117">
        <v>1607</v>
      </c>
      <c r="G222" s="117">
        <v>0</v>
      </c>
      <c r="H222" s="117">
        <v>7286</v>
      </c>
      <c r="I222" s="117">
        <v>25228</v>
      </c>
      <c r="J222" s="117">
        <v>32514</v>
      </c>
      <c r="K222" s="117">
        <v>-29</v>
      </c>
      <c r="L222" s="81"/>
      <c r="M222" s="1"/>
      <c r="N222" s="115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</row>
    <row r="223" spans="1:30" s="14" customFormat="1" ht="12.75" customHeight="1" x14ac:dyDescent="0.2">
      <c r="A223" s="110">
        <v>43070</v>
      </c>
      <c r="B223" s="117">
        <v>2288</v>
      </c>
      <c r="C223" s="117">
        <v>192</v>
      </c>
      <c r="D223" s="117">
        <v>2480</v>
      </c>
      <c r="E223" s="117">
        <v>344</v>
      </c>
      <c r="F223" s="117">
        <v>1567</v>
      </c>
      <c r="G223" s="117">
        <v>0</v>
      </c>
      <c r="H223" s="117">
        <v>4391</v>
      </c>
      <c r="I223" s="117">
        <v>24752</v>
      </c>
      <c r="J223" s="117">
        <v>29143</v>
      </c>
      <c r="K223" s="117">
        <v>68</v>
      </c>
      <c r="L223" s="81"/>
      <c r="M223" s="1"/>
      <c r="N223" s="115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</row>
    <row r="224" spans="1:30" s="14" customFormat="1" ht="12.75" customHeight="1" x14ac:dyDescent="0.2">
      <c r="A224" s="110">
        <v>43101</v>
      </c>
      <c r="B224" s="117">
        <v>2142</v>
      </c>
      <c r="C224" s="117">
        <v>272</v>
      </c>
      <c r="D224" s="117">
        <v>2414</v>
      </c>
      <c r="E224" s="117">
        <v>337</v>
      </c>
      <c r="F224" s="117">
        <v>1547</v>
      </c>
      <c r="G224" s="117">
        <v>0</v>
      </c>
      <c r="H224" s="117">
        <v>4298</v>
      </c>
      <c r="I224" s="117">
        <v>24961</v>
      </c>
      <c r="J224" s="117">
        <v>29259</v>
      </c>
      <c r="K224" s="117">
        <v>249</v>
      </c>
      <c r="L224" s="81"/>
      <c r="M224" s="1"/>
      <c r="N224" s="115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 spans="1:30" s="14" customFormat="1" ht="12.75" customHeight="1" x14ac:dyDescent="0.2">
      <c r="A225" s="110">
        <v>43132</v>
      </c>
      <c r="B225" s="117">
        <v>2327</v>
      </c>
      <c r="C225" s="117">
        <v>125</v>
      </c>
      <c r="D225" s="117">
        <v>2452</v>
      </c>
      <c r="E225" s="117">
        <v>341</v>
      </c>
      <c r="F225" s="117">
        <v>1562</v>
      </c>
      <c r="G225" s="117">
        <v>0</v>
      </c>
      <c r="H225" s="117">
        <v>4355</v>
      </c>
      <c r="I225" s="117">
        <v>24295</v>
      </c>
      <c r="J225" s="117">
        <v>28650</v>
      </c>
      <c r="K225" s="117">
        <v>107</v>
      </c>
      <c r="L225" s="81"/>
      <c r="M225" s="1"/>
      <c r="N225" s="115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</row>
    <row r="226" spans="1:30" s="14" customFormat="1" ht="12.75" customHeight="1" x14ac:dyDescent="0.2">
      <c r="A226" s="110">
        <v>43160</v>
      </c>
      <c r="B226" s="117">
        <v>3697</v>
      </c>
      <c r="C226" s="117">
        <v>160</v>
      </c>
      <c r="D226" s="117">
        <v>3857</v>
      </c>
      <c r="E226" s="117">
        <v>342</v>
      </c>
      <c r="F226" s="117">
        <v>1570</v>
      </c>
      <c r="G226" s="117">
        <v>0</v>
      </c>
      <c r="H226" s="117">
        <v>5769</v>
      </c>
      <c r="I226" s="117">
        <v>24368</v>
      </c>
      <c r="J226" s="117">
        <v>30137</v>
      </c>
      <c r="K226" s="117">
        <v>79</v>
      </c>
      <c r="L226" s="81"/>
      <c r="M226" s="1"/>
      <c r="N226" s="115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</row>
    <row r="227" spans="1:30" s="14" customFormat="1" ht="12.75" customHeight="1" x14ac:dyDescent="0.2">
      <c r="A227" s="110">
        <v>43191</v>
      </c>
      <c r="B227" s="117">
        <v>4057</v>
      </c>
      <c r="C227" s="117">
        <v>192</v>
      </c>
      <c r="D227" s="117">
        <v>4249</v>
      </c>
      <c r="E227" s="117">
        <v>345</v>
      </c>
      <c r="F227" s="117">
        <v>1588</v>
      </c>
      <c r="G227" s="117">
        <v>0</v>
      </c>
      <c r="H227" s="117">
        <v>6182</v>
      </c>
      <c r="I227" s="117">
        <v>22970</v>
      </c>
      <c r="J227" s="117">
        <v>29152</v>
      </c>
      <c r="K227" s="117">
        <v>89</v>
      </c>
      <c r="L227" s="81"/>
      <c r="M227" s="1"/>
      <c r="N227" s="115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</row>
    <row r="228" spans="1:30" s="14" customFormat="1" ht="12.75" customHeight="1" x14ac:dyDescent="0.2">
      <c r="A228" s="110">
        <v>43221</v>
      </c>
      <c r="B228" s="117">
        <v>4890</v>
      </c>
      <c r="C228" s="117">
        <v>251</v>
      </c>
      <c r="D228" s="117">
        <v>5141</v>
      </c>
      <c r="E228" s="117">
        <v>345</v>
      </c>
      <c r="F228" s="117">
        <v>1587</v>
      </c>
      <c r="G228" s="117">
        <v>0</v>
      </c>
      <c r="H228" s="117">
        <v>7073</v>
      </c>
      <c r="I228" s="117">
        <v>23667</v>
      </c>
      <c r="J228" s="117">
        <v>30740</v>
      </c>
      <c r="K228" s="117">
        <v>149</v>
      </c>
      <c r="L228" s="81"/>
      <c r="M228" s="1"/>
      <c r="N228" s="115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</row>
    <row r="229" spans="1:30" s="14" customFormat="1" ht="12.75" customHeight="1" x14ac:dyDescent="0.2">
      <c r="A229" s="110">
        <v>43252</v>
      </c>
      <c r="B229" s="116">
        <v>4372</v>
      </c>
      <c r="C229" s="117">
        <v>274</v>
      </c>
      <c r="D229" s="117">
        <v>4646</v>
      </c>
      <c r="E229" s="117">
        <v>420</v>
      </c>
      <c r="F229" s="117">
        <v>1627</v>
      </c>
      <c r="G229" s="117">
        <v>0</v>
      </c>
      <c r="H229" s="117">
        <v>6693</v>
      </c>
      <c r="I229" s="117">
        <v>25547</v>
      </c>
      <c r="J229" s="117">
        <v>32240</v>
      </c>
      <c r="K229" s="117">
        <v>34</v>
      </c>
      <c r="L229" s="81"/>
      <c r="M229" s="1"/>
      <c r="N229" s="115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</row>
    <row r="230" spans="1:30" s="14" customFormat="1" ht="12.75" customHeight="1" x14ac:dyDescent="0.2">
      <c r="A230" s="110">
        <v>43282</v>
      </c>
      <c r="B230" s="117">
        <v>3888</v>
      </c>
      <c r="C230" s="117">
        <v>233</v>
      </c>
      <c r="D230" s="117">
        <v>4121</v>
      </c>
      <c r="E230" s="117">
        <v>415</v>
      </c>
      <c r="F230" s="117">
        <v>1998</v>
      </c>
      <c r="G230" s="117">
        <v>0</v>
      </c>
      <c r="H230" s="117">
        <v>6534</v>
      </c>
      <c r="I230" s="117">
        <v>23321</v>
      </c>
      <c r="J230" s="117">
        <v>29855</v>
      </c>
      <c r="K230" s="117">
        <v>17</v>
      </c>
      <c r="L230" s="81"/>
      <c r="M230" s="1"/>
      <c r="N230" s="115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</row>
    <row r="231" spans="1:30" s="14" customFormat="1" ht="12.75" customHeight="1" x14ac:dyDescent="0.2">
      <c r="A231" s="110">
        <v>43313</v>
      </c>
      <c r="B231" s="117">
        <v>4263</v>
      </c>
      <c r="C231" s="117">
        <v>741</v>
      </c>
      <c r="D231" s="117">
        <v>5004</v>
      </c>
      <c r="E231" s="117">
        <v>426</v>
      </c>
      <c r="F231" s="117">
        <v>2047</v>
      </c>
      <c r="G231" s="117">
        <v>0</v>
      </c>
      <c r="H231" s="117">
        <v>7477</v>
      </c>
      <c r="I231" s="117">
        <v>23985</v>
      </c>
      <c r="J231" s="117">
        <v>31462</v>
      </c>
      <c r="K231" s="117">
        <v>-71</v>
      </c>
      <c r="L231" s="81"/>
      <c r="M231" s="1"/>
      <c r="N231" s="115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</row>
    <row r="232" spans="1:30" s="14" customFormat="1" ht="12.75" customHeight="1" x14ac:dyDescent="0.2">
      <c r="A232" s="110">
        <v>43344</v>
      </c>
      <c r="B232" s="117">
        <v>4227</v>
      </c>
      <c r="C232" s="117">
        <v>895</v>
      </c>
      <c r="D232" s="117">
        <v>5122</v>
      </c>
      <c r="E232" s="117">
        <v>424</v>
      </c>
      <c r="F232" s="117">
        <v>2052</v>
      </c>
      <c r="G232" s="117">
        <v>0</v>
      </c>
      <c r="H232" s="117">
        <v>7598</v>
      </c>
      <c r="I232" s="117">
        <v>23036</v>
      </c>
      <c r="J232" s="117">
        <v>30634</v>
      </c>
      <c r="K232" s="117">
        <v>-49</v>
      </c>
      <c r="L232" s="81"/>
      <c r="M232" s="1"/>
      <c r="N232" s="115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</row>
    <row r="233" spans="1:30" s="14" customFormat="1" ht="12.75" customHeight="1" x14ac:dyDescent="0.2">
      <c r="A233" s="110">
        <v>43374</v>
      </c>
      <c r="B233" s="117">
        <v>3782</v>
      </c>
      <c r="C233" s="117">
        <v>657</v>
      </c>
      <c r="D233" s="117">
        <v>4439</v>
      </c>
      <c r="E233" s="117">
        <v>423</v>
      </c>
      <c r="F233" s="117">
        <v>2036</v>
      </c>
      <c r="G233" s="117">
        <v>0</v>
      </c>
      <c r="H233" s="117">
        <v>6898</v>
      </c>
      <c r="I233" s="117">
        <v>20747</v>
      </c>
      <c r="J233" s="117">
        <v>27645</v>
      </c>
      <c r="K233" s="117">
        <v>-17</v>
      </c>
      <c r="L233" s="81"/>
      <c r="M233" s="1"/>
      <c r="N233" s="115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</row>
    <row r="234" spans="1:30" s="14" customFormat="1" ht="12.75" customHeight="1" x14ac:dyDescent="0.2">
      <c r="A234" s="110">
        <v>43405</v>
      </c>
      <c r="B234" s="117">
        <v>2355</v>
      </c>
      <c r="C234" s="117">
        <v>808</v>
      </c>
      <c r="D234" s="117">
        <v>3163</v>
      </c>
      <c r="E234" s="117">
        <v>404</v>
      </c>
      <c r="F234" s="117">
        <v>1880</v>
      </c>
      <c r="G234" s="117">
        <v>0</v>
      </c>
      <c r="H234" s="117">
        <v>5447</v>
      </c>
      <c r="I234" s="117">
        <v>20902</v>
      </c>
      <c r="J234" s="117">
        <v>26349</v>
      </c>
      <c r="K234" s="117">
        <v>182</v>
      </c>
      <c r="L234" s="81"/>
      <c r="M234" s="1"/>
      <c r="N234" s="115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</row>
    <row r="235" spans="1:30" s="14" customFormat="1" ht="12.75" customHeight="1" x14ac:dyDescent="0.2">
      <c r="A235" s="110">
        <v>43435</v>
      </c>
      <c r="B235" s="117">
        <v>1525</v>
      </c>
      <c r="C235" s="117">
        <v>925</v>
      </c>
      <c r="D235" s="117">
        <v>2450</v>
      </c>
      <c r="E235" s="117">
        <v>454</v>
      </c>
      <c r="F235" s="117">
        <v>1923</v>
      </c>
      <c r="G235" s="117">
        <v>0</v>
      </c>
      <c r="H235" s="117">
        <v>4827</v>
      </c>
      <c r="I235" s="117">
        <v>21473</v>
      </c>
      <c r="J235" s="117">
        <v>26300</v>
      </c>
      <c r="K235" s="117">
        <v>235</v>
      </c>
      <c r="L235" s="81"/>
      <c r="M235" s="1"/>
      <c r="N235" s="115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</row>
    <row r="236" spans="1:30" s="14" customFormat="1" ht="12.75" customHeight="1" x14ac:dyDescent="0.2">
      <c r="A236" s="110">
        <v>43466</v>
      </c>
      <c r="B236" s="117">
        <v>1622</v>
      </c>
      <c r="C236" s="117">
        <v>979</v>
      </c>
      <c r="D236" s="117">
        <v>2601</v>
      </c>
      <c r="E236" s="117">
        <v>444</v>
      </c>
      <c r="F236" s="117">
        <v>1881</v>
      </c>
      <c r="G236" s="117">
        <v>0</v>
      </c>
      <c r="H236" s="117">
        <v>4926</v>
      </c>
      <c r="I236" s="117">
        <v>24608</v>
      </c>
      <c r="J236" s="117">
        <v>29534</v>
      </c>
      <c r="K236" s="117">
        <v>144</v>
      </c>
      <c r="L236" s="81"/>
      <c r="M236" s="1"/>
      <c r="N236" s="115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</row>
    <row r="237" spans="1:30" s="14" customFormat="1" ht="12.75" customHeight="1" x14ac:dyDescent="0.2">
      <c r="A237" s="110">
        <v>43497</v>
      </c>
      <c r="B237" s="117">
        <v>1812</v>
      </c>
      <c r="C237" s="117">
        <v>945</v>
      </c>
      <c r="D237" s="117">
        <v>2757</v>
      </c>
      <c r="E237" s="117">
        <v>444</v>
      </c>
      <c r="F237" s="117">
        <v>1894</v>
      </c>
      <c r="G237" s="117">
        <v>0</v>
      </c>
      <c r="H237" s="117">
        <v>5095</v>
      </c>
      <c r="I237" s="117">
        <v>23691</v>
      </c>
      <c r="J237" s="117">
        <v>28786</v>
      </c>
      <c r="K237" s="117">
        <v>-25</v>
      </c>
      <c r="L237" s="81"/>
      <c r="M237" s="1"/>
      <c r="N237" s="115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</row>
    <row r="238" spans="1:30" s="14" customFormat="1" ht="12.75" customHeight="1" x14ac:dyDescent="0.2">
      <c r="A238" s="110">
        <v>43525</v>
      </c>
      <c r="B238" s="117">
        <v>2506</v>
      </c>
      <c r="C238" s="117">
        <v>1412</v>
      </c>
      <c r="D238" s="117">
        <v>3918</v>
      </c>
      <c r="E238" s="117">
        <v>442</v>
      </c>
      <c r="F238" s="117">
        <v>1775</v>
      </c>
      <c r="G238" s="117">
        <v>0</v>
      </c>
      <c r="H238" s="117">
        <v>6135</v>
      </c>
      <c r="I238" s="117">
        <v>21581</v>
      </c>
      <c r="J238" s="117">
        <v>27716</v>
      </c>
      <c r="K238" s="117">
        <v>54</v>
      </c>
      <c r="L238" s="81"/>
      <c r="M238" s="1"/>
      <c r="N238" s="115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</row>
    <row r="239" spans="1:30" s="14" customFormat="1" ht="12.75" customHeight="1" x14ac:dyDescent="0.2">
      <c r="A239" s="110">
        <v>43585</v>
      </c>
      <c r="B239" s="117">
        <v>2359</v>
      </c>
      <c r="C239" s="117">
        <v>1523</v>
      </c>
      <c r="D239" s="117">
        <v>3882</v>
      </c>
      <c r="E239" s="117">
        <v>501</v>
      </c>
      <c r="F239" s="117">
        <v>1802</v>
      </c>
      <c r="G239" s="117">
        <v>0</v>
      </c>
      <c r="H239" s="117">
        <v>6185</v>
      </c>
      <c r="I239" s="117">
        <v>21007</v>
      </c>
      <c r="J239" s="117">
        <v>27192</v>
      </c>
      <c r="K239" s="117">
        <v>134</v>
      </c>
      <c r="L239" s="81"/>
      <c r="M239" s="1"/>
      <c r="N239" s="115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</row>
    <row r="240" spans="1:30" s="14" customFormat="1" ht="12.75" customHeight="1" x14ac:dyDescent="0.2">
      <c r="A240" s="110">
        <v>43616</v>
      </c>
      <c r="B240" s="117">
        <v>3707</v>
      </c>
      <c r="C240" s="117">
        <v>1061</v>
      </c>
      <c r="D240" s="117">
        <v>4768</v>
      </c>
      <c r="E240" s="117">
        <v>511</v>
      </c>
      <c r="F240" s="117">
        <v>1785</v>
      </c>
      <c r="G240" s="117">
        <v>0</v>
      </c>
      <c r="H240" s="117">
        <v>7064</v>
      </c>
      <c r="I240" s="117">
        <v>22165</v>
      </c>
      <c r="J240" s="117">
        <v>29229</v>
      </c>
      <c r="K240" s="117">
        <v>136</v>
      </c>
      <c r="L240" s="81"/>
      <c r="M240" s="1"/>
      <c r="N240" s="115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</row>
    <row r="241" spans="1:30" s="14" customFormat="1" ht="12.75" customHeight="1" x14ac:dyDescent="0.2">
      <c r="A241" s="110">
        <v>43646</v>
      </c>
      <c r="B241" s="117">
        <v>4683</v>
      </c>
      <c r="C241" s="117">
        <v>475</v>
      </c>
      <c r="D241" s="117">
        <v>5158</v>
      </c>
      <c r="E241" s="117">
        <v>494</v>
      </c>
      <c r="F241" s="117">
        <v>1826</v>
      </c>
      <c r="G241" s="117">
        <v>0</v>
      </c>
      <c r="H241" s="117">
        <v>7478</v>
      </c>
      <c r="I241" s="117">
        <v>21790</v>
      </c>
      <c r="J241" s="117">
        <v>29268</v>
      </c>
      <c r="K241" s="117">
        <v>197</v>
      </c>
      <c r="L241" s="81"/>
      <c r="M241" s="1"/>
      <c r="N241" s="115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</row>
    <row r="242" spans="1:30" s="14" customFormat="1" ht="12.75" customHeight="1" x14ac:dyDescent="0.2">
      <c r="A242" s="110">
        <v>43677</v>
      </c>
      <c r="B242" s="117">
        <v>4137</v>
      </c>
      <c r="C242" s="117">
        <v>577</v>
      </c>
      <c r="D242" s="117">
        <v>4714</v>
      </c>
      <c r="E242" s="117">
        <v>541</v>
      </c>
      <c r="F242" s="117">
        <v>1836</v>
      </c>
      <c r="G242" s="117">
        <v>0</v>
      </c>
      <c r="H242" s="117">
        <v>7091</v>
      </c>
      <c r="I242" s="117">
        <v>19837</v>
      </c>
      <c r="J242" s="117">
        <v>26928</v>
      </c>
      <c r="K242" s="117">
        <v>-4</v>
      </c>
      <c r="L242" s="81"/>
      <c r="M242" s="1"/>
      <c r="N242" s="115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</row>
    <row r="243" spans="1:30" s="14" customFormat="1" ht="12.75" customHeight="1" x14ac:dyDescent="0.2">
      <c r="A243" s="110">
        <v>43708</v>
      </c>
      <c r="B243" s="117">
        <v>4404</v>
      </c>
      <c r="C243" s="117">
        <v>995</v>
      </c>
      <c r="D243" s="117">
        <v>5399</v>
      </c>
      <c r="E243" s="117">
        <v>563</v>
      </c>
      <c r="F243" s="117">
        <v>1911</v>
      </c>
      <c r="G243" s="117">
        <v>0</v>
      </c>
      <c r="H243" s="117">
        <v>7873</v>
      </c>
      <c r="I243" s="117">
        <v>19735</v>
      </c>
      <c r="J243" s="117">
        <v>27608</v>
      </c>
      <c r="K243" s="117">
        <v>220</v>
      </c>
      <c r="L243" s="81"/>
      <c r="M243" s="1"/>
      <c r="N243" s="115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</row>
    <row r="244" spans="1:30" s="14" customFormat="1" ht="12.75" customHeight="1" x14ac:dyDescent="0.2">
      <c r="A244" s="110">
        <v>43738</v>
      </c>
      <c r="B244" s="117">
        <v>5153</v>
      </c>
      <c r="C244" s="117">
        <v>956</v>
      </c>
      <c r="D244" s="117">
        <v>6109</v>
      </c>
      <c r="E244" s="117">
        <v>564</v>
      </c>
      <c r="F244" s="117">
        <v>1915</v>
      </c>
      <c r="G244" s="117">
        <v>0</v>
      </c>
      <c r="H244" s="117">
        <v>8588</v>
      </c>
      <c r="I244" s="117">
        <v>20734</v>
      </c>
      <c r="J244" s="117">
        <v>29322</v>
      </c>
      <c r="K244" s="117">
        <v>-5</v>
      </c>
      <c r="L244" s="81"/>
      <c r="M244" s="1"/>
      <c r="N244" s="115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</row>
    <row r="245" spans="1:30" s="14" customFormat="1" ht="12.75" customHeight="1" x14ac:dyDescent="0.2">
      <c r="A245" s="110">
        <v>43769</v>
      </c>
      <c r="B245" s="117">
        <v>5670</v>
      </c>
      <c r="C245" s="117">
        <v>892</v>
      </c>
      <c r="D245" s="117">
        <v>6562</v>
      </c>
      <c r="E245" s="117">
        <v>557</v>
      </c>
      <c r="F245" s="117">
        <v>1893</v>
      </c>
      <c r="G245" s="117">
        <v>0</v>
      </c>
      <c r="H245" s="117">
        <v>9012</v>
      </c>
      <c r="I245" s="117">
        <v>18402</v>
      </c>
      <c r="J245" s="117">
        <v>27414</v>
      </c>
      <c r="K245" s="117">
        <v>80</v>
      </c>
      <c r="L245" s="81"/>
      <c r="M245" s="1"/>
      <c r="N245" s="115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</row>
    <row r="246" spans="1:30" s="14" customFormat="1" ht="12.75" customHeight="1" x14ac:dyDescent="0.2">
      <c r="A246" s="110">
        <v>43799</v>
      </c>
      <c r="B246" s="117">
        <v>4870</v>
      </c>
      <c r="C246" s="117">
        <v>943</v>
      </c>
      <c r="D246" s="117">
        <v>5813</v>
      </c>
      <c r="E246" s="117">
        <v>554</v>
      </c>
      <c r="F246" s="117">
        <v>1869</v>
      </c>
      <c r="G246" s="117">
        <v>0</v>
      </c>
      <c r="H246" s="117">
        <v>8236</v>
      </c>
      <c r="I246" s="117">
        <v>20366</v>
      </c>
      <c r="J246" s="117">
        <v>28602</v>
      </c>
      <c r="K246" s="117">
        <v>86</v>
      </c>
      <c r="L246" s="81"/>
      <c r="M246" s="1"/>
      <c r="N246" s="115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 spans="1:30" s="14" customFormat="1" ht="12.75" customHeight="1" x14ac:dyDescent="0.2">
      <c r="A247" s="110">
        <v>43830</v>
      </c>
      <c r="B247" s="117">
        <v>4351</v>
      </c>
      <c r="C247" s="117">
        <v>792</v>
      </c>
      <c r="D247" s="117">
        <v>5143</v>
      </c>
      <c r="E247" s="117">
        <v>531</v>
      </c>
      <c r="F247" s="117">
        <v>1778</v>
      </c>
      <c r="G247" s="117">
        <v>0</v>
      </c>
      <c r="H247" s="117">
        <v>7452</v>
      </c>
      <c r="I247" s="117">
        <v>19006</v>
      </c>
      <c r="J247" s="117">
        <v>26458</v>
      </c>
      <c r="K247" s="117">
        <v>205</v>
      </c>
      <c r="L247" s="81"/>
      <c r="M247" s="1"/>
      <c r="N247" s="115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 spans="1:30" s="14" customFormat="1" ht="12.75" customHeight="1" x14ac:dyDescent="0.2">
      <c r="A248" s="110">
        <v>43861</v>
      </c>
      <c r="B248" s="117">
        <v>3980</v>
      </c>
      <c r="C248" s="117">
        <v>785</v>
      </c>
      <c r="D248" s="117">
        <v>4765</v>
      </c>
      <c r="E248" s="117">
        <v>542</v>
      </c>
      <c r="F248" s="117">
        <v>1834</v>
      </c>
      <c r="G248" s="117">
        <v>0</v>
      </c>
      <c r="H248" s="117">
        <v>7141</v>
      </c>
      <c r="I248" s="117">
        <v>22901</v>
      </c>
      <c r="J248" s="117">
        <v>30042</v>
      </c>
      <c r="K248" s="117">
        <v>61</v>
      </c>
      <c r="L248" s="81"/>
      <c r="M248" s="1"/>
      <c r="N248" s="115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 spans="1:30" s="14" customFormat="1" ht="12.75" customHeight="1" x14ac:dyDescent="0.2">
      <c r="A249" s="110">
        <v>43890</v>
      </c>
      <c r="B249" s="117">
        <v>4398</v>
      </c>
      <c r="C249" s="117">
        <v>1267</v>
      </c>
      <c r="D249" s="117">
        <v>5665</v>
      </c>
      <c r="E249" s="117">
        <v>558</v>
      </c>
      <c r="F249" s="117">
        <v>1889</v>
      </c>
      <c r="G249" s="117">
        <v>0</v>
      </c>
      <c r="H249" s="117">
        <v>8112</v>
      </c>
      <c r="I249" s="117">
        <v>22994</v>
      </c>
      <c r="J249" s="117">
        <v>31106</v>
      </c>
      <c r="K249" s="117">
        <v>181</v>
      </c>
      <c r="L249" s="81"/>
      <c r="M249" s="1"/>
      <c r="N249" s="115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</row>
    <row r="250" spans="1:30" s="14" customFormat="1" ht="12.75" customHeight="1" x14ac:dyDescent="0.2">
      <c r="A250" s="110">
        <v>43921</v>
      </c>
      <c r="B250" s="117">
        <v>3134</v>
      </c>
      <c r="C250" s="117">
        <v>2102</v>
      </c>
      <c r="D250" s="117">
        <v>5236</v>
      </c>
      <c r="E250" s="117">
        <v>578</v>
      </c>
      <c r="F250" s="117">
        <v>1963</v>
      </c>
      <c r="G250" s="117">
        <v>0</v>
      </c>
      <c r="H250" s="117">
        <v>7777</v>
      </c>
      <c r="I250" s="117">
        <v>31389</v>
      </c>
      <c r="J250" s="117">
        <v>39166</v>
      </c>
      <c r="K250" s="117">
        <v>-39</v>
      </c>
      <c r="L250" s="81"/>
      <c r="M250" s="1"/>
      <c r="N250" s="115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 spans="1:30" s="14" customFormat="1" ht="12.75" customHeight="1" x14ac:dyDescent="0.2">
      <c r="A251" s="110">
        <v>43951</v>
      </c>
      <c r="B251" s="117">
        <v>1464</v>
      </c>
      <c r="C251" s="117">
        <v>1049</v>
      </c>
      <c r="D251" s="117">
        <v>2513</v>
      </c>
      <c r="E251" s="117">
        <v>616</v>
      </c>
      <c r="F251" s="117">
        <v>1957</v>
      </c>
      <c r="G251" s="117">
        <v>0</v>
      </c>
      <c r="H251" s="117">
        <v>5086</v>
      </c>
      <c r="I251" s="117">
        <v>28186</v>
      </c>
      <c r="J251" s="117">
        <v>33272</v>
      </c>
      <c r="K251" s="117">
        <v>67</v>
      </c>
      <c r="L251" s="81"/>
      <c r="M251" s="1"/>
      <c r="N251" s="115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</row>
    <row r="252" spans="1:30" s="14" customFormat="1" ht="12.75" customHeight="1" x14ac:dyDescent="0.2">
      <c r="A252" s="110">
        <v>43982</v>
      </c>
      <c r="B252" s="117">
        <v>1603</v>
      </c>
      <c r="C252" s="117">
        <v>2205</v>
      </c>
      <c r="D252" s="117">
        <v>3808</v>
      </c>
      <c r="E252" s="117">
        <v>671</v>
      </c>
      <c r="F252" s="117">
        <v>1883</v>
      </c>
      <c r="G252" s="117">
        <v>0</v>
      </c>
      <c r="H252" s="117">
        <v>6362</v>
      </c>
      <c r="I252" s="117">
        <v>24830</v>
      </c>
      <c r="J252" s="117">
        <v>31192</v>
      </c>
      <c r="K252" s="117">
        <v>61</v>
      </c>
      <c r="L252" s="81"/>
      <c r="M252" s="1"/>
      <c r="N252" s="115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</row>
    <row r="253" spans="1:30" s="14" customFormat="1" ht="12.75" customHeight="1" x14ac:dyDescent="0.2">
      <c r="A253" s="110">
        <v>44012</v>
      </c>
      <c r="B253" s="117">
        <v>4175</v>
      </c>
      <c r="C253" s="117">
        <v>1369</v>
      </c>
      <c r="D253" s="117">
        <v>5544</v>
      </c>
      <c r="E253" s="117">
        <v>652</v>
      </c>
      <c r="F253" s="117">
        <v>1878</v>
      </c>
      <c r="G253" s="117">
        <v>0</v>
      </c>
      <c r="H253" s="117">
        <v>8074</v>
      </c>
      <c r="I253" s="117">
        <v>24874</v>
      </c>
      <c r="J253" s="117">
        <v>32948</v>
      </c>
      <c r="K253" s="117">
        <v>-14</v>
      </c>
      <c r="L253" s="81"/>
      <c r="M253" s="1"/>
      <c r="N253" s="115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</row>
    <row r="254" spans="1:30" s="14" customFormat="1" ht="12.75" customHeight="1" x14ac:dyDescent="0.2">
      <c r="A254" s="110">
        <v>44043</v>
      </c>
      <c r="B254" s="117">
        <v>4437</v>
      </c>
      <c r="C254" s="117">
        <v>909</v>
      </c>
      <c r="D254" s="117">
        <v>5346</v>
      </c>
      <c r="E254" s="117">
        <v>643</v>
      </c>
      <c r="F254" s="117">
        <v>1853</v>
      </c>
      <c r="G254" s="117">
        <v>0</v>
      </c>
      <c r="H254" s="117">
        <v>7842</v>
      </c>
      <c r="I254" s="117">
        <v>20778</v>
      </c>
      <c r="J254" s="117">
        <v>28620</v>
      </c>
      <c r="K254" s="117">
        <v>167</v>
      </c>
      <c r="L254" s="81"/>
      <c r="M254" s="1"/>
      <c r="N254" s="115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</row>
    <row r="255" spans="1:30" s="14" customFormat="1" ht="12.75" customHeight="1" x14ac:dyDescent="0.2">
      <c r="A255" s="110">
        <v>44074</v>
      </c>
      <c r="B255" s="117">
        <v>4967</v>
      </c>
      <c r="C255" s="117">
        <v>1091</v>
      </c>
      <c r="D255" s="117">
        <v>6058</v>
      </c>
      <c r="E255" s="117">
        <v>640</v>
      </c>
      <c r="F255" s="117">
        <v>1845</v>
      </c>
      <c r="G255" s="117">
        <v>0</v>
      </c>
      <c r="H255" s="117">
        <v>8543</v>
      </c>
      <c r="I255" s="117">
        <v>15860</v>
      </c>
      <c r="J255" s="117">
        <v>24403</v>
      </c>
      <c r="K255" s="117">
        <v>283</v>
      </c>
      <c r="L255" s="81"/>
      <c r="M255" s="1"/>
      <c r="N255" s="115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</row>
    <row r="256" spans="1:30" s="14" customFormat="1" ht="12.75" customHeight="1" x14ac:dyDescent="0.2">
      <c r="A256" s="110">
        <v>44104</v>
      </c>
      <c r="B256" s="117">
        <v>5849</v>
      </c>
      <c r="C256" s="117">
        <v>1395</v>
      </c>
      <c r="D256" s="117">
        <v>7244</v>
      </c>
      <c r="E256" s="117">
        <v>708</v>
      </c>
      <c r="F256" s="117">
        <v>1855</v>
      </c>
      <c r="G256" s="117">
        <v>0</v>
      </c>
      <c r="H256" s="117">
        <v>9807</v>
      </c>
      <c r="I256" s="117">
        <v>11857</v>
      </c>
      <c r="J256" s="117">
        <v>21664</v>
      </c>
      <c r="K256" s="117">
        <v>179</v>
      </c>
      <c r="L256" s="81"/>
      <c r="M256" s="1"/>
      <c r="N256" s="115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 spans="1:30" s="14" customFormat="1" ht="12.75" customHeight="1" x14ac:dyDescent="0.2">
      <c r="A257" s="110">
        <v>44135</v>
      </c>
      <c r="B257" s="117">
        <v>5425</v>
      </c>
      <c r="C257" s="117">
        <v>458</v>
      </c>
      <c r="D257" s="117">
        <v>5883</v>
      </c>
      <c r="E257" s="117">
        <v>706</v>
      </c>
      <c r="F257" s="117">
        <v>1850</v>
      </c>
      <c r="G257" s="117">
        <v>0</v>
      </c>
      <c r="H257" s="117">
        <v>8439</v>
      </c>
      <c r="I257" s="117">
        <v>11658</v>
      </c>
      <c r="J257" s="117">
        <v>20097</v>
      </c>
      <c r="K257" s="117">
        <v>109</v>
      </c>
      <c r="L257" s="81"/>
      <c r="M257" s="1"/>
      <c r="N257" s="115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</row>
    <row r="258" spans="1:30" s="14" customFormat="1" ht="12.75" customHeight="1" x14ac:dyDescent="0.2">
      <c r="A258" s="110">
        <v>44165</v>
      </c>
      <c r="B258" s="117">
        <v>5597</v>
      </c>
      <c r="C258" s="117">
        <v>396</v>
      </c>
      <c r="D258" s="117">
        <v>5993</v>
      </c>
      <c r="E258" s="117">
        <v>675</v>
      </c>
      <c r="F258" s="117">
        <v>1768</v>
      </c>
      <c r="G258" s="117">
        <v>0</v>
      </c>
      <c r="H258" s="117">
        <v>8436</v>
      </c>
      <c r="I258" s="117">
        <v>11424</v>
      </c>
      <c r="J258" s="117">
        <v>19860</v>
      </c>
      <c r="K258" s="117">
        <v>318</v>
      </c>
      <c r="L258" s="81"/>
      <c r="M258" s="1"/>
      <c r="N258" s="115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</row>
    <row r="259" spans="1:30" s="14" customFormat="1" ht="12.75" customHeight="1" x14ac:dyDescent="0.2">
      <c r="A259" s="110">
        <v>44196</v>
      </c>
      <c r="B259" s="117">
        <v>4930</v>
      </c>
      <c r="C259" s="117">
        <v>326</v>
      </c>
      <c r="D259" s="117">
        <v>5256</v>
      </c>
      <c r="E259" s="117">
        <v>666</v>
      </c>
      <c r="F259" s="117">
        <v>1744</v>
      </c>
      <c r="G259" s="117">
        <v>0</v>
      </c>
      <c r="H259" s="117">
        <v>7666</v>
      </c>
      <c r="I259" s="117">
        <v>11355</v>
      </c>
      <c r="J259" s="117">
        <v>19021</v>
      </c>
      <c r="K259" s="117">
        <v>347</v>
      </c>
      <c r="L259" s="81"/>
      <c r="M259" s="1"/>
      <c r="N259" s="115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</row>
    <row r="260" spans="1:30" s="14" customFormat="1" ht="12.75" customHeight="1" x14ac:dyDescent="0.2">
      <c r="A260" s="110">
        <v>44227</v>
      </c>
      <c r="B260" s="117">
        <v>4323</v>
      </c>
      <c r="C260" s="117">
        <v>568</v>
      </c>
      <c r="D260" s="117">
        <v>4891</v>
      </c>
      <c r="E260" s="117">
        <v>667</v>
      </c>
      <c r="F260" s="117">
        <v>1745</v>
      </c>
      <c r="G260" s="117">
        <v>0</v>
      </c>
      <c r="H260" s="117">
        <v>7303</v>
      </c>
      <c r="I260" s="117">
        <v>11412</v>
      </c>
      <c r="J260" s="117">
        <v>18715</v>
      </c>
      <c r="K260" s="117">
        <v>271</v>
      </c>
      <c r="L260" s="81"/>
      <c r="M260" s="1"/>
      <c r="N260" s="115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 spans="1:30" s="14" customFormat="1" ht="12.75" customHeight="1" x14ac:dyDescent="0.2">
      <c r="A261" s="110">
        <v>44255</v>
      </c>
      <c r="B261" s="117">
        <v>3839</v>
      </c>
      <c r="C261" s="117">
        <v>282</v>
      </c>
      <c r="D261" s="117">
        <v>4121</v>
      </c>
      <c r="E261" s="117">
        <v>650</v>
      </c>
      <c r="F261" s="117">
        <v>1700</v>
      </c>
      <c r="G261" s="117">
        <v>0</v>
      </c>
      <c r="H261" s="117">
        <v>6471</v>
      </c>
      <c r="I261" s="117">
        <v>11585</v>
      </c>
      <c r="J261" s="117">
        <v>18056</v>
      </c>
      <c r="K261" s="117">
        <v>191</v>
      </c>
      <c r="L261" s="81"/>
      <c r="M261" s="1"/>
      <c r="N261" s="115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 spans="1:30" s="14" customFormat="1" ht="12.75" customHeight="1" x14ac:dyDescent="0.2">
      <c r="A262" s="110">
        <v>44286</v>
      </c>
      <c r="B262" s="117">
        <v>3717</v>
      </c>
      <c r="C262" s="117">
        <v>426</v>
      </c>
      <c r="D262" s="117">
        <v>4143</v>
      </c>
      <c r="E262" s="117">
        <v>665</v>
      </c>
      <c r="F262" s="117">
        <v>1760</v>
      </c>
      <c r="G262" s="117">
        <v>0</v>
      </c>
      <c r="H262" s="117">
        <v>6568</v>
      </c>
      <c r="I262" s="117">
        <v>11922</v>
      </c>
      <c r="J262" s="117">
        <v>18490</v>
      </c>
      <c r="K262" s="117">
        <v>68</v>
      </c>
      <c r="L262" s="81"/>
      <c r="M262" s="1"/>
      <c r="N262" s="115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</row>
    <row r="263" spans="1:30" s="14" customFormat="1" ht="12.75" customHeight="1" x14ac:dyDescent="0.2">
      <c r="A263" s="110">
        <v>44316</v>
      </c>
      <c r="B263" s="117">
        <v>4168</v>
      </c>
      <c r="C263" s="117">
        <v>506</v>
      </c>
      <c r="D263" s="117">
        <v>4674</v>
      </c>
      <c r="E263" s="117">
        <v>682</v>
      </c>
      <c r="F263" s="117">
        <v>1721</v>
      </c>
      <c r="G263" s="117">
        <v>0</v>
      </c>
      <c r="H263" s="117">
        <v>7077</v>
      </c>
      <c r="I263" s="117">
        <v>13076</v>
      </c>
      <c r="J263" s="117">
        <v>20153</v>
      </c>
      <c r="K263" s="117">
        <v>98</v>
      </c>
      <c r="L263" s="81"/>
      <c r="M263" s="1"/>
      <c r="N263" s="115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</row>
    <row r="264" spans="1:30" s="14" customFormat="1" ht="12.75" customHeight="1" x14ac:dyDescent="0.2">
      <c r="A264" s="110">
        <v>44347</v>
      </c>
      <c r="B264" s="117">
        <v>3827</v>
      </c>
      <c r="C264" s="117">
        <v>281</v>
      </c>
      <c r="D264" s="117">
        <v>4108</v>
      </c>
      <c r="E264" s="117">
        <v>685</v>
      </c>
      <c r="F264" s="117">
        <v>1728</v>
      </c>
      <c r="G264" s="117">
        <v>0</v>
      </c>
      <c r="H264" s="117">
        <v>6521</v>
      </c>
      <c r="I264" s="117">
        <v>12274</v>
      </c>
      <c r="J264" s="117">
        <v>18795</v>
      </c>
      <c r="K264" s="117">
        <v>198</v>
      </c>
      <c r="L264" s="81"/>
      <c r="M264" s="1"/>
      <c r="N264" s="115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</row>
    <row r="265" spans="1:30" s="14" customFormat="1" ht="12.75" customHeight="1" x14ac:dyDescent="0.2">
      <c r="A265" s="110">
        <v>44377</v>
      </c>
      <c r="B265" s="117">
        <v>3744</v>
      </c>
      <c r="C265" s="117">
        <v>555</v>
      </c>
      <c r="D265" s="117">
        <v>4299</v>
      </c>
      <c r="E265" s="117">
        <v>702</v>
      </c>
      <c r="F265" s="117">
        <v>1769</v>
      </c>
      <c r="G265" s="117">
        <v>0</v>
      </c>
      <c r="H265" s="117">
        <v>6770</v>
      </c>
      <c r="I265" s="117">
        <v>13207</v>
      </c>
      <c r="J265" s="117">
        <v>19977</v>
      </c>
      <c r="K265" s="117">
        <v>69</v>
      </c>
      <c r="L265" s="81"/>
      <c r="M265" s="1"/>
      <c r="N265" s="115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</row>
    <row r="266" spans="1:30" s="14" customFormat="1" ht="12.75" customHeight="1" x14ac:dyDescent="0.2">
      <c r="A266" s="110">
        <v>44408</v>
      </c>
      <c r="B266" s="117">
        <v>3491</v>
      </c>
      <c r="C266" s="117">
        <v>868</v>
      </c>
      <c r="D266" s="117">
        <v>4359</v>
      </c>
      <c r="E266" s="117">
        <v>702</v>
      </c>
      <c r="F266" s="117">
        <v>1770</v>
      </c>
      <c r="G266" s="117">
        <v>0</v>
      </c>
      <c r="H266" s="117">
        <v>6831</v>
      </c>
      <c r="I266" s="117">
        <v>10768</v>
      </c>
      <c r="J266" s="117">
        <v>17599</v>
      </c>
      <c r="K266" s="117">
        <v>42</v>
      </c>
      <c r="L266" s="81"/>
      <c r="M266" s="1"/>
      <c r="N266" s="115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</row>
    <row r="267" spans="1:30" s="14" customFormat="1" ht="12.75" customHeight="1" x14ac:dyDescent="0.2">
      <c r="A267" s="110">
        <v>44439</v>
      </c>
      <c r="B267" s="117">
        <v>3249</v>
      </c>
      <c r="C267" s="117">
        <v>609</v>
      </c>
      <c r="D267" s="117">
        <v>3858</v>
      </c>
      <c r="E267" s="117">
        <v>696</v>
      </c>
      <c r="F267" s="117">
        <v>4166</v>
      </c>
      <c r="G267" s="117">
        <v>0</v>
      </c>
      <c r="H267" s="117">
        <v>8720</v>
      </c>
      <c r="I267" s="117">
        <v>13902</v>
      </c>
      <c r="J267" s="117">
        <v>22622</v>
      </c>
      <c r="K267" s="117">
        <v>100</v>
      </c>
      <c r="L267" s="81"/>
      <c r="M267" s="1"/>
      <c r="N267" s="115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</row>
    <row r="268" spans="1:30" s="14" customFormat="1" ht="12.75" customHeight="1" x14ac:dyDescent="0.2">
      <c r="A268" s="110">
        <v>44469</v>
      </c>
      <c r="B268" s="117">
        <v>3297</v>
      </c>
      <c r="C268" s="117">
        <v>425</v>
      </c>
      <c r="D268" s="117">
        <v>3722</v>
      </c>
      <c r="E268" s="117">
        <v>702</v>
      </c>
      <c r="F268" s="117">
        <v>4321</v>
      </c>
      <c r="G268" s="117">
        <v>0</v>
      </c>
      <c r="H268" s="117">
        <v>8745</v>
      </c>
      <c r="I268" s="117">
        <v>13895</v>
      </c>
      <c r="J268" s="117">
        <v>22640</v>
      </c>
      <c r="K268" s="117">
        <v>118</v>
      </c>
      <c r="L268" s="81"/>
      <c r="M268" s="1"/>
      <c r="N268" s="115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</row>
    <row r="269" spans="1:30" s="14" customFormat="1" ht="12.75" customHeight="1" x14ac:dyDescent="0.2">
      <c r="A269" s="110">
        <v>44500</v>
      </c>
      <c r="B269" s="117">
        <v>3589</v>
      </c>
      <c r="C269" s="117">
        <v>430</v>
      </c>
      <c r="D269" s="117">
        <v>4019</v>
      </c>
      <c r="E269" s="117">
        <v>675</v>
      </c>
      <c r="F269" s="117">
        <v>4159</v>
      </c>
      <c r="G269" s="117">
        <v>0</v>
      </c>
      <c r="H269" s="117">
        <v>8853</v>
      </c>
      <c r="I269" s="117">
        <v>14573</v>
      </c>
      <c r="J269" s="117">
        <v>23426</v>
      </c>
      <c r="K269" s="117">
        <v>399</v>
      </c>
      <c r="L269" s="81"/>
      <c r="M269" s="1"/>
      <c r="N269" s="115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</row>
    <row r="270" spans="1:30" s="14" customFormat="1" ht="12.75" customHeight="1" x14ac:dyDescent="0.2">
      <c r="A270" s="110">
        <v>44530</v>
      </c>
      <c r="B270" s="117">
        <v>3839</v>
      </c>
      <c r="C270" s="117">
        <v>470</v>
      </c>
      <c r="D270" s="117">
        <v>4309</v>
      </c>
      <c r="E270" s="117">
        <v>701</v>
      </c>
      <c r="F270" s="117">
        <v>4344</v>
      </c>
      <c r="G270" s="117">
        <v>0</v>
      </c>
      <c r="H270" s="117">
        <v>9354</v>
      </c>
      <c r="I270" s="117">
        <v>12469</v>
      </c>
      <c r="J270" s="117">
        <v>21823</v>
      </c>
      <c r="K270" s="117">
        <v>292</v>
      </c>
      <c r="L270" s="81"/>
      <c r="M270" s="1"/>
      <c r="N270" s="115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</row>
    <row r="271" spans="1:30" s="14" customFormat="1" ht="12.75" customHeight="1" x14ac:dyDescent="0.2">
      <c r="A271" s="110">
        <v>44561</v>
      </c>
      <c r="B271" s="117">
        <v>3714</v>
      </c>
      <c r="C271" s="117">
        <v>549</v>
      </c>
      <c r="D271" s="117">
        <v>4263</v>
      </c>
      <c r="E271" s="117">
        <v>701</v>
      </c>
      <c r="F271" s="117">
        <v>4347</v>
      </c>
      <c r="G271" s="117">
        <v>0</v>
      </c>
      <c r="H271" s="117">
        <v>9311</v>
      </c>
      <c r="I271" s="117">
        <v>14274</v>
      </c>
      <c r="J271" s="117">
        <v>23585</v>
      </c>
      <c r="K271" s="117">
        <v>231</v>
      </c>
      <c r="L271" s="81"/>
      <c r="M271" s="1"/>
      <c r="N271" s="115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</row>
    <row r="272" spans="1:30" s="14" customFormat="1" ht="12.75" customHeight="1" x14ac:dyDescent="0.2">
      <c r="A272" s="110">
        <v>44592</v>
      </c>
      <c r="B272" s="117">
        <v>3648</v>
      </c>
      <c r="C272" s="117">
        <v>468</v>
      </c>
      <c r="D272" s="117">
        <v>4116</v>
      </c>
      <c r="E272" s="117">
        <v>726</v>
      </c>
      <c r="F272" s="117">
        <v>4502</v>
      </c>
      <c r="G272" s="117">
        <v>0</v>
      </c>
      <c r="H272" s="117">
        <v>9344</v>
      </c>
      <c r="I272" s="117">
        <v>12890</v>
      </c>
      <c r="J272" s="117">
        <v>22234</v>
      </c>
      <c r="K272" s="117">
        <v>277</v>
      </c>
      <c r="L272" s="81"/>
      <c r="M272" s="1"/>
      <c r="N272" s="115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</row>
    <row r="273" spans="1:30" s="14" customFormat="1" ht="12.75" customHeight="1" x14ac:dyDescent="0.2">
      <c r="A273" s="110">
        <v>44620</v>
      </c>
      <c r="B273" s="117">
        <v>3385</v>
      </c>
      <c r="C273" s="117">
        <v>387</v>
      </c>
      <c r="D273" s="117">
        <v>3772</v>
      </c>
      <c r="E273" s="117">
        <v>714</v>
      </c>
      <c r="F273" s="117">
        <v>4419</v>
      </c>
      <c r="G273" s="117">
        <v>0</v>
      </c>
      <c r="H273" s="117">
        <v>8905</v>
      </c>
      <c r="I273" s="117">
        <v>12689</v>
      </c>
      <c r="J273" s="117">
        <v>21594</v>
      </c>
      <c r="K273" s="117">
        <v>444</v>
      </c>
      <c r="L273" s="81"/>
      <c r="M273" s="1"/>
      <c r="N273" s="115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</row>
    <row r="274" spans="1:30" s="14" customFormat="1" ht="12.75" customHeight="1" x14ac:dyDescent="0.2">
      <c r="A274" s="110">
        <v>44651</v>
      </c>
      <c r="B274" s="117">
        <v>3848</v>
      </c>
      <c r="C274" s="117">
        <v>371</v>
      </c>
      <c r="D274" s="117">
        <v>4219</v>
      </c>
      <c r="E274" s="117">
        <v>703</v>
      </c>
      <c r="F274" s="117">
        <v>4214</v>
      </c>
      <c r="G274" s="117">
        <v>0</v>
      </c>
      <c r="H274" s="117">
        <v>9136</v>
      </c>
      <c r="I274" s="117">
        <v>14123</v>
      </c>
      <c r="J274" s="117">
        <v>23259</v>
      </c>
      <c r="K274" s="117">
        <v>646</v>
      </c>
      <c r="L274" s="81"/>
      <c r="M274" s="1"/>
      <c r="N274" s="115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</row>
    <row r="275" spans="1:30" s="14" customFormat="1" ht="12.75" customHeight="1" x14ac:dyDescent="0.2">
      <c r="A275" s="110">
        <v>44681</v>
      </c>
      <c r="B275" s="117">
        <v>3731</v>
      </c>
      <c r="C275" s="117">
        <v>474</v>
      </c>
      <c r="D275" s="117">
        <v>4205</v>
      </c>
      <c r="E275" s="117">
        <v>725</v>
      </c>
      <c r="F275" s="117">
        <v>4371</v>
      </c>
      <c r="G275" s="117">
        <v>0</v>
      </c>
      <c r="H275" s="117">
        <v>9301</v>
      </c>
      <c r="I275" s="117">
        <v>8936</v>
      </c>
      <c r="J275" s="117">
        <v>18237</v>
      </c>
      <c r="K275" s="117">
        <v>702</v>
      </c>
      <c r="L275" s="81"/>
      <c r="M275" s="1"/>
      <c r="N275" s="115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</row>
    <row r="276" spans="1:30" s="14" customFormat="1" ht="12.75" customHeight="1" x14ac:dyDescent="0.2">
      <c r="A276" s="110">
        <v>44712</v>
      </c>
      <c r="B276" s="117">
        <v>3143</v>
      </c>
      <c r="C276" s="117">
        <v>613</v>
      </c>
      <c r="D276" s="117">
        <v>3756</v>
      </c>
      <c r="E276" s="117">
        <v>726</v>
      </c>
      <c r="F276" s="117">
        <v>4410</v>
      </c>
      <c r="G276" s="117">
        <v>0</v>
      </c>
      <c r="H276" s="117">
        <v>8892</v>
      </c>
      <c r="I276" s="117">
        <v>13203</v>
      </c>
      <c r="J276" s="117">
        <v>22095</v>
      </c>
      <c r="K276" s="117">
        <v>732</v>
      </c>
      <c r="L276" s="81"/>
      <c r="M276" s="1"/>
      <c r="N276" s="115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</row>
    <row r="277" spans="1:30" s="14" customFormat="1" ht="12.75" customHeight="1" x14ac:dyDescent="0.2">
      <c r="A277" s="110">
        <v>44742</v>
      </c>
      <c r="B277" s="117">
        <v>3063</v>
      </c>
      <c r="C277" s="117">
        <v>714</v>
      </c>
      <c r="D277" s="117">
        <v>3777</v>
      </c>
      <c r="E277" s="117">
        <v>751</v>
      </c>
      <c r="F277" s="117">
        <v>4565</v>
      </c>
      <c r="G277" s="117">
        <v>0</v>
      </c>
      <c r="H277" s="117">
        <v>9093</v>
      </c>
      <c r="I277" s="117">
        <v>10911</v>
      </c>
      <c r="J277" s="117">
        <v>20004</v>
      </c>
      <c r="K277" s="117">
        <v>764</v>
      </c>
      <c r="L277" s="81"/>
      <c r="M277" s="1"/>
      <c r="N277" s="115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</row>
    <row r="278" spans="1:30" s="14" customFormat="1" ht="12.75" customHeight="1" x14ac:dyDescent="0.2">
      <c r="A278" s="110">
        <v>44773</v>
      </c>
      <c r="B278" s="117">
        <v>3083</v>
      </c>
      <c r="C278" s="117">
        <v>697</v>
      </c>
      <c r="D278" s="117">
        <v>3780</v>
      </c>
      <c r="E278" s="117">
        <v>745</v>
      </c>
      <c r="F278" s="117">
        <v>4477</v>
      </c>
      <c r="G278" s="117">
        <v>0</v>
      </c>
      <c r="H278" s="117">
        <v>9002</v>
      </c>
      <c r="I278" s="117">
        <v>12159</v>
      </c>
      <c r="J278" s="117">
        <v>21161</v>
      </c>
      <c r="K278" s="117">
        <v>580</v>
      </c>
      <c r="L278" s="81"/>
      <c r="M278" s="1"/>
      <c r="N278" s="115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 spans="1:30" s="14" customFormat="1" ht="12.75" customHeight="1" x14ac:dyDescent="0.2">
      <c r="A279" s="110">
        <v>44804</v>
      </c>
      <c r="B279" s="117">
        <v>3028</v>
      </c>
      <c r="C279" s="117">
        <v>511</v>
      </c>
      <c r="D279" s="117">
        <v>3539</v>
      </c>
      <c r="E279" s="117">
        <v>754</v>
      </c>
      <c r="F279" s="117">
        <v>4531</v>
      </c>
      <c r="G279" s="117">
        <v>0</v>
      </c>
      <c r="H279" s="117">
        <v>8824</v>
      </c>
      <c r="I279" s="117">
        <v>10624</v>
      </c>
      <c r="J279" s="117">
        <v>19448</v>
      </c>
      <c r="K279" s="117">
        <v>718</v>
      </c>
      <c r="L279" s="81"/>
      <c r="M279" s="1"/>
      <c r="N279" s="115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</row>
    <row r="280" spans="1:30" s="14" customFormat="1" ht="12.75" customHeight="1" x14ac:dyDescent="0.2">
      <c r="A280" s="110">
        <v>44834</v>
      </c>
      <c r="B280" s="117">
        <v>2687</v>
      </c>
      <c r="C280" s="117">
        <v>448</v>
      </c>
      <c r="D280" s="117">
        <v>3135</v>
      </c>
      <c r="E280" s="117">
        <v>797</v>
      </c>
      <c r="F280" s="117">
        <v>4791</v>
      </c>
      <c r="G280" s="117">
        <v>0</v>
      </c>
      <c r="H280" s="117">
        <v>8723</v>
      </c>
      <c r="I280" s="117">
        <v>11222</v>
      </c>
      <c r="J280" s="117">
        <v>19945</v>
      </c>
      <c r="K280" s="117">
        <v>641</v>
      </c>
      <c r="L280" s="81"/>
      <c r="M280" s="1"/>
      <c r="N280" s="115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</row>
    <row r="281" spans="1:30" s="14" customFormat="1" ht="12.75" customHeight="1" x14ac:dyDescent="0.2">
      <c r="A281" s="110">
        <v>44865</v>
      </c>
      <c r="B281" s="117">
        <v>2034</v>
      </c>
      <c r="C281" s="117">
        <v>531</v>
      </c>
      <c r="D281" s="117">
        <v>2565</v>
      </c>
      <c r="E281" s="117">
        <v>787</v>
      </c>
      <c r="F281" s="117">
        <v>4753</v>
      </c>
      <c r="G281" s="117">
        <v>0</v>
      </c>
      <c r="H281" s="117">
        <v>8105</v>
      </c>
      <c r="I281" s="117">
        <v>8996</v>
      </c>
      <c r="J281" s="117">
        <v>17101</v>
      </c>
      <c r="K281" s="117">
        <v>988</v>
      </c>
      <c r="L281" s="81"/>
      <c r="M281" s="1"/>
      <c r="N281" s="115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</row>
    <row r="282" spans="1:30" s="14" customFormat="1" ht="12.75" customHeight="1" x14ac:dyDescent="0.2">
      <c r="A282" s="110">
        <v>44895</v>
      </c>
      <c r="B282" s="117">
        <v>1915</v>
      </c>
      <c r="C282" s="117">
        <v>660</v>
      </c>
      <c r="D282" s="117">
        <v>2575</v>
      </c>
      <c r="E282" s="117">
        <v>750</v>
      </c>
      <c r="F282" s="117">
        <v>4547</v>
      </c>
      <c r="G282" s="117">
        <v>0</v>
      </c>
      <c r="H282" s="117">
        <v>7872</v>
      </c>
      <c r="I282" s="117">
        <v>15751</v>
      </c>
      <c r="J282" s="117">
        <v>23623</v>
      </c>
      <c r="K282" s="117">
        <v>1257</v>
      </c>
      <c r="L282" s="81"/>
      <c r="M282" s="1"/>
      <c r="N282" s="115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</row>
    <row r="283" spans="1:30" s="14" customFormat="1" ht="13.5" customHeight="1" x14ac:dyDescent="0.2">
      <c r="A283" s="110">
        <v>44926</v>
      </c>
      <c r="B283" s="117">
        <v>1503</v>
      </c>
      <c r="C283" s="117">
        <v>380</v>
      </c>
      <c r="D283" s="117">
        <v>1883</v>
      </c>
      <c r="E283" s="117">
        <v>761</v>
      </c>
      <c r="F283" s="117">
        <v>4533</v>
      </c>
      <c r="G283" s="117">
        <v>0</v>
      </c>
      <c r="H283" s="117">
        <v>7177</v>
      </c>
      <c r="I283" s="117">
        <v>15577</v>
      </c>
      <c r="J283" s="117">
        <v>22754</v>
      </c>
      <c r="K283" s="117">
        <v>1391</v>
      </c>
      <c r="L283" s="81"/>
      <c r="M283" s="1"/>
      <c r="N283" s="115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</row>
    <row r="284" spans="1:30" s="14" customFormat="1" ht="12.75" customHeight="1" x14ac:dyDescent="0.2">
      <c r="A284" s="110">
        <v>44957</v>
      </c>
      <c r="B284" s="117">
        <v>1182</v>
      </c>
      <c r="C284" s="117">
        <v>586</v>
      </c>
      <c r="D284" s="117">
        <v>1768</v>
      </c>
      <c r="E284" s="117">
        <v>757</v>
      </c>
      <c r="F284" s="117">
        <v>4519</v>
      </c>
      <c r="G284" s="117">
        <v>0</v>
      </c>
      <c r="H284" s="117">
        <v>7044</v>
      </c>
      <c r="I284" s="117">
        <v>15887</v>
      </c>
      <c r="J284" s="117">
        <v>22931</v>
      </c>
      <c r="K284" s="117">
        <v>1260</v>
      </c>
      <c r="L284" s="81"/>
      <c r="M284" s="1"/>
      <c r="N284" s="115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</row>
    <row r="285" spans="1:30" s="14" customFormat="1" ht="12.75" customHeight="1" x14ac:dyDescent="0.2">
      <c r="A285" s="110">
        <v>44985</v>
      </c>
      <c r="B285" s="117">
        <v>1042</v>
      </c>
      <c r="C285" s="117">
        <v>1147</v>
      </c>
      <c r="D285" s="117">
        <v>2189</v>
      </c>
      <c r="E285" s="117">
        <v>778</v>
      </c>
      <c r="F285" s="117">
        <v>4645</v>
      </c>
      <c r="G285" s="117">
        <v>0</v>
      </c>
      <c r="H285" s="117">
        <v>7612</v>
      </c>
      <c r="I285" s="117">
        <v>19640</v>
      </c>
      <c r="J285" s="117">
        <v>27252</v>
      </c>
      <c r="K285" s="117">
        <v>1080</v>
      </c>
      <c r="L285" s="81"/>
      <c r="M285" s="1"/>
      <c r="N285" s="115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</row>
    <row r="286" spans="1:30" s="14" customFormat="1" ht="12.75" customHeight="1" x14ac:dyDescent="0.2">
      <c r="A286" s="110">
        <v>45016</v>
      </c>
      <c r="B286" s="117">
        <v>772</v>
      </c>
      <c r="C286" s="117">
        <v>603</v>
      </c>
      <c r="D286" s="117">
        <v>1375</v>
      </c>
      <c r="E286" s="117">
        <v>791</v>
      </c>
      <c r="F286" s="117">
        <v>4631</v>
      </c>
      <c r="G286" s="117">
        <v>0</v>
      </c>
      <c r="H286" s="117">
        <v>6797</v>
      </c>
      <c r="I286" s="117">
        <v>16735</v>
      </c>
      <c r="J286" s="117">
        <v>23532</v>
      </c>
      <c r="K286" s="117">
        <v>978</v>
      </c>
      <c r="L286" s="81"/>
      <c r="M286" s="1"/>
      <c r="N286" s="115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</row>
    <row r="287" spans="1:30" s="14" customFormat="1" ht="12.75" customHeight="1" x14ac:dyDescent="0.2">
      <c r="A287" s="110">
        <v>45046</v>
      </c>
      <c r="B287" s="117">
        <v>769</v>
      </c>
      <c r="C287" s="117">
        <v>1137</v>
      </c>
      <c r="D287" s="117">
        <v>1906</v>
      </c>
      <c r="E287" s="117">
        <v>812</v>
      </c>
      <c r="F287" s="117">
        <v>4715</v>
      </c>
      <c r="G287" s="117">
        <v>0</v>
      </c>
      <c r="H287" s="117">
        <v>7433</v>
      </c>
      <c r="I287" s="117">
        <v>18454</v>
      </c>
      <c r="J287" s="117">
        <v>25887</v>
      </c>
      <c r="K287" s="117">
        <v>953</v>
      </c>
      <c r="L287" s="81"/>
      <c r="M287" s="1"/>
      <c r="N287" s="115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</row>
    <row r="288" spans="1:30" s="14" customFormat="1" ht="12.75" customHeight="1" x14ac:dyDescent="0.2">
      <c r="A288" s="110">
        <v>45077</v>
      </c>
      <c r="B288" s="117">
        <v>1074</v>
      </c>
      <c r="C288" s="117">
        <v>737</v>
      </c>
      <c r="D288" s="117">
        <v>1811</v>
      </c>
      <c r="E288" s="117">
        <v>815</v>
      </c>
      <c r="F288" s="117">
        <v>4810</v>
      </c>
      <c r="G288" s="117">
        <v>0</v>
      </c>
      <c r="H288" s="117">
        <v>7436</v>
      </c>
      <c r="I288" s="117">
        <v>19033</v>
      </c>
      <c r="J288" s="117">
        <v>26469</v>
      </c>
      <c r="K288" s="117">
        <v>972</v>
      </c>
      <c r="L288" s="81"/>
      <c r="M288" s="1"/>
      <c r="N288" s="115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</row>
    <row r="289" spans="1:30" s="14" customFormat="1" ht="12.75" customHeight="1" x14ac:dyDescent="0.2">
      <c r="A289" s="110">
        <v>45107</v>
      </c>
      <c r="B289" s="117">
        <v>1035</v>
      </c>
      <c r="C289" s="117">
        <v>531</v>
      </c>
      <c r="D289" s="117">
        <v>1566</v>
      </c>
      <c r="E289" s="117">
        <v>806</v>
      </c>
      <c r="F289" s="117">
        <v>4766</v>
      </c>
      <c r="G289" s="117">
        <v>0</v>
      </c>
      <c r="H289" s="117">
        <v>7138</v>
      </c>
      <c r="I289" s="117">
        <v>14787</v>
      </c>
      <c r="J289" s="117">
        <v>21925</v>
      </c>
      <c r="K289" s="117">
        <v>1047</v>
      </c>
      <c r="L289" s="81"/>
      <c r="M289" s="1"/>
      <c r="N289" s="115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</row>
    <row r="290" spans="1:30" s="14" customFormat="1" ht="12.75" customHeight="1" x14ac:dyDescent="0.2">
      <c r="A290" s="110">
        <v>45138</v>
      </c>
      <c r="B290" s="117">
        <v>893</v>
      </c>
      <c r="C290" s="117">
        <v>543</v>
      </c>
      <c r="D290" s="117">
        <v>1436</v>
      </c>
      <c r="E290" s="117">
        <v>802</v>
      </c>
      <c r="F290" s="117">
        <v>4744</v>
      </c>
      <c r="G290" s="117">
        <v>0</v>
      </c>
      <c r="H290" s="117">
        <v>6982</v>
      </c>
      <c r="I290" s="117">
        <v>20627</v>
      </c>
      <c r="J290" s="117">
        <v>27609</v>
      </c>
      <c r="K290" s="117">
        <v>1130</v>
      </c>
      <c r="L290" s="81"/>
      <c r="M290" s="1"/>
      <c r="N290" s="115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</row>
    <row r="291" spans="1:30" s="14" customFormat="1" ht="12.75" customHeight="1" x14ac:dyDescent="0.2">
      <c r="A291" s="110">
        <v>45169</v>
      </c>
      <c r="B291" s="117">
        <v>827</v>
      </c>
      <c r="C291" s="117">
        <v>512</v>
      </c>
      <c r="D291" s="117">
        <v>1339</v>
      </c>
      <c r="E291" s="117">
        <v>822</v>
      </c>
      <c r="F291" s="117">
        <v>4862</v>
      </c>
      <c r="G291" s="117">
        <v>0</v>
      </c>
      <c r="H291" s="117">
        <v>7023</v>
      </c>
      <c r="I291" s="117">
        <v>20344</v>
      </c>
      <c r="J291" s="117">
        <v>27367</v>
      </c>
      <c r="K291" s="117">
        <v>978</v>
      </c>
      <c r="L291" s="81"/>
      <c r="M291" s="1"/>
      <c r="N291" s="115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</row>
    <row r="292" spans="1:30" s="14" customFormat="1" ht="12.75" customHeight="1" x14ac:dyDescent="0.2">
      <c r="A292" s="110">
        <v>45199</v>
      </c>
      <c r="B292" s="117">
        <v>896</v>
      </c>
      <c r="C292" s="117">
        <v>417</v>
      </c>
      <c r="D292" s="117">
        <v>1313</v>
      </c>
      <c r="E292" s="117">
        <v>799</v>
      </c>
      <c r="F292" s="117">
        <v>4843</v>
      </c>
      <c r="G292" s="117">
        <v>0</v>
      </c>
      <c r="H292" s="117">
        <v>6955</v>
      </c>
      <c r="I292" s="117">
        <v>21664</v>
      </c>
      <c r="J292" s="117">
        <v>28619</v>
      </c>
      <c r="K292" s="117">
        <v>1032</v>
      </c>
      <c r="L292" s="81"/>
      <c r="M292" s="1"/>
      <c r="N292" s="115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</row>
    <row r="293" spans="1:30" s="14" customFormat="1" ht="12.75" customHeight="1" x14ac:dyDescent="0.2">
      <c r="A293" s="110">
        <v>45230</v>
      </c>
      <c r="B293" s="117">
        <v>1420</v>
      </c>
      <c r="C293" s="117">
        <v>325</v>
      </c>
      <c r="D293" s="117">
        <v>1745</v>
      </c>
      <c r="E293" s="117">
        <v>824</v>
      </c>
      <c r="F293" s="117">
        <v>4911</v>
      </c>
      <c r="G293" s="117">
        <v>0</v>
      </c>
      <c r="H293" s="117">
        <v>7480</v>
      </c>
      <c r="I293" s="117">
        <v>19799</v>
      </c>
      <c r="J293" s="117">
        <v>27279</v>
      </c>
      <c r="K293" s="117">
        <v>1053</v>
      </c>
      <c r="L293" s="81"/>
      <c r="M293" s="1"/>
      <c r="N293" s="115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</row>
    <row r="294" spans="1:30" s="14" customFormat="1" ht="12.75" customHeight="1" x14ac:dyDescent="0.2">
      <c r="A294" s="110">
        <v>45260</v>
      </c>
      <c r="B294" s="117">
        <v>1442</v>
      </c>
      <c r="C294" s="117">
        <v>318</v>
      </c>
      <c r="D294" s="117">
        <v>1760</v>
      </c>
      <c r="E294" s="117">
        <v>764</v>
      </c>
      <c r="F294" s="117">
        <v>4697</v>
      </c>
      <c r="G294" s="117">
        <v>0</v>
      </c>
      <c r="H294" s="117">
        <v>7221</v>
      </c>
      <c r="I294" s="117">
        <v>24150</v>
      </c>
      <c r="J294" s="117">
        <v>31371</v>
      </c>
      <c r="K294" s="117">
        <v>1185</v>
      </c>
      <c r="L294" s="81"/>
      <c r="M294" s="1"/>
      <c r="N294" s="115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</row>
    <row r="295" spans="1:30" s="14" customFormat="1" ht="12.75" customHeight="1" x14ac:dyDescent="0.2">
      <c r="A295" s="110">
        <v>45291</v>
      </c>
      <c r="B295" s="117">
        <v>1440</v>
      </c>
      <c r="C295" s="117">
        <v>300</v>
      </c>
      <c r="D295" s="117">
        <v>1740</v>
      </c>
      <c r="E295" s="117">
        <v>749</v>
      </c>
      <c r="F295" s="117">
        <v>4624</v>
      </c>
      <c r="G295" s="117">
        <v>0</v>
      </c>
      <c r="H295" s="117">
        <v>7113</v>
      </c>
      <c r="I295" s="117">
        <v>17365</v>
      </c>
      <c r="J295" s="117">
        <v>24478</v>
      </c>
      <c r="K295" s="117">
        <v>1251</v>
      </c>
      <c r="L295" s="81"/>
      <c r="M295" s="1"/>
      <c r="N295" s="115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</row>
    <row r="296" spans="1:30" s="14" customFormat="1" ht="12.75" customHeight="1" x14ac:dyDescent="0.2">
      <c r="A296" s="110">
        <v>45322</v>
      </c>
      <c r="B296" s="117">
        <v>1348</v>
      </c>
      <c r="C296" s="117">
        <v>209</v>
      </c>
      <c r="D296" s="117">
        <v>1557</v>
      </c>
      <c r="E296" s="117">
        <v>763</v>
      </c>
      <c r="F296" s="117">
        <v>4750</v>
      </c>
      <c r="G296" s="117">
        <v>0</v>
      </c>
      <c r="H296" s="117">
        <v>7070</v>
      </c>
      <c r="I296" s="117">
        <v>22726</v>
      </c>
      <c r="J296" s="117">
        <v>29796</v>
      </c>
      <c r="K296" s="117">
        <v>1048</v>
      </c>
      <c r="L296" s="81"/>
      <c r="M296" s="1"/>
      <c r="N296" s="115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</row>
    <row r="297" spans="1:30" s="14" customFormat="1" ht="12.75" customHeight="1" x14ac:dyDescent="0.2">
      <c r="A297" s="110">
        <v>45351</v>
      </c>
      <c r="B297" s="117">
        <v>1096</v>
      </c>
      <c r="C297" s="117">
        <v>812</v>
      </c>
      <c r="D297" s="117">
        <v>1908</v>
      </c>
      <c r="E297" s="117">
        <v>759</v>
      </c>
      <c r="F297" s="117">
        <v>4731</v>
      </c>
      <c r="G297" s="117">
        <v>0</v>
      </c>
      <c r="H297" s="117">
        <v>7398</v>
      </c>
      <c r="I297" s="117">
        <v>24314</v>
      </c>
      <c r="J297" s="117">
        <v>31712</v>
      </c>
      <c r="K297" s="117">
        <v>1039</v>
      </c>
      <c r="L297" s="81"/>
      <c r="M297" s="1"/>
      <c r="N297" s="115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</row>
    <row r="298" spans="1:30" s="14" customFormat="1" ht="12.75" customHeight="1" x14ac:dyDescent="0.2">
      <c r="A298" s="110">
        <v>45382</v>
      </c>
      <c r="B298" s="117">
        <v>1048</v>
      </c>
      <c r="C298" s="117">
        <v>235</v>
      </c>
      <c r="D298" s="117">
        <v>1283</v>
      </c>
      <c r="E298" s="117">
        <v>764</v>
      </c>
      <c r="F298" s="117">
        <v>4836</v>
      </c>
      <c r="G298" s="117">
        <v>0</v>
      </c>
      <c r="H298" s="117">
        <v>6883</v>
      </c>
      <c r="I298" s="117">
        <v>20235</v>
      </c>
      <c r="J298" s="117">
        <v>27118</v>
      </c>
      <c r="K298" s="117">
        <v>858</v>
      </c>
      <c r="L298" s="81"/>
      <c r="M298" s="1"/>
      <c r="N298" s="115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</row>
    <row r="299" spans="1:30" s="14" customFormat="1" ht="12.75" customHeight="1" x14ac:dyDescent="0.2">
      <c r="A299" s="110">
        <v>45412</v>
      </c>
      <c r="B299" s="117">
        <v>653</v>
      </c>
      <c r="C299" s="117">
        <v>223</v>
      </c>
      <c r="D299" s="117">
        <v>876</v>
      </c>
      <c r="E299" s="117">
        <v>752</v>
      </c>
      <c r="F299" s="117">
        <v>4832</v>
      </c>
      <c r="G299" s="117">
        <v>0</v>
      </c>
      <c r="H299" s="117">
        <v>6460</v>
      </c>
      <c r="I299" s="117">
        <v>25478</v>
      </c>
      <c r="J299" s="117">
        <v>31938</v>
      </c>
      <c r="K299" s="117">
        <v>827</v>
      </c>
      <c r="L299" s="81"/>
      <c r="M299" s="1"/>
      <c r="N299" s="115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</row>
    <row r="300" spans="1:30" s="14" customFormat="1" ht="12.75" customHeight="1" x14ac:dyDescent="0.2">
      <c r="A300" s="110">
        <v>45443</v>
      </c>
      <c r="B300" s="117">
        <v>539</v>
      </c>
      <c r="C300" s="117">
        <v>233</v>
      </c>
      <c r="D300" s="117">
        <v>772</v>
      </c>
      <c r="E300" s="117">
        <v>710</v>
      </c>
      <c r="F300" s="117">
        <v>4758</v>
      </c>
      <c r="G300" s="117">
        <v>0</v>
      </c>
      <c r="H300" s="117">
        <v>6240</v>
      </c>
      <c r="I300" s="117">
        <v>23175</v>
      </c>
      <c r="J300" s="117">
        <v>29415</v>
      </c>
      <c r="K300" s="117">
        <v>1152</v>
      </c>
      <c r="L300" s="81"/>
      <c r="M300" s="1"/>
      <c r="N300" s="115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</row>
    <row r="301" spans="1:30" s="14" customFormat="1" ht="12.75" customHeight="1" x14ac:dyDescent="0.2">
      <c r="A301" s="110">
        <v>45473</v>
      </c>
      <c r="B301" s="117">
        <v>408</v>
      </c>
      <c r="C301" s="117">
        <v>202</v>
      </c>
      <c r="D301" s="117">
        <v>610</v>
      </c>
      <c r="E301" s="117">
        <v>727</v>
      </c>
      <c r="F301" s="117">
        <v>4786</v>
      </c>
      <c r="G301" s="117">
        <v>0</v>
      </c>
      <c r="H301" s="117">
        <v>6123</v>
      </c>
      <c r="I301" s="117">
        <v>23214</v>
      </c>
      <c r="J301" s="117">
        <v>29337</v>
      </c>
      <c r="K301" s="117">
        <v>1013</v>
      </c>
      <c r="L301" s="81"/>
      <c r="M301" s="1"/>
      <c r="N301" s="115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</row>
    <row r="302" spans="1:30" s="14" customFormat="1" ht="12.75" customHeight="1" x14ac:dyDescent="0.2">
      <c r="A302" s="110">
        <v>45504</v>
      </c>
      <c r="B302" s="117">
        <v>657</v>
      </c>
      <c r="C302" s="117">
        <v>936</v>
      </c>
      <c r="D302" s="117">
        <v>1593</v>
      </c>
      <c r="E302" s="117">
        <v>754</v>
      </c>
      <c r="F302" s="117">
        <v>4960</v>
      </c>
      <c r="G302" s="117">
        <v>0</v>
      </c>
      <c r="H302" s="117">
        <v>7307</v>
      </c>
      <c r="I302" s="117">
        <v>28342</v>
      </c>
      <c r="J302" s="117">
        <v>35649</v>
      </c>
      <c r="K302" s="117">
        <v>855</v>
      </c>
      <c r="L302" s="81"/>
      <c r="M302" s="1"/>
      <c r="N302" s="115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</row>
    <row r="303" spans="1:30" s="14" customFormat="1" ht="12.75" customHeight="1" x14ac:dyDescent="0.2">
      <c r="A303" s="110">
        <v>45535</v>
      </c>
      <c r="B303" s="117">
        <v>1691</v>
      </c>
      <c r="C303" s="117">
        <v>342</v>
      </c>
      <c r="D303" s="117">
        <v>2033</v>
      </c>
      <c r="E303" s="117">
        <v>717</v>
      </c>
      <c r="F303" s="117">
        <v>4647</v>
      </c>
      <c r="G303" s="117">
        <v>0</v>
      </c>
      <c r="H303" s="117">
        <v>7397</v>
      </c>
      <c r="I303" s="117">
        <v>25176</v>
      </c>
      <c r="J303" s="117">
        <v>32573</v>
      </c>
      <c r="K303" s="117">
        <v>1025</v>
      </c>
      <c r="L303" s="81"/>
      <c r="M303" s="1"/>
      <c r="N303" s="115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</row>
    <row r="304" spans="1:30" s="14" customFormat="1" ht="12.75" customHeight="1" x14ac:dyDescent="0.2">
      <c r="A304" s="110">
        <v>45565</v>
      </c>
      <c r="B304" s="117">
        <v>2235</v>
      </c>
      <c r="C304" s="117">
        <v>277</v>
      </c>
      <c r="D304" s="117">
        <v>2512</v>
      </c>
      <c r="E304" s="117">
        <v>709</v>
      </c>
      <c r="F304" s="117">
        <v>4615</v>
      </c>
      <c r="G304" s="117">
        <v>0</v>
      </c>
      <c r="H304" s="117">
        <v>7836</v>
      </c>
      <c r="I304" s="117">
        <v>24702</v>
      </c>
      <c r="J304" s="117">
        <v>32538</v>
      </c>
      <c r="K304" s="117">
        <v>997</v>
      </c>
      <c r="L304" s="81"/>
      <c r="M304" s="1"/>
      <c r="N304" s="115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</row>
    <row r="305" spans="1:30" s="14" customFormat="1" ht="12.75" customHeight="1" x14ac:dyDescent="0.2">
      <c r="A305" s="110">
        <v>45596</v>
      </c>
      <c r="B305" s="117">
        <v>2490</v>
      </c>
      <c r="C305" s="117">
        <v>270</v>
      </c>
      <c r="D305" s="117">
        <v>2760</v>
      </c>
      <c r="E305" s="117">
        <v>743</v>
      </c>
      <c r="F305" s="117">
        <v>4838</v>
      </c>
      <c r="G305" s="117">
        <v>0</v>
      </c>
      <c r="H305" s="117">
        <v>8341</v>
      </c>
      <c r="I305" s="117">
        <v>31224</v>
      </c>
      <c r="J305" s="117">
        <v>39565</v>
      </c>
      <c r="K305" s="117">
        <v>344</v>
      </c>
      <c r="L305" s="81"/>
      <c r="M305" s="1"/>
      <c r="N305" s="115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</row>
    <row r="306" spans="1:30" s="14" customFormat="1" ht="12.75" customHeight="1" x14ac:dyDescent="0.2">
      <c r="A306" s="110">
        <v>45626</v>
      </c>
      <c r="B306" s="117">
        <v>2455</v>
      </c>
      <c r="C306" s="117">
        <v>358</v>
      </c>
      <c r="D306" s="117">
        <v>2813</v>
      </c>
      <c r="E306" s="117">
        <v>719</v>
      </c>
      <c r="F306" s="117">
        <v>4841</v>
      </c>
      <c r="G306" s="117">
        <v>0</v>
      </c>
      <c r="H306" s="117">
        <v>8373</v>
      </c>
      <c r="I306" s="117">
        <v>29686</v>
      </c>
      <c r="J306" s="117">
        <v>38059</v>
      </c>
      <c r="K306" s="117">
        <v>399</v>
      </c>
      <c r="L306" s="81"/>
      <c r="M306" s="1"/>
      <c r="N306" s="115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</row>
    <row r="307" spans="1:30" s="14" customFormat="1" ht="12.75" customHeight="1" x14ac:dyDescent="0.2">
      <c r="A307" s="110">
        <v>45657</v>
      </c>
      <c r="B307" s="117">
        <v>2495</v>
      </c>
      <c r="C307" s="117">
        <v>382</v>
      </c>
      <c r="D307" s="117">
        <v>2877</v>
      </c>
      <c r="E307" s="117">
        <v>723</v>
      </c>
      <c r="F307" s="117">
        <v>5035</v>
      </c>
      <c r="G307" s="117">
        <v>0</v>
      </c>
      <c r="H307" s="117">
        <v>8635</v>
      </c>
      <c r="I307" s="117">
        <v>30521</v>
      </c>
      <c r="J307" s="117">
        <v>39156</v>
      </c>
      <c r="K307" s="117">
        <v>-51</v>
      </c>
      <c r="L307" s="81"/>
      <c r="M307" s="1"/>
      <c r="N307" s="115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</row>
    <row r="308" spans="1:30" s="14" customFormat="1" ht="12.75" customHeight="1" x14ac:dyDescent="0.2">
      <c r="A308" s="110">
        <v>45688</v>
      </c>
      <c r="B308" s="117">
        <v>2384</v>
      </c>
      <c r="C308" s="117">
        <v>304</v>
      </c>
      <c r="D308" s="117">
        <v>2688</v>
      </c>
      <c r="E308" s="117">
        <v>724</v>
      </c>
      <c r="F308" s="117">
        <v>5047</v>
      </c>
      <c r="G308" s="117">
        <v>0</v>
      </c>
      <c r="H308" s="117">
        <v>8459</v>
      </c>
      <c r="I308" s="117">
        <v>38853</v>
      </c>
      <c r="J308" s="117">
        <v>47312</v>
      </c>
      <c r="K308" s="117">
        <v>32</v>
      </c>
      <c r="L308" s="81"/>
      <c r="M308" s="1"/>
      <c r="N308" s="115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</row>
    <row r="309" spans="1:30" s="14" customFormat="1" ht="12.75" customHeight="1" x14ac:dyDescent="0.2">
      <c r="A309" s="110">
        <v>45716</v>
      </c>
      <c r="B309" s="117">
        <v>2664</v>
      </c>
      <c r="C309" s="117">
        <v>398</v>
      </c>
      <c r="D309" s="117">
        <v>3062</v>
      </c>
      <c r="E309" s="117">
        <v>728</v>
      </c>
      <c r="F309" s="117">
        <v>5040</v>
      </c>
      <c r="G309" s="117">
        <v>0</v>
      </c>
      <c r="H309" s="117">
        <v>8830</v>
      </c>
      <c r="I309" s="117">
        <v>41295</v>
      </c>
      <c r="J309" s="117">
        <v>50125</v>
      </c>
      <c r="K309" s="117">
        <v>118</v>
      </c>
      <c r="L309" s="81"/>
      <c r="M309" s="1"/>
      <c r="N309" s="115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</row>
    <row r="310" spans="1:30" s="14" customFormat="1" ht="12.75" customHeight="1" x14ac:dyDescent="0.2">
      <c r="A310" s="110">
        <v>45747</v>
      </c>
      <c r="B310" s="117">
        <v>3342</v>
      </c>
      <c r="C310" s="117">
        <v>513</v>
      </c>
      <c r="D310" s="117">
        <v>3855</v>
      </c>
      <c r="E310" s="117">
        <v>728</v>
      </c>
      <c r="F310" s="117">
        <v>5042</v>
      </c>
      <c r="G310" s="117">
        <v>0</v>
      </c>
      <c r="H310" s="117">
        <v>9625</v>
      </c>
      <c r="I310" s="117">
        <v>35729</v>
      </c>
      <c r="J310" s="117">
        <v>45354</v>
      </c>
      <c r="K310" s="117">
        <v>62</v>
      </c>
      <c r="L310" s="81"/>
      <c r="M310" s="1"/>
      <c r="N310" s="115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</row>
    <row r="311" spans="1:30" s="14" customFormat="1" ht="12.4" customHeight="1" x14ac:dyDescent="0.2">
      <c r="A311" s="110">
        <v>45777</v>
      </c>
      <c r="B311" s="117">
        <v>3832</v>
      </c>
      <c r="C311" s="117">
        <v>332</v>
      </c>
      <c r="D311" s="117">
        <v>4164</v>
      </c>
      <c r="E311" s="117">
        <v>794</v>
      </c>
      <c r="F311" s="117">
        <v>4999</v>
      </c>
      <c r="G311" s="117">
        <v>0</v>
      </c>
      <c r="H311" s="117">
        <v>9957</v>
      </c>
      <c r="I311" s="117">
        <v>35274</v>
      </c>
      <c r="J311" s="117">
        <v>45231</v>
      </c>
      <c r="K311" s="117">
        <v>609</v>
      </c>
      <c r="L311" s="81"/>
      <c r="M311" s="1"/>
      <c r="N311" s="115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</row>
    <row r="312" spans="1:30" s="14" customFormat="1" ht="12.75" customHeight="1" x14ac:dyDescent="0.2">
      <c r="A312" s="110">
        <v>45808</v>
      </c>
      <c r="B312" s="117">
        <v>4401</v>
      </c>
      <c r="C312" s="117">
        <v>171</v>
      </c>
      <c r="D312" s="117">
        <v>4572</v>
      </c>
      <c r="E312" s="117">
        <v>739</v>
      </c>
      <c r="F312" s="117">
        <v>4936</v>
      </c>
      <c r="G312" s="117">
        <v>0</v>
      </c>
      <c r="H312" s="117">
        <v>10247</v>
      </c>
      <c r="I312" s="117">
        <v>36661</v>
      </c>
      <c r="J312" s="117">
        <v>46908</v>
      </c>
      <c r="K312" s="117">
        <v>581</v>
      </c>
      <c r="L312" s="81"/>
      <c r="M312" s="1"/>
      <c r="N312" s="115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</row>
    <row r="313" spans="1:30" s="14" customFormat="1" ht="12.75" customHeight="1" x14ac:dyDescent="0.2">
      <c r="A313" s="110">
        <v>45838</v>
      </c>
      <c r="B313" s="117">
        <v>4485</v>
      </c>
      <c r="C313" s="117">
        <v>824</v>
      </c>
      <c r="D313" s="117">
        <v>5309</v>
      </c>
      <c r="E313" s="117">
        <v>744</v>
      </c>
      <c r="F313" s="117">
        <v>4968</v>
      </c>
      <c r="G313" s="117">
        <v>0</v>
      </c>
      <c r="H313" s="117">
        <v>11021</v>
      </c>
      <c r="I313" s="117">
        <v>34770</v>
      </c>
      <c r="J313" s="117">
        <v>45791</v>
      </c>
      <c r="K313" s="117">
        <v>759</v>
      </c>
      <c r="L313" s="81"/>
      <c r="M313" s="1"/>
      <c r="N313" s="115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</row>
    <row r="314" spans="1:30" s="14" customFormat="1" ht="12.75" customHeight="1" x14ac:dyDescent="0.2">
      <c r="A314" s="110">
        <v>45869</v>
      </c>
      <c r="B314" s="117">
        <v>4543</v>
      </c>
      <c r="C314" s="117">
        <v>448</v>
      </c>
      <c r="D314" s="117">
        <v>4991</v>
      </c>
      <c r="E314" s="117">
        <v>754</v>
      </c>
      <c r="F314" s="117">
        <v>5039</v>
      </c>
      <c r="G314" s="117">
        <v>0</v>
      </c>
      <c r="H314" s="117">
        <v>10784</v>
      </c>
      <c r="I314" s="117">
        <v>37620</v>
      </c>
      <c r="J314" s="117">
        <v>48404</v>
      </c>
      <c r="K314" s="117">
        <v>256</v>
      </c>
      <c r="L314" s="81"/>
      <c r="M314" s="1"/>
      <c r="N314" s="115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</row>
    <row r="315" spans="1:30" s="14" customFormat="1" ht="12.75" customHeight="1" x14ac:dyDescent="0.2">
      <c r="A315" s="110">
        <v>45900</v>
      </c>
      <c r="B315" s="117">
        <v>4582</v>
      </c>
      <c r="C315" s="117">
        <v>393</v>
      </c>
      <c r="D315" s="117">
        <v>4975</v>
      </c>
      <c r="E315" s="117">
        <v>761</v>
      </c>
      <c r="F315" s="117">
        <v>5011</v>
      </c>
      <c r="G315" s="117">
        <v>0</v>
      </c>
      <c r="H315" s="117">
        <v>10747</v>
      </c>
      <c r="I315" s="117">
        <v>37265</v>
      </c>
      <c r="J315" s="117">
        <v>48012</v>
      </c>
      <c r="K315" s="117">
        <v>244</v>
      </c>
      <c r="L315" s="81"/>
      <c r="M315" s="1"/>
      <c r="N315" s="115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</row>
    <row r="316" spans="1:30" s="14" customFormat="1" ht="12.75" customHeight="1" x14ac:dyDescent="0.2">
      <c r="A316" s="110">
        <v>45930</v>
      </c>
      <c r="B316" s="117">
        <v>3401</v>
      </c>
      <c r="C316" s="117">
        <v>448</v>
      </c>
      <c r="D316" s="117">
        <v>3849</v>
      </c>
      <c r="E316" s="117">
        <v>776</v>
      </c>
      <c r="F316" s="117">
        <v>5102</v>
      </c>
      <c r="G316" s="117">
        <v>0</v>
      </c>
      <c r="H316" s="117">
        <v>9727</v>
      </c>
      <c r="I316" s="117">
        <v>37662</v>
      </c>
      <c r="J316" s="117">
        <v>47389</v>
      </c>
      <c r="K316" s="117">
        <v>-40</v>
      </c>
      <c r="L316" s="81"/>
      <c r="M316" s="1"/>
      <c r="N316" s="115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</row>
    <row r="317" spans="1:30" s="14" customFormat="1" ht="12.75" customHeight="1" x14ac:dyDescent="0.2">
      <c r="A317" s="110">
        <v>45961</v>
      </c>
      <c r="B317" s="117">
        <v>3588</v>
      </c>
      <c r="C317" s="117">
        <v>152</v>
      </c>
      <c r="D317" s="117">
        <v>3740</v>
      </c>
      <c r="E317" s="117">
        <v>780</v>
      </c>
      <c r="F317" s="117">
        <v>5121</v>
      </c>
      <c r="G317" s="117">
        <v>0</v>
      </c>
      <c r="H317" s="117">
        <v>9641</v>
      </c>
      <c r="I317" s="117">
        <v>38409</v>
      </c>
      <c r="J317" s="117">
        <v>48050</v>
      </c>
      <c r="K317" s="117">
        <v>-288</v>
      </c>
      <c r="L317" s="81"/>
      <c r="M317" s="1"/>
      <c r="N317" s="115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</row>
    <row r="318" spans="1:30" s="14" customFormat="1" ht="12.75" customHeight="1" x14ac:dyDescent="0.2">
      <c r="A318" s="110">
        <v>45991</v>
      </c>
      <c r="B318" s="117">
        <v>3628</v>
      </c>
      <c r="C318" s="117">
        <v>828</v>
      </c>
      <c r="D318" s="117">
        <v>4456</v>
      </c>
      <c r="E318" s="117">
        <v>773</v>
      </c>
      <c r="F318" s="117">
        <v>5111</v>
      </c>
      <c r="G318" s="117">
        <v>0</v>
      </c>
      <c r="H318" s="117">
        <v>10340</v>
      </c>
      <c r="I318" s="117">
        <v>45512</v>
      </c>
      <c r="J318" s="117">
        <v>55852</v>
      </c>
      <c r="K318" s="117">
        <v>-342</v>
      </c>
      <c r="L318" s="81"/>
      <c r="M318" s="1"/>
      <c r="N318" s="115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</row>
    <row r="319" spans="1:30" s="12" customFormat="1" ht="12.75" customHeight="1" x14ac:dyDescent="0.2">
      <c r="A319" s="109">
        <v>46022</v>
      </c>
      <c r="B319" s="127">
        <v>3633</v>
      </c>
      <c r="C319" s="127">
        <v>166</v>
      </c>
      <c r="D319" s="127">
        <v>3799</v>
      </c>
      <c r="E319" s="127">
        <v>749</v>
      </c>
      <c r="F319" s="127">
        <v>5098</v>
      </c>
      <c r="G319" s="127">
        <v>0</v>
      </c>
      <c r="H319" s="127">
        <v>9646</v>
      </c>
      <c r="I319" s="127">
        <v>39008</v>
      </c>
      <c r="J319" s="127">
        <v>48654</v>
      </c>
      <c r="K319" s="127">
        <v>-335</v>
      </c>
      <c r="L319" s="106"/>
      <c r="M319" s="13"/>
      <c r="N319" s="13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</row>
    <row r="320" spans="1:30" s="11" customFormat="1" ht="12.75" customHeight="1" x14ac:dyDescent="0.2">
      <c r="A320" s="109"/>
      <c r="B320" s="129"/>
      <c r="C320" s="129"/>
      <c r="D320" s="129"/>
      <c r="E320" s="129"/>
      <c r="F320" s="129"/>
      <c r="G320" s="129"/>
      <c r="H320" s="129"/>
      <c r="I320" s="129"/>
      <c r="J320" s="129"/>
      <c r="K320" s="129"/>
      <c r="L320" s="8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</row>
    <row r="321" spans="1:30" s="11" customFormat="1" ht="12.75" customHeight="1" x14ac:dyDescent="0.2">
      <c r="A321" s="126" t="s">
        <v>19</v>
      </c>
      <c r="B321" s="81"/>
      <c r="C321" s="81"/>
      <c r="D321" s="81"/>
      <c r="E321" s="81"/>
      <c r="F321" s="81"/>
      <c r="G321" s="81"/>
      <c r="H321" s="81"/>
      <c r="I321" s="81"/>
      <c r="J321" s="81"/>
      <c r="K321" s="81"/>
      <c r="L321" s="8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</row>
    <row r="322" spans="1:30" s="11" customFormat="1" ht="12.75" customHeight="1" x14ac:dyDescent="0.2">
      <c r="A322" s="126" t="str">
        <f>'Reserve Bank'!A322</f>
        <v>Last updated 9th January 2026</v>
      </c>
      <c r="B322" s="81"/>
      <c r="C322" s="81"/>
      <c r="D322" s="81"/>
      <c r="E322" s="81"/>
      <c r="F322" s="81"/>
      <c r="G322" s="81"/>
      <c r="H322" s="81"/>
      <c r="I322" s="81"/>
      <c r="J322" s="81"/>
      <c r="K322" s="81"/>
      <c r="L322" s="8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</row>
    <row r="323" spans="1:30" s="11" customFormat="1" x14ac:dyDescent="0.2">
      <c r="A323" s="1"/>
      <c r="B323" s="81"/>
      <c r="C323" s="81"/>
      <c r="D323" s="81"/>
      <c r="E323" s="81"/>
      <c r="F323" s="81"/>
      <c r="G323" s="81"/>
      <c r="H323" s="81"/>
      <c r="I323" s="81"/>
      <c r="J323" s="81"/>
      <c r="K323" s="81"/>
      <c r="L323" s="8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</row>
    <row r="324" spans="1:30" s="11" customFormat="1" x14ac:dyDescent="0.2">
      <c r="A324" s="123"/>
      <c r="B324" s="113"/>
      <c r="C324" s="113"/>
      <c r="D324" s="113"/>
      <c r="E324" s="113"/>
      <c r="F324" s="113"/>
      <c r="G324" s="113"/>
      <c r="H324" s="113"/>
      <c r="I324" s="113"/>
      <c r="J324" s="113"/>
      <c r="K324" s="113"/>
      <c r="L324" s="81"/>
    </row>
    <row r="325" spans="1:30" s="11" customFormat="1" x14ac:dyDescent="0.2">
      <c r="B325" s="113"/>
      <c r="C325" s="113"/>
      <c r="D325" s="113"/>
      <c r="E325" s="113"/>
      <c r="F325" s="113"/>
      <c r="G325" s="113"/>
      <c r="I325" s="113"/>
      <c r="J325" s="113"/>
      <c r="K325" s="113"/>
      <c r="L325" s="81"/>
    </row>
    <row r="326" spans="1:30" s="11" customFormat="1" ht="12.75" customHeight="1" x14ac:dyDescent="0.2">
      <c r="B326" s="113"/>
      <c r="C326" s="81"/>
      <c r="D326" s="81"/>
      <c r="E326" s="81"/>
      <c r="F326" s="81"/>
      <c r="G326" s="81"/>
      <c r="H326" s="113"/>
      <c r="I326" s="81"/>
      <c r="J326" s="81"/>
      <c r="K326" s="81"/>
      <c r="L326" s="81"/>
    </row>
    <row r="327" spans="1:30" ht="12.75" customHeight="1" x14ac:dyDescent="0.2">
      <c r="A327" s="14"/>
      <c r="B327" s="81"/>
      <c r="C327" s="81"/>
      <c r="D327" s="81"/>
      <c r="E327" s="81"/>
      <c r="F327" s="81"/>
      <c r="G327" s="81"/>
      <c r="H327" s="81"/>
      <c r="I327" s="81"/>
      <c r="J327" s="81"/>
      <c r="K327" s="81"/>
      <c r="L327" s="81"/>
    </row>
    <row r="328" spans="1:30" ht="12.75" customHeight="1" x14ac:dyDescent="0.2">
      <c r="A328" s="11"/>
      <c r="B328" s="81"/>
      <c r="C328" s="81"/>
      <c r="D328" s="81"/>
      <c r="E328" s="81"/>
      <c r="F328" s="81"/>
      <c r="G328" s="81"/>
      <c r="H328" s="81"/>
      <c r="I328" s="81"/>
      <c r="J328" s="81"/>
      <c r="K328" s="81"/>
      <c r="L328" s="81"/>
    </row>
    <row r="329" spans="1:30" ht="12.75" customHeight="1" x14ac:dyDescent="0.2">
      <c r="B329" s="81"/>
      <c r="C329" s="81"/>
      <c r="D329" s="81"/>
      <c r="E329" s="81"/>
      <c r="F329" s="81"/>
      <c r="G329" s="81"/>
      <c r="H329" s="81"/>
      <c r="I329" s="81"/>
      <c r="J329" s="81"/>
      <c r="K329" s="81"/>
      <c r="L329" s="81"/>
    </row>
    <row r="330" spans="1:30" ht="12.75" customHeight="1" x14ac:dyDescent="0.2">
      <c r="A330" s="14"/>
      <c r="B330" s="81"/>
      <c r="C330" s="81"/>
      <c r="D330" s="81"/>
      <c r="E330" s="81"/>
      <c r="F330" s="81"/>
      <c r="G330" s="81"/>
      <c r="H330" s="81"/>
      <c r="I330" s="81"/>
      <c r="J330" s="81"/>
      <c r="K330" s="81"/>
      <c r="L330" s="81"/>
    </row>
    <row r="331" spans="1:30" ht="12.75" customHeight="1" x14ac:dyDescent="0.2">
      <c r="B331" s="81"/>
      <c r="C331" s="81"/>
      <c r="D331" s="81"/>
      <c r="E331" s="81"/>
      <c r="F331" s="81"/>
      <c r="G331" s="81"/>
      <c r="H331" s="81"/>
      <c r="I331" s="81"/>
      <c r="J331" s="81"/>
      <c r="K331" s="81"/>
      <c r="L331" s="81"/>
    </row>
    <row r="332" spans="1:30" ht="12.75" customHeight="1" x14ac:dyDescent="0.2">
      <c r="B332" s="81"/>
      <c r="C332" s="81"/>
      <c r="D332" s="81"/>
      <c r="E332" s="81"/>
      <c r="F332" s="81"/>
      <c r="G332" s="81"/>
      <c r="H332" s="81"/>
      <c r="I332" s="81"/>
      <c r="J332" s="81"/>
      <c r="K332" s="81"/>
      <c r="L332" s="81"/>
    </row>
    <row r="333" spans="1:30" ht="12.75" customHeight="1" x14ac:dyDescent="0.2">
      <c r="B333" s="81"/>
      <c r="C333" s="81"/>
      <c r="D333" s="81"/>
      <c r="E333" s="81"/>
      <c r="F333" s="81"/>
      <c r="G333" s="81"/>
      <c r="H333" s="81"/>
      <c r="I333" s="81"/>
      <c r="J333" s="81"/>
      <c r="K333" s="81"/>
      <c r="L333" s="81"/>
    </row>
    <row r="334" spans="1:30" ht="12.75" customHeight="1" x14ac:dyDescent="0.2">
      <c r="B334" s="81"/>
      <c r="C334" s="81"/>
      <c r="D334" s="81"/>
      <c r="E334" s="81"/>
      <c r="F334" s="81"/>
      <c r="G334" s="81"/>
      <c r="H334" s="81"/>
      <c r="I334" s="81"/>
      <c r="J334" s="81"/>
      <c r="K334" s="81"/>
      <c r="L334" s="81"/>
    </row>
    <row r="335" spans="1:30" ht="12.75" customHeight="1" x14ac:dyDescent="0.2">
      <c r="B335" s="81"/>
      <c r="C335" s="81"/>
      <c r="D335" s="81"/>
      <c r="E335" s="81"/>
      <c r="F335" s="81"/>
      <c r="G335" s="81"/>
      <c r="H335" s="81"/>
      <c r="I335" s="81"/>
      <c r="J335" s="81"/>
      <c r="K335" s="81"/>
      <c r="L335" s="81"/>
    </row>
    <row r="336" spans="1:30" ht="12.75" customHeight="1" x14ac:dyDescent="0.2">
      <c r="B336" s="81"/>
      <c r="C336" s="81"/>
      <c r="D336" s="81"/>
      <c r="E336" s="81"/>
      <c r="F336" s="81"/>
      <c r="G336" s="81"/>
      <c r="H336" s="81"/>
      <c r="I336" s="81"/>
      <c r="J336" s="81"/>
      <c r="K336" s="81"/>
      <c r="L336" s="81"/>
    </row>
    <row r="337" spans="2:12" ht="12.75" customHeight="1" x14ac:dyDescent="0.2">
      <c r="B337" s="81"/>
      <c r="C337" s="81"/>
      <c r="D337" s="81"/>
      <c r="E337" s="81"/>
      <c r="F337" s="81"/>
      <c r="G337" s="81"/>
      <c r="H337" s="81"/>
      <c r="I337" s="81"/>
      <c r="J337" s="81"/>
      <c r="K337" s="81"/>
      <c r="L337" s="81"/>
    </row>
    <row r="338" spans="2:12" ht="12.75" customHeight="1" x14ac:dyDescent="0.2">
      <c r="B338" s="81"/>
      <c r="C338" s="81"/>
      <c r="D338" s="81"/>
      <c r="E338" s="81"/>
      <c r="F338" s="81"/>
      <c r="G338" s="81"/>
      <c r="H338" s="81"/>
      <c r="I338" s="81"/>
      <c r="J338" s="81"/>
      <c r="K338" s="81"/>
      <c r="L338" s="81"/>
    </row>
    <row r="339" spans="2:12" ht="12.75" customHeight="1" x14ac:dyDescent="0.2">
      <c r="B339" s="81"/>
      <c r="C339" s="81"/>
      <c r="D339" s="81"/>
      <c r="E339" s="81"/>
      <c r="F339" s="81"/>
      <c r="G339" s="81"/>
      <c r="H339" s="81"/>
      <c r="I339" s="81"/>
      <c r="J339" s="81"/>
      <c r="K339" s="81"/>
      <c r="L339" s="81"/>
    </row>
    <row r="340" spans="2:12" ht="12.75" customHeight="1" x14ac:dyDescent="0.2">
      <c r="B340" s="81"/>
      <c r="C340" s="81"/>
      <c r="D340" s="81"/>
      <c r="E340" s="81"/>
      <c r="F340" s="81"/>
      <c r="G340" s="81"/>
      <c r="H340" s="81"/>
      <c r="I340" s="81"/>
      <c r="J340" s="81"/>
      <c r="K340" s="81"/>
      <c r="L340" s="81"/>
    </row>
    <row r="341" spans="2:12" ht="12.75" customHeight="1" x14ac:dyDescent="0.2">
      <c r="B341" s="81"/>
      <c r="C341" s="81"/>
      <c r="D341" s="81"/>
      <c r="E341" s="81"/>
      <c r="F341" s="81"/>
      <c r="G341" s="81"/>
      <c r="H341" s="81"/>
      <c r="I341" s="81"/>
      <c r="J341" s="81"/>
      <c r="K341" s="81"/>
      <c r="L341" s="81"/>
    </row>
    <row r="342" spans="2:12" ht="12.75" customHeight="1" x14ac:dyDescent="0.2">
      <c r="B342" s="81"/>
      <c r="C342" s="81"/>
      <c r="D342" s="81"/>
      <c r="E342" s="81"/>
      <c r="F342" s="81"/>
      <c r="G342" s="81"/>
      <c r="H342" s="81"/>
      <c r="I342" s="81"/>
      <c r="J342" s="81"/>
      <c r="K342" s="81"/>
      <c r="L342" s="81"/>
    </row>
    <row r="343" spans="2:12" ht="12.75" customHeight="1" x14ac:dyDescent="0.2">
      <c r="B343" s="81"/>
      <c r="C343" s="81"/>
      <c r="D343" s="81"/>
      <c r="E343" s="81"/>
      <c r="F343" s="81"/>
      <c r="G343" s="81"/>
      <c r="H343" s="81"/>
      <c r="I343" s="81"/>
      <c r="J343" s="81"/>
      <c r="K343" s="81"/>
      <c r="L343" s="81"/>
    </row>
    <row r="344" spans="2:12" ht="12.75" customHeight="1" x14ac:dyDescent="0.2">
      <c r="B344" s="81"/>
      <c r="C344" s="81"/>
      <c r="D344" s="81"/>
      <c r="E344" s="81"/>
      <c r="F344" s="81"/>
      <c r="G344" s="81"/>
      <c r="H344" s="81"/>
      <c r="I344" s="81"/>
      <c r="J344" s="81"/>
      <c r="K344" s="81"/>
      <c r="L344" s="81"/>
    </row>
    <row r="345" spans="2:12" ht="12.75" customHeight="1" x14ac:dyDescent="0.2">
      <c r="B345" s="81"/>
      <c r="C345" s="81"/>
      <c r="D345" s="81"/>
      <c r="E345" s="81"/>
      <c r="F345" s="81"/>
      <c r="G345" s="81"/>
      <c r="H345" s="81"/>
      <c r="I345" s="81"/>
      <c r="J345" s="81"/>
      <c r="K345" s="81"/>
      <c r="L345" s="81"/>
    </row>
    <row r="346" spans="2:12" ht="12.75" customHeight="1" x14ac:dyDescent="0.2">
      <c r="B346" s="81"/>
      <c r="C346" s="81"/>
      <c r="D346" s="81"/>
      <c r="E346" s="81"/>
      <c r="F346" s="81"/>
      <c r="G346" s="81"/>
      <c r="H346" s="81"/>
      <c r="I346" s="81"/>
      <c r="J346" s="81"/>
      <c r="K346" s="81"/>
      <c r="L346" s="81"/>
    </row>
    <row r="347" spans="2:12" ht="12.75" customHeight="1" x14ac:dyDescent="0.2">
      <c r="B347" s="81"/>
      <c r="C347" s="81"/>
      <c r="D347" s="81"/>
      <c r="E347" s="81"/>
      <c r="F347" s="81"/>
      <c r="G347" s="81"/>
      <c r="H347" s="81"/>
      <c r="I347" s="81"/>
      <c r="J347" s="81"/>
      <c r="K347" s="81"/>
      <c r="L347" s="81"/>
    </row>
    <row r="348" spans="2:12" ht="12.75" customHeight="1" x14ac:dyDescent="0.2">
      <c r="B348" s="81"/>
      <c r="C348" s="81"/>
      <c r="D348" s="81"/>
      <c r="E348" s="81"/>
      <c r="F348" s="81"/>
      <c r="G348" s="81"/>
      <c r="H348" s="81"/>
      <c r="I348" s="81"/>
      <c r="J348" s="81"/>
      <c r="K348" s="81"/>
      <c r="L348" s="81"/>
    </row>
    <row r="349" spans="2:12" ht="12.75" customHeight="1" x14ac:dyDescent="0.2">
      <c r="B349" s="81"/>
      <c r="C349" s="81"/>
      <c r="D349" s="81"/>
      <c r="E349" s="81"/>
      <c r="F349" s="81"/>
      <c r="G349" s="81"/>
      <c r="H349" s="81"/>
      <c r="I349" s="81"/>
      <c r="J349" s="81"/>
      <c r="K349" s="81"/>
      <c r="L349" s="81"/>
    </row>
    <row r="350" spans="2:12" ht="12.75" customHeight="1" x14ac:dyDescent="0.2">
      <c r="B350" s="81"/>
      <c r="C350" s="81"/>
      <c r="D350" s="81"/>
      <c r="E350" s="81"/>
      <c r="F350" s="81"/>
      <c r="G350" s="81"/>
      <c r="H350" s="81"/>
      <c r="I350" s="81"/>
      <c r="J350" s="81"/>
      <c r="K350" s="81"/>
      <c r="L350" s="81"/>
    </row>
    <row r="351" spans="2:12" ht="12.75" customHeight="1" x14ac:dyDescent="0.2">
      <c r="B351" s="81"/>
      <c r="C351" s="81"/>
      <c r="D351" s="81"/>
      <c r="E351" s="81"/>
      <c r="F351" s="81"/>
      <c r="G351" s="81"/>
      <c r="H351" s="81"/>
      <c r="I351" s="81"/>
      <c r="J351" s="81"/>
      <c r="K351" s="81"/>
      <c r="L351" s="81"/>
    </row>
    <row r="352" spans="2:12" ht="12.75" customHeight="1" x14ac:dyDescent="0.2">
      <c r="B352" s="81"/>
      <c r="C352" s="81"/>
      <c r="D352" s="81"/>
      <c r="E352" s="81"/>
      <c r="F352" s="81"/>
      <c r="G352" s="81"/>
      <c r="H352" s="81"/>
      <c r="I352" s="81"/>
      <c r="J352" s="81"/>
      <c r="K352" s="81"/>
      <c r="L352" s="81"/>
    </row>
    <row r="353" spans="2:12" ht="12.75" customHeight="1" x14ac:dyDescent="0.2">
      <c r="B353" s="81"/>
      <c r="C353" s="81"/>
      <c r="D353" s="81"/>
      <c r="E353" s="81"/>
      <c r="F353" s="81"/>
      <c r="G353" s="81"/>
      <c r="H353" s="81"/>
      <c r="I353" s="81"/>
      <c r="J353" s="81"/>
      <c r="K353" s="81"/>
      <c r="L353" s="81"/>
    </row>
    <row r="354" spans="2:12" ht="12.75" customHeight="1" x14ac:dyDescent="0.2">
      <c r="B354" s="81"/>
      <c r="C354" s="81"/>
      <c r="D354" s="81"/>
      <c r="E354" s="81"/>
      <c r="F354" s="81"/>
      <c r="G354" s="81"/>
      <c r="H354" s="81"/>
      <c r="I354" s="81"/>
      <c r="J354" s="81"/>
      <c r="K354" s="81"/>
      <c r="L354" s="81"/>
    </row>
    <row r="355" spans="2:12" ht="12.75" customHeight="1" x14ac:dyDescent="0.2">
      <c r="B355" s="81"/>
      <c r="C355" s="81"/>
      <c r="D355" s="81"/>
      <c r="E355" s="81"/>
      <c r="F355" s="81"/>
      <c r="G355" s="81"/>
      <c r="H355" s="81"/>
      <c r="I355" s="81"/>
      <c r="J355" s="81"/>
      <c r="K355" s="81"/>
      <c r="L355" s="81"/>
    </row>
    <row r="356" spans="2:12" ht="12.75" customHeight="1" x14ac:dyDescent="0.2">
      <c r="B356" s="81"/>
      <c r="C356" s="81"/>
      <c r="D356" s="81"/>
      <c r="E356" s="81"/>
      <c r="F356" s="81"/>
      <c r="G356" s="81"/>
      <c r="H356" s="81"/>
      <c r="I356" s="81"/>
      <c r="J356" s="81"/>
      <c r="K356" s="81"/>
      <c r="L356" s="81"/>
    </row>
    <row r="357" spans="2:12" ht="12.75" customHeight="1" x14ac:dyDescent="0.2">
      <c r="B357" s="81"/>
      <c r="C357" s="81"/>
      <c r="D357" s="81"/>
      <c r="E357" s="81"/>
      <c r="F357" s="81"/>
      <c r="G357" s="81"/>
      <c r="H357" s="81"/>
      <c r="I357" s="81"/>
      <c r="J357" s="81"/>
      <c r="K357" s="81"/>
      <c r="L357" s="81"/>
    </row>
    <row r="358" spans="2:12" ht="12.75" customHeight="1" x14ac:dyDescent="0.2">
      <c r="B358" s="81"/>
      <c r="C358" s="81"/>
      <c r="D358" s="81"/>
      <c r="E358" s="81"/>
      <c r="F358" s="81"/>
      <c r="G358" s="81"/>
      <c r="H358" s="81"/>
      <c r="I358" s="81"/>
      <c r="J358" s="81"/>
      <c r="K358" s="81"/>
      <c r="L358" s="81"/>
    </row>
    <row r="359" spans="2:12" ht="12.75" customHeight="1" x14ac:dyDescent="0.2">
      <c r="B359" s="81"/>
      <c r="C359" s="81"/>
      <c r="D359" s="81"/>
      <c r="E359" s="81"/>
      <c r="F359" s="81"/>
      <c r="G359" s="81"/>
      <c r="H359" s="81"/>
      <c r="I359" s="81"/>
      <c r="J359" s="81"/>
      <c r="K359" s="81"/>
      <c r="L359" s="81"/>
    </row>
    <row r="360" spans="2:12" ht="12.75" customHeight="1" x14ac:dyDescent="0.2">
      <c r="B360" s="81"/>
      <c r="C360" s="81"/>
      <c r="D360" s="81"/>
      <c r="E360" s="81"/>
      <c r="F360" s="81"/>
      <c r="G360" s="81"/>
      <c r="H360" s="81"/>
      <c r="I360" s="81"/>
      <c r="J360" s="81"/>
      <c r="K360" s="81"/>
      <c r="L360" s="81"/>
    </row>
    <row r="361" spans="2:12" ht="12.75" customHeight="1" x14ac:dyDescent="0.2">
      <c r="B361" s="81"/>
      <c r="C361" s="81"/>
      <c r="D361" s="81"/>
      <c r="E361" s="81"/>
      <c r="F361" s="81"/>
      <c r="G361" s="81"/>
      <c r="H361" s="81"/>
      <c r="I361" s="81"/>
      <c r="J361" s="81"/>
      <c r="K361" s="81"/>
      <c r="L361" s="81"/>
    </row>
    <row r="362" spans="2:12" ht="12.75" customHeight="1" x14ac:dyDescent="0.2">
      <c r="B362" s="81"/>
      <c r="C362" s="81"/>
      <c r="D362" s="81"/>
      <c r="E362" s="81"/>
      <c r="F362" s="81"/>
      <c r="G362" s="81"/>
      <c r="H362" s="81"/>
      <c r="I362" s="81"/>
      <c r="J362" s="81"/>
      <c r="K362" s="81"/>
      <c r="L362" s="81"/>
    </row>
    <row r="363" spans="2:12" ht="12.75" customHeight="1" x14ac:dyDescent="0.2">
      <c r="B363" s="81"/>
      <c r="C363" s="81"/>
      <c r="D363" s="81"/>
      <c r="E363" s="81"/>
      <c r="F363" s="81"/>
      <c r="G363" s="81"/>
      <c r="H363" s="81"/>
      <c r="I363" s="81"/>
      <c r="J363" s="81"/>
      <c r="K363" s="81"/>
      <c r="L363" s="81"/>
    </row>
    <row r="364" spans="2:12" ht="12.75" customHeight="1" x14ac:dyDescent="0.2">
      <c r="B364" s="81"/>
      <c r="C364" s="81"/>
      <c r="D364" s="81"/>
      <c r="E364" s="81"/>
      <c r="F364" s="81"/>
      <c r="G364" s="81"/>
      <c r="H364" s="81"/>
      <c r="I364" s="81"/>
      <c r="J364" s="81"/>
      <c r="K364" s="81"/>
      <c r="L364" s="81"/>
    </row>
    <row r="365" spans="2:12" ht="12.75" customHeight="1" x14ac:dyDescent="0.2">
      <c r="B365" s="81"/>
      <c r="C365" s="81"/>
      <c r="D365" s="81"/>
      <c r="E365" s="81"/>
      <c r="F365" s="81"/>
      <c r="G365" s="81"/>
      <c r="H365" s="81"/>
      <c r="I365" s="81"/>
      <c r="J365" s="81"/>
      <c r="K365" s="81"/>
      <c r="L365" s="81"/>
    </row>
    <row r="366" spans="2:12" ht="12.75" customHeight="1" x14ac:dyDescent="0.2">
      <c r="B366" s="81"/>
      <c r="C366" s="81"/>
      <c r="D366" s="81"/>
      <c r="E366" s="81"/>
      <c r="F366" s="81"/>
      <c r="G366" s="81"/>
      <c r="H366" s="81"/>
      <c r="I366" s="81"/>
      <c r="J366" s="81"/>
      <c r="K366" s="81"/>
      <c r="L366" s="81"/>
    </row>
    <row r="367" spans="2:12" ht="12.75" customHeight="1" x14ac:dyDescent="0.2">
      <c r="B367" s="81"/>
      <c r="C367" s="81"/>
      <c r="D367" s="81"/>
      <c r="E367" s="81"/>
      <c r="F367" s="81"/>
      <c r="G367" s="81"/>
      <c r="H367" s="81"/>
      <c r="I367" s="81"/>
      <c r="J367" s="81"/>
      <c r="K367" s="81"/>
      <c r="L367" s="81"/>
    </row>
    <row r="368" spans="2:12" ht="12.75" customHeight="1" x14ac:dyDescent="0.2">
      <c r="B368" s="81"/>
      <c r="C368" s="81"/>
      <c r="D368" s="81"/>
      <c r="E368" s="81"/>
      <c r="F368" s="81"/>
      <c r="G368" s="81"/>
      <c r="H368" s="81"/>
      <c r="I368" s="81"/>
      <c r="J368" s="81"/>
      <c r="K368" s="81"/>
      <c r="L368" s="81"/>
    </row>
    <row r="369" spans="2:12" ht="12.75" customHeight="1" x14ac:dyDescent="0.2">
      <c r="B369" s="81"/>
      <c r="C369" s="81"/>
      <c r="D369" s="81"/>
      <c r="E369" s="81"/>
      <c r="F369" s="81"/>
      <c r="G369" s="81"/>
      <c r="H369" s="81"/>
      <c r="I369" s="81"/>
      <c r="J369" s="81"/>
      <c r="K369" s="81"/>
      <c r="L369" s="81"/>
    </row>
    <row r="370" spans="2:12" ht="12.75" customHeight="1" x14ac:dyDescent="0.2">
      <c r="B370" s="81"/>
      <c r="C370" s="81"/>
      <c r="D370" s="81"/>
      <c r="E370" s="81"/>
      <c r="F370" s="81"/>
      <c r="G370" s="81"/>
      <c r="H370" s="81"/>
      <c r="I370" s="81"/>
      <c r="J370" s="81"/>
      <c r="K370" s="81"/>
      <c r="L370" s="81"/>
    </row>
    <row r="371" spans="2:12" ht="12.75" customHeight="1" x14ac:dyDescent="0.2">
      <c r="B371" s="81"/>
      <c r="C371" s="81"/>
      <c r="D371" s="81"/>
      <c r="E371" s="81"/>
      <c r="F371" s="81"/>
      <c r="G371" s="81"/>
      <c r="H371" s="81"/>
      <c r="I371" s="81"/>
      <c r="J371" s="81"/>
      <c r="K371" s="81"/>
      <c r="L371" s="81"/>
    </row>
    <row r="372" spans="2:12" ht="12.75" customHeight="1" x14ac:dyDescent="0.2">
      <c r="B372" s="81"/>
      <c r="C372" s="81"/>
      <c r="D372" s="81"/>
      <c r="E372" s="81"/>
      <c r="F372" s="81"/>
      <c r="G372" s="81"/>
      <c r="H372" s="81"/>
      <c r="I372" s="81"/>
      <c r="J372" s="81"/>
      <c r="K372" s="81"/>
      <c r="L372" s="81"/>
    </row>
    <row r="373" spans="2:12" ht="12.75" customHeight="1" x14ac:dyDescent="0.2">
      <c r="B373" s="81"/>
      <c r="C373" s="81"/>
      <c r="D373" s="81"/>
      <c r="E373" s="81"/>
      <c r="F373" s="81"/>
      <c r="G373" s="81"/>
      <c r="H373" s="81"/>
      <c r="I373" s="81"/>
      <c r="J373" s="81"/>
      <c r="K373" s="81"/>
      <c r="L373" s="81"/>
    </row>
    <row r="374" spans="2:12" ht="12.75" customHeight="1" x14ac:dyDescent="0.2">
      <c r="B374" s="81"/>
      <c r="C374" s="81"/>
      <c r="D374" s="81"/>
      <c r="E374" s="81"/>
      <c r="F374" s="81"/>
      <c r="G374" s="81"/>
      <c r="H374" s="81"/>
      <c r="I374" s="81"/>
      <c r="J374" s="81"/>
      <c r="K374" s="81"/>
      <c r="L374" s="81"/>
    </row>
    <row r="375" spans="2:12" ht="12.75" customHeight="1" x14ac:dyDescent="0.2">
      <c r="B375" s="81"/>
      <c r="C375" s="81"/>
      <c r="D375" s="81"/>
      <c r="E375" s="81"/>
      <c r="F375" s="81"/>
      <c r="G375" s="81"/>
      <c r="H375" s="81"/>
      <c r="I375" s="81"/>
      <c r="J375" s="81"/>
      <c r="K375" s="81"/>
      <c r="L375" s="81"/>
    </row>
    <row r="376" spans="2:12" ht="12.75" customHeight="1" x14ac:dyDescent="0.2">
      <c r="B376" s="81"/>
      <c r="C376" s="81"/>
      <c r="D376" s="81"/>
      <c r="E376" s="81"/>
      <c r="F376" s="81"/>
      <c r="G376" s="81"/>
      <c r="H376" s="81"/>
      <c r="I376" s="81"/>
      <c r="J376" s="81"/>
      <c r="K376" s="81"/>
      <c r="L376" s="81"/>
    </row>
    <row r="377" spans="2:12" ht="12.75" customHeight="1" x14ac:dyDescent="0.2">
      <c r="B377" s="81"/>
      <c r="C377" s="81"/>
      <c r="D377" s="81"/>
      <c r="E377" s="81"/>
      <c r="F377" s="81"/>
      <c r="G377" s="81"/>
      <c r="H377" s="81"/>
      <c r="I377" s="81"/>
      <c r="J377" s="81"/>
      <c r="K377" s="81"/>
      <c r="L377" s="81"/>
    </row>
    <row r="378" spans="2:12" ht="12.75" customHeight="1" x14ac:dyDescent="0.2">
      <c r="B378" s="81"/>
      <c r="C378" s="81"/>
      <c r="D378" s="81"/>
      <c r="E378" s="81"/>
      <c r="F378" s="81"/>
      <c r="G378" s="81"/>
      <c r="H378" s="81"/>
      <c r="I378" s="81"/>
      <c r="J378" s="81"/>
      <c r="K378" s="81"/>
      <c r="L378" s="81"/>
    </row>
    <row r="379" spans="2:12" ht="12.75" customHeight="1" x14ac:dyDescent="0.2">
      <c r="B379" s="81"/>
      <c r="C379" s="81"/>
      <c r="D379" s="81"/>
      <c r="E379" s="81"/>
      <c r="F379" s="81"/>
      <c r="G379" s="81"/>
      <c r="H379" s="81"/>
      <c r="I379" s="81"/>
      <c r="J379" s="81"/>
      <c r="K379" s="81"/>
      <c r="L379" s="81"/>
    </row>
    <row r="380" spans="2:12" ht="12.75" customHeight="1" x14ac:dyDescent="0.2">
      <c r="B380" s="81"/>
      <c r="C380" s="81"/>
      <c r="D380" s="81"/>
      <c r="E380" s="81"/>
      <c r="F380" s="81"/>
      <c r="G380" s="81"/>
      <c r="H380" s="81"/>
      <c r="I380" s="81"/>
      <c r="J380" s="81"/>
      <c r="K380" s="81"/>
      <c r="L380" s="81"/>
    </row>
    <row r="381" spans="2:12" ht="12.75" customHeight="1" x14ac:dyDescent="0.2">
      <c r="B381" s="81"/>
      <c r="C381" s="81"/>
      <c r="D381" s="81"/>
      <c r="E381" s="81"/>
      <c r="F381" s="81"/>
      <c r="G381" s="81"/>
      <c r="H381" s="81"/>
      <c r="I381" s="81"/>
      <c r="J381" s="81"/>
      <c r="K381" s="81"/>
      <c r="L381" s="81"/>
    </row>
    <row r="382" spans="2:12" ht="12.75" customHeight="1" x14ac:dyDescent="0.2">
      <c r="B382" s="81"/>
      <c r="C382" s="81"/>
      <c r="D382" s="81"/>
      <c r="E382" s="81"/>
      <c r="F382" s="81"/>
      <c r="G382" s="81"/>
      <c r="H382" s="81"/>
      <c r="I382" s="81"/>
      <c r="J382" s="81"/>
      <c r="K382" s="81"/>
      <c r="L382" s="81"/>
    </row>
    <row r="383" spans="2:12" ht="12.75" customHeight="1" x14ac:dyDescent="0.2">
      <c r="B383" s="81"/>
      <c r="C383" s="81"/>
      <c r="D383" s="81"/>
      <c r="E383" s="81"/>
      <c r="F383" s="81"/>
      <c r="G383" s="81"/>
      <c r="H383" s="81"/>
      <c r="I383" s="81"/>
      <c r="J383" s="81"/>
      <c r="K383" s="81"/>
      <c r="L383" s="81"/>
    </row>
    <row r="384" spans="2:12" ht="12.75" customHeight="1" x14ac:dyDescent="0.2">
      <c r="B384" s="81"/>
      <c r="C384" s="81"/>
      <c r="D384" s="81"/>
      <c r="E384" s="81"/>
      <c r="F384" s="81"/>
      <c r="G384" s="81"/>
      <c r="H384" s="81"/>
      <c r="I384" s="81"/>
      <c r="J384" s="81"/>
      <c r="K384" s="81"/>
      <c r="L384" s="81"/>
    </row>
    <row r="385" spans="2:12" ht="12.75" customHeight="1" x14ac:dyDescent="0.2">
      <c r="B385" s="81"/>
      <c r="C385" s="81"/>
      <c r="D385" s="81"/>
      <c r="E385" s="81"/>
      <c r="F385" s="81"/>
      <c r="G385" s="81"/>
      <c r="H385" s="81"/>
      <c r="I385" s="81"/>
      <c r="J385" s="81"/>
      <c r="K385" s="81"/>
      <c r="L385" s="81"/>
    </row>
    <row r="386" spans="2:12" ht="12.75" customHeight="1" x14ac:dyDescent="0.2">
      <c r="B386" s="81"/>
      <c r="C386" s="81"/>
      <c r="D386" s="81"/>
      <c r="E386" s="81"/>
      <c r="F386" s="81"/>
      <c r="G386" s="81"/>
      <c r="H386" s="81"/>
      <c r="I386" s="81"/>
      <c r="J386" s="81"/>
      <c r="K386" s="81"/>
      <c r="L386" s="81"/>
    </row>
    <row r="387" spans="2:12" ht="12.75" customHeight="1" x14ac:dyDescent="0.2">
      <c r="B387" s="81"/>
      <c r="C387" s="81"/>
      <c r="D387" s="81"/>
      <c r="E387" s="81"/>
      <c r="F387" s="81"/>
      <c r="G387" s="81"/>
      <c r="H387" s="81"/>
      <c r="I387" s="81"/>
      <c r="J387" s="81"/>
      <c r="K387" s="81"/>
      <c r="L387" s="81"/>
    </row>
    <row r="388" spans="2:12" ht="12.75" customHeight="1" x14ac:dyDescent="0.2">
      <c r="B388" s="81"/>
      <c r="C388" s="81"/>
      <c r="D388" s="81"/>
      <c r="E388" s="81"/>
      <c r="F388" s="81"/>
      <c r="G388" s="81"/>
      <c r="H388" s="81"/>
      <c r="I388" s="81"/>
      <c r="J388" s="81"/>
      <c r="K388" s="81"/>
      <c r="L388" s="81"/>
    </row>
    <row r="389" spans="2:12" ht="12.75" customHeight="1" x14ac:dyDescent="0.2">
      <c r="B389" s="81"/>
      <c r="C389" s="81"/>
      <c r="D389" s="81"/>
      <c r="E389" s="81"/>
      <c r="F389" s="81"/>
      <c r="G389" s="81"/>
      <c r="H389" s="81"/>
      <c r="I389" s="81"/>
      <c r="J389" s="81"/>
      <c r="K389" s="81"/>
      <c r="L389" s="81"/>
    </row>
    <row r="390" spans="2:12" ht="12.75" customHeight="1" x14ac:dyDescent="0.2">
      <c r="B390" s="81"/>
      <c r="C390" s="81"/>
      <c r="D390" s="81"/>
      <c r="E390" s="81"/>
      <c r="F390" s="81"/>
      <c r="G390" s="81"/>
      <c r="H390" s="81"/>
      <c r="I390" s="81"/>
      <c r="J390" s="81"/>
      <c r="K390" s="81"/>
      <c r="L390" s="81"/>
    </row>
    <row r="391" spans="2:12" ht="12.75" customHeight="1" x14ac:dyDescent="0.2">
      <c r="B391" s="81"/>
      <c r="C391" s="81"/>
      <c r="D391" s="81"/>
      <c r="E391" s="81"/>
      <c r="F391" s="81"/>
      <c r="G391" s="81"/>
      <c r="H391" s="81"/>
      <c r="I391" s="81"/>
      <c r="J391" s="81"/>
      <c r="K391" s="81"/>
      <c r="L391" s="81"/>
    </row>
    <row r="392" spans="2:12" ht="12.75" customHeight="1" x14ac:dyDescent="0.2">
      <c r="B392" s="81"/>
      <c r="C392" s="81"/>
      <c r="D392" s="81"/>
      <c r="E392" s="81"/>
      <c r="F392" s="81"/>
      <c r="G392" s="81"/>
      <c r="H392" s="81"/>
      <c r="I392" s="81"/>
      <c r="J392" s="81"/>
      <c r="K392" s="81"/>
      <c r="L392" s="81"/>
    </row>
    <row r="393" spans="2:12" ht="12.75" customHeight="1" x14ac:dyDescent="0.2">
      <c r="B393" s="81"/>
      <c r="C393" s="81"/>
      <c r="D393" s="81"/>
      <c r="E393" s="81"/>
      <c r="F393" s="81"/>
      <c r="G393" s="81"/>
      <c r="H393" s="81"/>
      <c r="I393" s="81"/>
      <c r="J393" s="81"/>
      <c r="K393" s="81"/>
      <c r="L393" s="81"/>
    </row>
    <row r="394" spans="2:12" ht="12.75" customHeight="1" x14ac:dyDescent="0.2">
      <c r="B394" s="81"/>
      <c r="C394" s="81"/>
      <c r="D394" s="81"/>
      <c r="E394" s="81"/>
      <c r="F394" s="81"/>
      <c r="G394" s="81"/>
      <c r="H394" s="81"/>
      <c r="I394" s="81"/>
      <c r="J394" s="81"/>
      <c r="K394" s="81"/>
      <c r="L394" s="81"/>
    </row>
    <row r="395" spans="2:12" ht="12.75" customHeight="1" x14ac:dyDescent="0.2">
      <c r="B395" s="81"/>
      <c r="C395" s="81"/>
      <c r="D395" s="81"/>
      <c r="E395" s="81"/>
      <c r="F395" s="81"/>
      <c r="G395" s="81"/>
      <c r="H395" s="81"/>
      <c r="I395" s="81"/>
      <c r="J395" s="81"/>
      <c r="K395" s="81"/>
      <c r="L395" s="81"/>
    </row>
    <row r="396" spans="2:12" ht="12.75" customHeight="1" x14ac:dyDescent="0.2">
      <c r="B396" s="81"/>
      <c r="C396" s="81"/>
      <c r="D396" s="81"/>
      <c r="E396" s="81"/>
      <c r="F396" s="81"/>
      <c r="G396" s="81"/>
      <c r="H396" s="81"/>
      <c r="I396" s="81"/>
      <c r="J396" s="81"/>
      <c r="K396" s="81"/>
      <c r="L396" s="81"/>
    </row>
    <row r="397" spans="2:12" ht="12.75" customHeight="1" x14ac:dyDescent="0.2">
      <c r="B397" s="81"/>
      <c r="C397" s="81"/>
      <c r="D397" s="81"/>
      <c r="E397" s="81"/>
      <c r="F397" s="81"/>
      <c r="G397" s="81"/>
      <c r="H397" s="81"/>
      <c r="I397" s="81"/>
      <c r="J397" s="81"/>
      <c r="K397" s="81"/>
      <c r="L397" s="81"/>
    </row>
    <row r="398" spans="2:12" ht="12.75" customHeight="1" x14ac:dyDescent="0.2">
      <c r="B398" s="81"/>
      <c r="C398" s="81"/>
      <c r="D398" s="81"/>
      <c r="E398" s="81"/>
      <c r="F398" s="81"/>
      <c r="G398" s="81"/>
      <c r="H398" s="81"/>
      <c r="I398" s="81"/>
      <c r="J398" s="81"/>
      <c r="K398" s="81"/>
      <c r="L398" s="81"/>
    </row>
    <row r="399" spans="2:12" ht="12.75" customHeight="1" x14ac:dyDescent="0.2">
      <c r="B399" s="81"/>
      <c r="C399" s="81"/>
      <c r="D399" s="81"/>
      <c r="E399" s="81"/>
      <c r="F399" s="81"/>
      <c r="G399" s="81"/>
      <c r="H399" s="81"/>
      <c r="I399" s="81"/>
      <c r="J399" s="81"/>
      <c r="K399" s="81"/>
      <c r="L399" s="81"/>
    </row>
    <row r="400" spans="2:12" ht="12.75" customHeight="1" x14ac:dyDescent="0.2">
      <c r="B400" s="81"/>
      <c r="C400" s="81"/>
      <c r="D400" s="81"/>
      <c r="E400" s="81"/>
      <c r="F400" s="81"/>
      <c r="G400" s="81"/>
      <c r="H400" s="81"/>
      <c r="I400" s="81"/>
      <c r="J400" s="81"/>
      <c r="K400" s="81"/>
      <c r="L400" s="81"/>
    </row>
    <row r="401" spans="2:12" ht="12.75" customHeight="1" x14ac:dyDescent="0.2">
      <c r="B401" s="81"/>
      <c r="C401" s="81"/>
      <c r="D401" s="81"/>
      <c r="E401" s="81"/>
      <c r="F401" s="81"/>
      <c r="G401" s="81"/>
      <c r="H401" s="81"/>
      <c r="I401" s="81"/>
      <c r="J401" s="81"/>
      <c r="K401" s="81"/>
      <c r="L401" s="81"/>
    </row>
    <row r="402" spans="2:12" ht="12.75" customHeight="1" x14ac:dyDescent="0.2">
      <c r="B402" s="81"/>
      <c r="C402" s="81"/>
      <c r="D402" s="81"/>
      <c r="E402" s="81"/>
      <c r="F402" s="81"/>
      <c r="G402" s="81"/>
      <c r="H402" s="81"/>
      <c r="I402" s="81"/>
      <c r="J402" s="81"/>
      <c r="K402" s="81"/>
      <c r="L402" s="81"/>
    </row>
    <row r="403" spans="2:12" ht="12.75" customHeight="1" x14ac:dyDescent="0.2">
      <c r="B403" s="81"/>
      <c r="C403" s="81"/>
      <c r="D403" s="81"/>
      <c r="E403" s="81"/>
      <c r="F403" s="81"/>
      <c r="G403" s="81"/>
      <c r="H403" s="81"/>
      <c r="I403" s="81"/>
      <c r="J403" s="81"/>
      <c r="K403" s="81"/>
      <c r="L403" s="81"/>
    </row>
    <row r="404" spans="2:12" ht="12.75" customHeight="1" x14ac:dyDescent="0.2">
      <c r="B404" s="81"/>
      <c r="C404" s="81"/>
      <c r="D404" s="81"/>
      <c r="E404" s="81"/>
      <c r="F404" s="81"/>
      <c r="G404" s="81"/>
      <c r="H404" s="81"/>
      <c r="I404" s="81"/>
      <c r="J404" s="81"/>
      <c r="K404" s="81"/>
      <c r="L404" s="81"/>
    </row>
    <row r="405" spans="2:12" ht="12.75" customHeight="1" x14ac:dyDescent="0.2">
      <c r="B405" s="81"/>
      <c r="C405" s="81"/>
      <c r="D405" s="81"/>
      <c r="E405" s="81"/>
      <c r="F405" s="81"/>
      <c r="G405" s="81"/>
      <c r="H405" s="81"/>
      <c r="I405" s="81"/>
      <c r="J405" s="81"/>
      <c r="K405" s="81"/>
      <c r="L405" s="81"/>
    </row>
    <row r="406" spans="2:12" ht="12.75" customHeight="1" x14ac:dyDescent="0.2">
      <c r="B406" s="81"/>
      <c r="C406" s="81"/>
      <c r="D406" s="81"/>
      <c r="E406" s="81"/>
      <c r="F406" s="81"/>
      <c r="G406" s="81"/>
      <c r="H406" s="81"/>
      <c r="I406" s="81"/>
      <c r="J406" s="81"/>
      <c r="K406" s="81"/>
      <c r="L406" s="81"/>
    </row>
    <row r="407" spans="2:12" ht="12.75" customHeight="1" x14ac:dyDescent="0.2">
      <c r="B407" s="81"/>
      <c r="C407" s="81"/>
      <c r="D407" s="81"/>
      <c r="E407" s="81"/>
      <c r="F407" s="81"/>
      <c r="G407" s="81"/>
      <c r="H407" s="81"/>
      <c r="I407" s="81"/>
      <c r="J407" s="81"/>
      <c r="K407" s="81"/>
      <c r="L407" s="81"/>
    </row>
    <row r="408" spans="2:12" ht="12.75" customHeight="1" x14ac:dyDescent="0.2">
      <c r="B408" s="81"/>
      <c r="C408" s="81"/>
      <c r="D408" s="81"/>
      <c r="E408" s="81"/>
      <c r="F408" s="81"/>
      <c r="G408" s="81"/>
      <c r="H408" s="81"/>
      <c r="I408" s="81"/>
      <c r="J408" s="81"/>
      <c r="K408" s="81"/>
      <c r="L408" s="81"/>
    </row>
    <row r="409" spans="2:12" ht="12.75" customHeight="1" x14ac:dyDescent="0.2">
      <c r="B409" s="81"/>
      <c r="C409" s="81"/>
      <c r="D409" s="81"/>
      <c r="E409" s="81"/>
      <c r="F409" s="81"/>
      <c r="G409" s="81"/>
      <c r="H409" s="81"/>
      <c r="I409" s="81"/>
      <c r="J409" s="81"/>
      <c r="K409" s="81"/>
      <c r="L409" s="81"/>
    </row>
    <row r="410" spans="2:12" ht="12.75" customHeight="1" x14ac:dyDescent="0.2">
      <c r="B410" s="81"/>
      <c r="C410" s="81"/>
      <c r="D410" s="81"/>
      <c r="E410" s="81"/>
      <c r="F410" s="81"/>
      <c r="G410" s="81"/>
      <c r="H410" s="81"/>
      <c r="I410" s="81"/>
      <c r="J410" s="81"/>
      <c r="K410" s="81"/>
      <c r="L410" s="81"/>
    </row>
    <row r="411" spans="2:12" ht="12.75" customHeight="1" x14ac:dyDescent="0.2">
      <c r="B411" s="81"/>
      <c r="C411" s="81"/>
      <c r="D411" s="81"/>
      <c r="E411" s="81"/>
      <c r="F411" s="81"/>
      <c r="G411" s="81"/>
      <c r="H411" s="81"/>
      <c r="I411" s="81"/>
      <c r="J411" s="81"/>
      <c r="K411" s="81"/>
      <c r="L411" s="81"/>
    </row>
    <row r="412" spans="2:12" ht="12.75" customHeight="1" x14ac:dyDescent="0.2">
      <c r="B412" s="81"/>
      <c r="C412" s="81"/>
      <c r="D412" s="81"/>
      <c r="E412" s="81"/>
      <c r="F412" s="81"/>
      <c r="G412" s="81"/>
      <c r="H412" s="81"/>
      <c r="I412" s="81"/>
      <c r="J412" s="81"/>
      <c r="K412" s="81"/>
      <c r="L412" s="81"/>
    </row>
    <row r="413" spans="2:12" ht="12.75" customHeight="1" x14ac:dyDescent="0.2">
      <c r="B413" s="81"/>
      <c r="C413" s="81"/>
      <c r="D413" s="81"/>
      <c r="E413" s="81"/>
      <c r="F413" s="81"/>
      <c r="G413" s="81"/>
      <c r="H413" s="81"/>
      <c r="I413" s="81"/>
      <c r="J413" s="81"/>
      <c r="K413" s="81"/>
      <c r="L413" s="81"/>
    </row>
    <row r="414" spans="2:12" ht="12.75" customHeight="1" x14ac:dyDescent="0.2">
      <c r="B414" s="81"/>
      <c r="C414" s="81"/>
      <c r="D414" s="81"/>
      <c r="E414" s="81"/>
      <c r="F414" s="81"/>
      <c r="G414" s="81"/>
      <c r="H414" s="81"/>
      <c r="I414" s="81"/>
      <c r="J414" s="81"/>
      <c r="K414" s="81"/>
      <c r="L414" s="81"/>
    </row>
    <row r="415" spans="2:12" ht="12.75" customHeight="1" x14ac:dyDescent="0.2">
      <c r="B415" s="81"/>
      <c r="C415" s="81"/>
      <c r="D415" s="81"/>
      <c r="E415" s="81"/>
      <c r="F415" s="81"/>
      <c r="G415" s="81"/>
      <c r="H415" s="81"/>
      <c r="I415" s="81"/>
      <c r="J415" s="81"/>
      <c r="K415" s="81"/>
      <c r="L415" s="81"/>
    </row>
    <row r="416" spans="2:12" ht="12.75" customHeight="1" x14ac:dyDescent="0.2">
      <c r="B416" s="81"/>
      <c r="C416" s="81"/>
      <c r="D416" s="81"/>
      <c r="E416" s="81"/>
      <c r="F416" s="81"/>
      <c r="G416" s="81"/>
      <c r="H416" s="81"/>
      <c r="I416" s="81"/>
      <c r="J416" s="81"/>
      <c r="K416" s="81"/>
      <c r="L416" s="81"/>
    </row>
    <row r="417" spans="2:12" ht="12.75" customHeight="1" x14ac:dyDescent="0.2">
      <c r="B417" s="81"/>
      <c r="C417" s="81"/>
      <c r="D417" s="81"/>
      <c r="E417" s="81"/>
      <c r="F417" s="81"/>
      <c r="G417" s="81"/>
      <c r="H417" s="81"/>
      <c r="I417" s="81"/>
      <c r="J417" s="81"/>
      <c r="K417" s="81"/>
      <c r="L417" s="81"/>
    </row>
    <row r="418" spans="2:12" ht="12.75" customHeight="1" x14ac:dyDescent="0.2">
      <c r="B418" s="81"/>
      <c r="C418" s="81"/>
      <c r="D418" s="81"/>
      <c r="E418" s="81"/>
      <c r="F418" s="81"/>
      <c r="G418" s="81"/>
      <c r="H418" s="81"/>
      <c r="I418" s="81"/>
      <c r="J418" s="81"/>
      <c r="K418" s="81"/>
      <c r="L418" s="81"/>
    </row>
    <row r="419" spans="2:12" ht="12.75" customHeight="1" x14ac:dyDescent="0.2">
      <c r="B419" s="81"/>
      <c r="C419" s="81"/>
      <c r="D419" s="81"/>
      <c r="E419" s="81"/>
      <c r="F419" s="81"/>
      <c r="G419" s="81"/>
      <c r="H419" s="81"/>
      <c r="I419" s="81"/>
      <c r="J419" s="81"/>
      <c r="K419" s="81"/>
      <c r="L419" s="81"/>
    </row>
    <row r="420" spans="2:12" ht="12.75" customHeight="1" x14ac:dyDescent="0.2">
      <c r="B420" s="81"/>
      <c r="C420" s="81"/>
      <c r="D420" s="81"/>
      <c r="E420" s="81"/>
      <c r="F420" s="81"/>
      <c r="G420" s="81"/>
      <c r="H420" s="81"/>
      <c r="I420" s="81"/>
      <c r="J420" s="81"/>
      <c r="K420" s="81"/>
      <c r="L420" s="81"/>
    </row>
    <row r="421" spans="2:12" ht="12.75" customHeight="1" x14ac:dyDescent="0.2">
      <c r="B421" s="81"/>
      <c r="C421" s="81"/>
      <c r="D421" s="81"/>
      <c r="E421" s="81"/>
      <c r="F421" s="81"/>
      <c r="G421" s="81"/>
      <c r="H421" s="81"/>
      <c r="I421" s="81"/>
      <c r="J421" s="81"/>
      <c r="K421" s="81"/>
      <c r="L421" s="81"/>
    </row>
    <row r="422" spans="2:12" ht="12.75" customHeight="1" x14ac:dyDescent="0.2">
      <c r="B422" s="81"/>
      <c r="C422" s="81"/>
      <c r="D422" s="81"/>
      <c r="E422" s="81"/>
      <c r="F422" s="81"/>
      <c r="G422" s="81"/>
      <c r="H422" s="81"/>
      <c r="I422" s="81"/>
      <c r="J422" s="81"/>
      <c r="K422" s="81"/>
      <c r="L422" s="81"/>
    </row>
    <row r="423" spans="2:12" ht="12.75" customHeight="1" x14ac:dyDescent="0.2">
      <c r="B423" s="81"/>
      <c r="C423" s="81"/>
      <c r="D423" s="81"/>
      <c r="E423" s="81"/>
      <c r="F423" s="81"/>
      <c r="G423" s="81"/>
      <c r="H423" s="81"/>
      <c r="I423" s="81"/>
      <c r="J423" s="81"/>
      <c r="K423" s="81"/>
      <c r="L423" s="81"/>
    </row>
    <row r="424" spans="2:12" ht="12.75" customHeight="1" x14ac:dyDescent="0.2">
      <c r="B424" s="81"/>
      <c r="C424" s="81"/>
      <c r="D424" s="81"/>
      <c r="E424" s="81"/>
      <c r="F424" s="81"/>
      <c r="G424" s="81"/>
      <c r="H424" s="81"/>
      <c r="I424" s="81"/>
      <c r="J424" s="81"/>
      <c r="K424" s="81"/>
      <c r="L424" s="81"/>
    </row>
    <row r="425" spans="2:12" ht="12.75" customHeight="1" x14ac:dyDescent="0.2">
      <c r="B425" s="81"/>
      <c r="C425" s="81"/>
      <c r="D425" s="81"/>
      <c r="E425" s="81"/>
      <c r="F425" s="81"/>
      <c r="G425" s="81"/>
      <c r="H425" s="81"/>
      <c r="I425" s="81"/>
      <c r="J425" s="81"/>
      <c r="K425" s="81"/>
      <c r="L425" s="81"/>
    </row>
    <row r="426" spans="2:12" ht="12.75" customHeight="1" x14ac:dyDescent="0.2">
      <c r="B426" s="81"/>
      <c r="C426" s="81"/>
      <c r="D426" s="81"/>
      <c r="E426" s="81"/>
      <c r="F426" s="81"/>
      <c r="G426" s="81"/>
      <c r="H426" s="81"/>
      <c r="I426" s="81"/>
      <c r="J426" s="81"/>
      <c r="K426" s="81"/>
      <c r="L426" s="81"/>
    </row>
    <row r="427" spans="2:12" ht="12.75" customHeight="1" x14ac:dyDescent="0.2">
      <c r="B427" s="81"/>
      <c r="C427" s="81"/>
      <c r="D427" s="81"/>
      <c r="E427" s="81"/>
      <c r="F427" s="81"/>
      <c r="G427" s="81"/>
      <c r="H427" s="81"/>
      <c r="I427" s="81"/>
      <c r="J427" s="81"/>
      <c r="K427" s="81"/>
      <c r="L427" s="81"/>
    </row>
    <row r="428" spans="2:12" ht="12.75" customHeight="1" x14ac:dyDescent="0.2">
      <c r="B428" s="81"/>
      <c r="C428" s="81"/>
      <c r="D428" s="81"/>
      <c r="E428" s="81"/>
      <c r="F428" s="81"/>
      <c r="G428" s="81"/>
      <c r="H428" s="81"/>
      <c r="I428" s="81"/>
      <c r="J428" s="81"/>
      <c r="K428" s="81"/>
      <c r="L428" s="81"/>
    </row>
    <row r="429" spans="2:12" ht="12.75" customHeight="1" x14ac:dyDescent="0.2">
      <c r="B429" s="81"/>
      <c r="C429" s="81"/>
      <c r="D429" s="81"/>
      <c r="E429" s="81"/>
      <c r="F429" s="81"/>
      <c r="G429" s="81"/>
      <c r="H429" s="81"/>
      <c r="I429" s="81"/>
      <c r="J429" s="81"/>
      <c r="K429" s="81"/>
      <c r="L429" s="81"/>
    </row>
    <row r="430" spans="2:12" ht="12.75" customHeight="1" x14ac:dyDescent="0.2">
      <c r="B430" s="81"/>
      <c r="C430" s="81"/>
      <c r="D430" s="81"/>
      <c r="E430" s="81"/>
      <c r="F430" s="81"/>
      <c r="G430" s="81"/>
      <c r="H430" s="81"/>
      <c r="I430" s="81"/>
      <c r="J430" s="81"/>
      <c r="K430" s="81"/>
      <c r="L430" s="81"/>
    </row>
    <row r="431" spans="2:12" ht="12.75" customHeight="1" x14ac:dyDescent="0.2">
      <c r="B431" s="81"/>
      <c r="C431" s="81"/>
      <c r="D431" s="81"/>
      <c r="E431" s="81"/>
      <c r="F431" s="81"/>
      <c r="G431" s="81"/>
      <c r="H431" s="81"/>
      <c r="I431" s="81"/>
      <c r="J431" s="81"/>
      <c r="K431" s="81"/>
      <c r="L431" s="81"/>
    </row>
    <row r="432" spans="2:12" ht="12.75" customHeight="1" x14ac:dyDescent="0.2">
      <c r="B432" s="81"/>
      <c r="C432" s="81"/>
      <c r="D432" s="81"/>
      <c r="E432" s="81"/>
      <c r="F432" s="81"/>
      <c r="G432" s="81"/>
      <c r="H432" s="81"/>
      <c r="I432" s="81"/>
      <c r="J432" s="81"/>
      <c r="K432" s="81"/>
      <c r="L432" s="81"/>
    </row>
    <row r="433" spans="2:12" ht="12.75" customHeight="1" x14ac:dyDescent="0.2">
      <c r="B433" s="81"/>
      <c r="C433" s="81"/>
      <c r="D433" s="81"/>
      <c r="E433" s="81"/>
      <c r="F433" s="81"/>
      <c r="G433" s="81"/>
      <c r="H433" s="81"/>
      <c r="I433" s="81"/>
      <c r="J433" s="81"/>
      <c r="K433" s="81"/>
      <c r="L433" s="81"/>
    </row>
    <row r="434" spans="2:12" ht="12.75" customHeight="1" x14ac:dyDescent="0.2">
      <c r="B434" s="81"/>
      <c r="C434" s="81"/>
      <c r="D434" s="81"/>
      <c r="E434" s="81"/>
      <c r="F434" s="81"/>
      <c r="G434" s="81"/>
      <c r="H434" s="81"/>
      <c r="I434" s="81"/>
      <c r="J434" s="81"/>
      <c r="K434" s="81"/>
      <c r="L434" s="81"/>
    </row>
    <row r="435" spans="2:12" ht="12.75" customHeight="1" x14ac:dyDescent="0.2">
      <c r="B435" s="81"/>
      <c r="C435" s="81"/>
      <c r="D435" s="81"/>
      <c r="E435" s="81"/>
      <c r="F435" s="81"/>
      <c r="G435" s="81"/>
      <c r="H435" s="81"/>
      <c r="I435" s="81"/>
      <c r="J435" s="81"/>
      <c r="K435" s="81"/>
      <c r="L435" s="81"/>
    </row>
    <row r="436" spans="2:12" ht="12.75" customHeight="1" x14ac:dyDescent="0.2">
      <c r="B436" s="81"/>
      <c r="C436" s="81"/>
      <c r="D436" s="81"/>
      <c r="E436" s="81"/>
      <c r="F436" s="81"/>
      <c r="G436" s="81"/>
      <c r="H436" s="81"/>
      <c r="I436" s="81"/>
      <c r="J436" s="81"/>
      <c r="K436" s="81"/>
      <c r="L436" s="81"/>
    </row>
    <row r="437" spans="2:12" ht="12.75" customHeight="1" x14ac:dyDescent="0.2">
      <c r="B437" s="81"/>
      <c r="C437" s="81"/>
      <c r="D437" s="81"/>
      <c r="E437" s="81"/>
      <c r="F437" s="81"/>
      <c r="G437" s="81"/>
      <c r="H437" s="81"/>
      <c r="I437" s="81"/>
      <c r="J437" s="81"/>
      <c r="K437" s="81"/>
      <c r="L437" s="81"/>
    </row>
    <row r="438" spans="2:12" ht="12.75" customHeight="1" x14ac:dyDescent="0.2">
      <c r="B438" s="81"/>
      <c r="C438" s="81"/>
      <c r="D438" s="81"/>
      <c r="E438" s="81"/>
      <c r="F438" s="81"/>
      <c r="G438" s="81"/>
      <c r="H438" s="81"/>
      <c r="I438" s="81"/>
      <c r="J438" s="81"/>
      <c r="K438" s="81"/>
      <c r="L438" s="81"/>
    </row>
    <row r="439" spans="2:12" ht="12.75" customHeight="1" x14ac:dyDescent="0.2">
      <c r="B439" s="81"/>
      <c r="C439" s="81"/>
      <c r="D439" s="81"/>
      <c r="E439" s="81"/>
      <c r="F439" s="81"/>
      <c r="G439" s="81"/>
      <c r="H439" s="81"/>
      <c r="I439" s="81"/>
      <c r="J439" s="81"/>
      <c r="K439" s="81"/>
      <c r="L439" s="81"/>
    </row>
    <row r="440" spans="2:12" ht="12.75" customHeight="1" x14ac:dyDescent="0.2">
      <c r="B440" s="81"/>
      <c r="C440" s="81"/>
      <c r="D440" s="81"/>
      <c r="E440" s="81"/>
      <c r="F440" s="81"/>
      <c r="G440" s="81"/>
      <c r="H440" s="81"/>
      <c r="I440" s="81"/>
      <c r="J440" s="81"/>
      <c r="K440" s="81"/>
      <c r="L440" s="81"/>
    </row>
    <row r="441" spans="2:12" ht="12.75" customHeight="1" x14ac:dyDescent="0.2">
      <c r="B441" s="81"/>
      <c r="C441" s="81"/>
      <c r="D441" s="81"/>
      <c r="E441" s="81"/>
      <c r="F441" s="81"/>
      <c r="G441" s="81"/>
      <c r="H441" s="81"/>
      <c r="I441" s="81"/>
      <c r="J441" s="81"/>
      <c r="K441" s="81"/>
      <c r="L441" s="81"/>
    </row>
    <row r="442" spans="2:12" ht="12.75" customHeight="1" x14ac:dyDescent="0.2">
      <c r="B442" s="81"/>
      <c r="C442" s="81"/>
      <c r="D442" s="81"/>
      <c r="E442" s="81"/>
      <c r="F442" s="81"/>
      <c r="G442" s="81"/>
      <c r="H442" s="81"/>
      <c r="I442" s="81"/>
      <c r="J442" s="81"/>
      <c r="K442" s="81"/>
      <c r="L442" s="81"/>
    </row>
    <row r="443" spans="2:12" ht="12.75" customHeight="1" x14ac:dyDescent="0.2">
      <c r="B443" s="81"/>
      <c r="C443" s="81"/>
      <c r="D443" s="81"/>
      <c r="E443" s="81"/>
      <c r="F443" s="81"/>
      <c r="G443" s="81"/>
      <c r="H443" s="81"/>
      <c r="I443" s="81"/>
      <c r="J443" s="81"/>
      <c r="K443" s="81"/>
      <c r="L443" s="81"/>
    </row>
    <row r="444" spans="2:12" ht="12.75" customHeight="1" x14ac:dyDescent="0.2">
      <c r="B444" s="81"/>
      <c r="C444" s="81"/>
      <c r="D444" s="81"/>
      <c r="E444" s="81"/>
      <c r="F444" s="81"/>
      <c r="G444" s="81"/>
      <c r="H444" s="81"/>
      <c r="I444" s="81"/>
      <c r="J444" s="81"/>
      <c r="K444" s="81"/>
      <c r="L444" s="81"/>
    </row>
    <row r="445" spans="2:12" ht="12.75" customHeight="1" x14ac:dyDescent="0.2">
      <c r="B445" s="81"/>
      <c r="C445" s="81"/>
      <c r="D445" s="81"/>
      <c r="E445" s="81"/>
      <c r="F445" s="81"/>
      <c r="G445" s="81"/>
      <c r="H445" s="81"/>
      <c r="I445" s="81"/>
      <c r="J445" s="81"/>
      <c r="K445" s="81"/>
      <c r="L445" s="81"/>
    </row>
    <row r="446" spans="2:12" ht="12.75" customHeight="1" x14ac:dyDescent="0.2">
      <c r="B446" s="81"/>
      <c r="C446" s="81"/>
      <c r="D446" s="81"/>
      <c r="E446" s="81"/>
      <c r="F446" s="81"/>
      <c r="G446" s="81"/>
      <c r="H446" s="81"/>
      <c r="I446" s="81"/>
      <c r="J446" s="81"/>
      <c r="K446" s="81"/>
      <c r="L446" s="81"/>
    </row>
    <row r="447" spans="2:12" ht="12.75" customHeight="1" x14ac:dyDescent="0.2">
      <c r="B447" s="81"/>
      <c r="C447" s="81"/>
      <c r="D447" s="81"/>
      <c r="E447" s="81"/>
      <c r="F447" s="81"/>
      <c r="G447" s="81"/>
      <c r="H447" s="81"/>
      <c r="I447" s="81"/>
      <c r="J447" s="81"/>
      <c r="K447" s="81"/>
      <c r="L447" s="81"/>
    </row>
    <row r="448" spans="2:12" ht="12.75" customHeight="1" x14ac:dyDescent="0.2">
      <c r="B448" s="81"/>
      <c r="C448" s="81"/>
      <c r="D448" s="81"/>
      <c r="E448" s="81"/>
      <c r="F448" s="81"/>
      <c r="G448" s="81"/>
      <c r="H448" s="81"/>
      <c r="I448" s="81"/>
      <c r="J448" s="81"/>
      <c r="K448" s="81"/>
      <c r="L448" s="81"/>
    </row>
    <row r="449" spans="2:12" ht="12.75" customHeight="1" x14ac:dyDescent="0.2">
      <c r="B449" s="81"/>
      <c r="C449" s="81"/>
      <c r="D449" s="81"/>
      <c r="E449" s="81"/>
      <c r="F449" s="81"/>
      <c r="G449" s="81"/>
      <c r="H449" s="81"/>
      <c r="I449" s="81"/>
      <c r="J449" s="81"/>
      <c r="K449" s="81"/>
      <c r="L449" s="81"/>
    </row>
    <row r="450" spans="2:12" ht="12.75" customHeight="1" x14ac:dyDescent="0.2">
      <c r="B450" s="81"/>
      <c r="C450" s="81"/>
      <c r="D450" s="81"/>
      <c r="E450" s="81"/>
      <c r="F450" s="81"/>
      <c r="G450" s="81"/>
      <c r="H450" s="81"/>
      <c r="I450" s="81"/>
      <c r="J450" s="81"/>
      <c r="K450" s="81"/>
      <c r="L450" s="81"/>
    </row>
    <row r="451" spans="2:12" ht="12.75" customHeight="1" x14ac:dyDescent="0.2">
      <c r="B451" s="81"/>
      <c r="C451" s="81"/>
      <c r="D451" s="81"/>
      <c r="E451" s="81"/>
      <c r="F451" s="81"/>
      <c r="G451" s="81"/>
      <c r="H451" s="81"/>
      <c r="I451" s="81"/>
      <c r="J451" s="81"/>
      <c r="K451" s="81"/>
      <c r="L451" s="81"/>
    </row>
    <row r="452" spans="2:12" ht="12.75" customHeight="1" x14ac:dyDescent="0.2">
      <c r="B452" s="81"/>
      <c r="C452" s="81"/>
      <c r="D452" s="81"/>
      <c r="E452" s="81"/>
      <c r="F452" s="81"/>
      <c r="G452" s="81"/>
      <c r="H452" s="81"/>
      <c r="I452" s="81"/>
      <c r="J452" s="81"/>
      <c r="K452" s="81"/>
      <c r="L452" s="81"/>
    </row>
    <row r="453" spans="2:12" ht="12.75" customHeight="1" x14ac:dyDescent="0.2">
      <c r="B453" s="81"/>
      <c r="C453" s="81"/>
      <c r="D453" s="81"/>
      <c r="E453" s="81"/>
      <c r="F453" s="81"/>
      <c r="G453" s="81"/>
      <c r="H453" s="81"/>
      <c r="I453" s="81"/>
      <c r="J453" s="81"/>
      <c r="K453" s="81"/>
      <c r="L453" s="81"/>
    </row>
    <row r="454" spans="2:12" ht="12.75" customHeight="1" x14ac:dyDescent="0.2">
      <c r="B454" s="81"/>
      <c r="C454" s="81"/>
      <c r="D454" s="81"/>
      <c r="E454" s="81"/>
      <c r="F454" s="81"/>
      <c r="G454" s="81"/>
      <c r="H454" s="81"/>
      <c r="I454" s="81"/>
      <c r="J454" s="81"/>
      <c r="K454" s="81"/>
      <c r="L454" s="81"/>
    </row>
    <row r="455" spans="2:12" ht="12.75" customHeight="1" x14ac:dyDescent="0.2">
      <c r="B455" s="81"/>
      <c r="C455" s="81"/>
      <c r="D455" s="81"/>
      <c r="E455" s="81"/>
      <c r="F455" s="81"/>
      <c r="G455" s="81"/>
      <c r="H455" s="81"/>
      <c r="I455" s="81"/>
      <c r="J455" s="81"/>
      <c r="K455" s="81"/>
      <c r="L455" s="81"/>
    </row>
    <row r="456" spans="2:12" ht="12.75" customHeight="1" x14ac:dyDescent="0.2">
      <c r="B456" s="81"/>
      <c r="C456" s="81"/>
      <c r="D456" s="81"/>
      <c r="E456" s="81"/>
      <c r="F456" s="81"/>
      <c r="G456" s="81"/>
      <c r="H456" s="81"/>
      <c r="I456" s="81"/>
      <c r="J456" s="81"/>
      <c r="K456" s="81"/>
      <c r="L456" s="81"/>
    </row>
    <row r="457" spans="2:12" ht="12.75" customHeight="1" x14ac:dyDescent="0.2">
      <c r="B457" s="81"/>
      <c r="C457" s="81"/>
      <c r="D457" s="81"/>
      <c r="E457" s="81"/>
      <c r="F457" s="81"/>
      <c r="G457" s="81"/>
      <c r="H457" s="81"/>
      <c r="I457" s="81"/>
      <c r="J457" s="81"/>
      <c r="K457" s="81"/>
      <c r="L457" s="81"/>
    </row>
    <row r="458" spans="2:12" ht="12.75" customHeight="1" x14ac:dyDescent="0.2">
      <c r="B458" s="81"/>
      <c r="C458" s="81"/>
      <c r="D458" s="81"/>
      <c r="E458" s="81"/>
      <c r="F458" s="81"/>
      <c r="G458" s="81"/>
      <c r="H458" s="81"/>
      <c r="I458" s="81"/>
      <c r="J458" s="81"/>
      <c r="K458" s="81"/>
      <c r="L458" s="81"/>
    </row>
    <row r="459" spans="2:12" ht="12.75" customHeight="1" x14ac:dyDescent="0.2">
      <c r="B459" s="81"/>
      <c r="C459" s="81"/>
      <c r="D459" s="81"/>
      <c r="E459" s="81"/>
      <c r="F459" s="81"/>
      <c r="G459" s="81"/>
      <c r="H459" s="81"/>
      <c r="I459" s="81"/>
      <c r="J459" s="81"/>
      <c r="K459" s="81"/>
      <c r="L459" s="81"/>
    </row>
    <row r="460" spans="2:12" ht="12.75" customHeight="1" x14ac:dyDescent="0.2">
      <c r="B460" s="81"/>
      <c r="C460" s="81"/>
      <c r="D460" s="81"/>
      <c r="E460" s="81"/>
      <c r="F460" s="81"/>
      <c r="G460" s="81"/>
      <c r="H460" s="81"/>
      <c r="I460" s="81"/>
      <c r="J460" s="81"/>
      <c r="K460" s="81"/>
      <c r="L460" s="81"/>
    </row>
    <row r="461" spans="2:12" ht="12.75" customHeight="1" x14ac:dyDescent="0.2">
      <c r="B461" s="81"/>
      <c r="C461" s="81"/>
      <c r="D461" s="81"/>
      <c r="E461" s="81"/>
      <c r="F461" s="81"/>
      <c r="G461" s="81"/>
      <c r="H461" s="81"/>
      <c r="I461" s="81"/>
      <c r="J461" s="81"/>
      <c r="K461" s="81"/>
      <c r="L461" s="81"/>
    </row>
    <row r="462" spans="2:12" ht="12.75" customHeight="1" x14ac:dyDescent="0.2">
      <c r="B462" s="81"/>
      <c r="C462" s="81"/>
      <c r="D462" s="81"/>
      <c r="E462" s="81"/>
      <c r="F462" s="81"/>
      <c r="G462" s="81"/>
      <c r="H462" s="81"/>
      <c r="I462" s="81"/>
      <c r="J462" s="81"/>
      <c r="K462" s="81"/>
      <c r="L462" s="81"/>
    </row>
    <row r="463" spans="2:12" ht="12.75" customHeight="1" x14ac:dyDescent="0.2">
      <c r="B463" s="81"/>
      <c r="C463" s="81"/>
      <c r="D463" s="81"/>
      <c r="E463" s="81"/>
      <c r="F463" s="81"/>
      <c r="G463" s="81"/>
      <c r="H463" s="81"/>
      <c r="I463" s="81"/>
      <c r="J463" s="81"/>
      <c r="K463" s="81"/>
      <c r="L463" s="81"/>
    </row>
    <row r="464" spans="2:12" ht="12.75" customHeight="1" x14ac:dyDescent="0.2">
      <c r="B464" s="81"/>
      <c r="C464" s="81"/>
      <c r="D464" s="81"/>
      <c r="E464" s="81"/>
      <c r="F464" s="81"/>
      <c r="G464" s="81"/>
      <c r="H464" s="81"/>
      <c r="I464" s="81"/>
      <c r="J464" s="81"/>
      <c r="K464" s="81"/>
      <c r="L464" s="81"/>
    </row>
    <row r="465" spans="2:12" ht="12.75" customHeight="1" x14ac:dyDescent="0.2">
      <c r="B465" s="81"/>
      <c r="C465" s="81"/>
      <c r="D465" s="81"/>
      <c r="E465" s="81"/>
      <c r="F465" s="81"/>
      <c r="G465" s="81"/>
      <c r="H465" s="81"/>
      <c r="I465" s="81"/>
      <c r="J465" s="81"/>
      <c r="K465" s="81"/>
      <c r="L465" s="81"/>
    </row>
    <row r="466" spans="2:12" ht="12.75" customHeight="1" x14ac:dyDescent="0.2">
      <c r="B466" s="81"/>
      <c r="C466" s="81"/>
      <c r="D466" s="81"/>
      <c r="E466" s="81"/>
      <c r="F466" s="81"/>
      <c r="G466" s="81"/>
      <c r="H466" s="81"/>
      <c r="I466" s="81"/>
      <c r="J466" s="81"/>
      <c r="K466" s="81"/>
      <c r="L466" s="81"/>
    </row>
    <row r="467" spans="2:12" ht="12.75" customHeight="1" x14ac:dyDescent="0.2">
      <c r="B467" s="81"/>
      <c r="C467" s="81"/>
      <c r="D467" s="81"/>
      <c r="E467" s="81"/>
      <c r="F467" s="81"/>
      <c r="G467" s="81"/>
      <c r="H467" s="81"/>
      <c r="I467" s="81"/>
      <c r="J467" s="81"/>
      <c r="K467" s="81"/>
      <c r="L467" s="81"/>
    </row>
    <row r="468" spans="2:12" ht="12.75" customHeight="1" x14ac:dyDescent="0.2">
      <c r="B468" s="81"/>
      <c r="C468" s="81"/>
      <c r="D468" s="81"/>
      <c r="E468" s="81"/>
      <c r="F468" s="81"/>
      <c r="G468" s="81"/>
      <c r="H468" s="81"/>
      <c r="I468" s="81"/>
      <c r="J468" s="81"/>
      <c r="K468" s="81"/>
      <c r="L468" s="81"/>
    </row>
    <row r="469" spans="2:12" ht="12.75" customHeight="1" x14ac:dyDescent="0.2">
      <c r="B469" s="81"/>
      <c r="C469" s="81"/>
      <c r="D469" s="81"/>
      <c r="E469" s="81"/>
      <c r="F469" s="81"/>
      <c r="G469" s="81"/>
      <c r="H469" s="81"/>
      <c r="I469" s="81"/>
      <c r="J469" s="81"/>
      <c r="K469" s="81"/>
      <c r="L469" s="81"/>
    </row>
    <row r="470" spans="2:12" ht="12.75" customHeight="1" x14ac:dyDescent="0.2">
      <c r="B470" s="81"/>
      <c r="C470" s="81"/>
      <c r="D470" s="81"/>
      <c r="E470" s="81"/>
      <c r="F470" s="81"/>
      <c r="G470" s="81"/>
      <c r="H470" s="81"/>
      <c r="I470" s="81"/>
      <c r="J470" s="81"/>
      <c r="K470" s="81"/>
      <c r="L470" s="81"/>
    </row>
    <row r="471" spans="2:12" ht="12.75" customHeight="1" x14ac:dyDescent="0.2">
      <c r="B471" s="81"/>
      <c r="C471" s="81"/>
      <c r="D471" s="81"/>
      <c r="E471" s="81"/>
      <c r="F471" s="81"/>
      <c r="G471" s="81"/>
      <c r="H471" s="81"/>
      <c r="I471" s="81"/>
      <c r="J471" s="81"/>
      <c r="K471" s="81"/>
      <c r="L471" s="81"/>
    </row>
    <row r="472" spans="2:12" ht="12.75" customHeight="1" x14ac:dyDescent="0.2">
      <c r="B472" s="81"/>
      <c r="C472" s="81"/>
      <c r="D472" s="81"/>
      <c r="E472" s="81"/>
      <c r="F472" s="81"/>
      <c r="G472" s="81"/>
      <c r="H472" s="81"/>
      <c r="I472" s="81"/>
      <c r="J472" s="81"/>
      <c r="K472" s="81"/>
      <c r="L472" s="81"/>
    </row>
    <row r="473" spans="2:12" ht="12.75" customHeight="1" x14ac:dyDescent="0.2">
      <c r="B473" s="81"/>
      <c r="C473" s="81"/>
      <c r="D473" s="81"/>
      <c r="E473" s="81"/>
      <c r="F473" s="81"/>
      <c r="G473" s="81"/>
      <c r="H473" s="81"/>
      <c r="I473" s="81"/>
      <c r="J473" s="81"/>
      <c r="K473" s="81"/>
      <c r="L473" s="81"/>
    </row>
    <row r="474" spans="2:12" ht="12.75" customHeight="1" x14ac:dyDescent="0.2">
      <c r="B474" s="81"/>
      <c r="C474" s="81"/>
      <c r="D474" s="81"/>
      <c r="E474" s="81"/>
      <c r="F474" s="81"/>
      <c r="G474" s="81"/>
      <c r="H474" s="81"/>
      <c r="I474" s="81"/>
      <c r="J474" s="81"/>
      <c r="K474" s="81"/>
      <c r="L474" s="81"/>
    </row>
    <row r="475" spans="2:12" ht="12.75" customHeight="1" x14ac:dyDescent="0.2">
      <c r="B475" s="81"/>
      <c r="C475" s="81"/>
      <c r="D475" s="81"/>
      <c r="E475" s="81"/>
      <c r="F475" s="81"/>
      <c r="G475" s="81"/>
      <c r="H475" s="81"/>
      <c r="I475" s="81"/>
      <c r="J475" s="81"/>
      <c r="K475" s="81"/>
      <c r="L475" s="81"/>
    </row>
    <row r="476" spans="2:12" ht="12.75" customHeight="1" x14ac:dyDescent="0.2">
      <c r="B476" s="81"/>
      <c r="C476" s="81"/>
      <c r="D476" s="81"/>
      <c r="E476" s="81"/>
      <c r="F476" s="81"/>
      <c r="G476" s="81"/>
      <c r="H476" s="81"/>
      <c r="I476" s="81"/>
      <c r="J476" s="81"/>
      <c r="K476" s="81"/>
      <c r="L476" s="81"/>
    </row>
    <row r="477" spans="2:12" ht="12.75" customHeight="1" x14ac:dyDescent="0.2">
      <c r="B477" s="81"/>
      <c r="C477" s="81"/>
      <c r="D477" s="81"/>
      <c r="E477" s="81"/>
      <c r="F477" s="81"/>
      <c r="G477" s="81"/>
      <c r="H477" s="81"/>
      <c r="I477" s="81"/>
      <c r="J477" s="81"/>
      <c r="K477" s="81"/>
      <c r="L477" s="81"/>
    </row>
    <row r="478" spans="2:12" ht="12.75" customHeight="1" x14ac:dyDescent="0.2">
      <c r="B478" s="81"/>
      <c r="C478" s="81"/>
      <c r="D478" s="81"/>
      <c r="E478" s="81"/>
      <c r="F478" s="81"/>
      <c r="G478" s="81"/>
      <c r="H478" s="81"/>
      <c r="I478" s="81"/>
      <c r="J478" s="81"/>
      <c r="K478" s="81"/>
      <c r="L478" s="81"/>
    </row>
    <row r="479" spans="2:12" ht="12.75" customHeight="1" x14ac:dyDescent="0.2">
      <c r="B479" s="81"/>
      <c r="C479" s="81"/>
      <c r="D479" s="81"/>
      <c r="E479" s="81"/>
      <c r="F479" s="81"/>
      <c r="G479" s="81"/>
      <c r="H479" s="81"/>
      <c r="I479" s="81"/>
      <c r="J479" s="81"/>
      <c r="K479" s="81"/>
      <c r="L479" s="81"/>
    </row>
    <row r="480" spans="2:12" ht="12.75" customHeight="1" x14ac:dyDescent="0.2">
      <c r="B480" s="81"/>
      <c r="C480" s="81"/>
      <c r="D480" s="81"/>
      <c r="E480" s="81"/>
      <c r="F480" s="81"/>
      <c r="G480" s="81"/>
      <c r="H480" s="81"/>
      <c r="I480" s="81"/>
      <c r="J480" s="81"/>
      <c r="K480" s="81"/>
      <c r="L480" s="81"/>
    </row>
    <row r="481" spans="2:12" ht="12.75" customHeight="1" x14ac:dyDescent="0.2">
      <c r="B481" s="81"/>
      <c r="C481" s="81"/>
      <c r="D481" s="81"/>
      <c r="E481" s="81"/>
      <c r="F481" s="81"/>
      <c r="G481" s="81"/>
      <c r="H481" s="81"/>
      <c r="I481" s="81"/>
      <c r="J481" s="81"/>
      <c r="K481" s="81"/>
      <c r="L481" s="81"/>
    </row>
    <row r="482" spans="2:12" ht="12.75" customHeight="1" x14ac:dyDescent="0.2">
      <c r="B482" s="81"/>
      <c r="C482" s="81"/>
      <c r="D482" s="81"/>
      <c r="E482" s="81"/>
      <c r="F482" s="81"/>
      <c r="G482" s="81"/>
      <c r="H482" s="81"/>
      <c r="I482" s="81"/>
      <c r="J482" s="81"/>
      <c r="K482" s="81"/>
      <c r="L482" s="81"/>
    </row>
    <row r="483" spans="2:12" ht="12.75" customHeight="1" x14ac:dyDescent="0.2">
      <c r="B483" s="81"/>
      <c r="C483" s="81"/>
      <c r="D483" s="81"/>
      <c r="E483" s="81"/>
      <c r="F483" s="81"/>
      <c r="G483" s="81"/>
      <c r="H483" s="81"/>
      <c r="I483" s="81"/>
      <c r="J483" s="81"/>
      <c r="K483" s="81"/>
      <c r="L483" s="81"/>
    </row>
    <row r="484" spans="2:12" ht="12.75" customHeight="1" x14ac:dyDescent="0.2">
      <c r="B484" s="81"/>
      <c r="C484" s="81"/>
      <c r="D484" s="81"/>
      <c r="E484" s="81"/>
      <c r="F484" s="81"/>
      <c r="G484" s="81"/>
      <c r="H484" s="81"/>
      <c r="I484" s="81"/>
      <c r="J484" s="81"/>
      <c r="K484" s="81"/>
      <c r="L484" s="81"/>
    </row>
    <row r="485" spans="2:12" ht="12.75" customHeight="1" x14ac:dyDescent="0.2">
      <c r="B485" s="81"/>
      <c r="C485" s="81"/>
      <c r="D485" s="81"/>
      <c r="E485" s="81"/>
      <c r="F485" s="81"/>
      <c r="G485" s="81"/>
      <c r="H485" s="81"/>
      <c r="I485" s="81"/>
      <c r="J485" s="81"/>
      <c r="K485" s="81"/>
      <c r="L485" s="81"/>
    </row>
    <row r="486" spans="2:12" ht="12.75" customHeight="1" x14ac:dyDescent="0.2">
      <c r="B486" s="81"/>
      <c r="C486" s="81"/>
      <c r="D486" s="81"/>
      <c r="E486" s="81"/>
      <c r="F486" s="81"/>
      <c r="G486" s="81"/>
      <c r="H486" s="81"/>
      <c r="I486" s="81"/>
      <c r="J486" s="81"/>
      <c r="K486" s="81"/>
      <c r="L486" s="81"/>
    </row>
    <row r="487" spans="2:12" ht="12.75" customHeight="1" x14ac:dyDescent="0.2">
      <c r="B487" s="81"/>
      <c r="C487" s="81"/>
      <c r="D487" s="81"/>
      <c r="E487" s="81"/>
      <c r="F487" s="81"/>
      <c r="G487" s="81"/>
      <c r="H487" s="81"/>
      <c r="I487" s="81"/>
      <c r="J487" s="81"/>
      <c r="K487" s="81"/>
      <c r="L487" s="81"/>
    </row>
    <row r="488" spans="2:12" ht="12.75" customHeight="1" x14ac:dyDescent="0.2">
      <c r="B488" s="81"/>
      <c r="C488" s="81"/>
      <c r="D488" s="81"/>
      <c r="E488" s="81"/>
      <c r="F488" s="81"/>
      <c r="G488" s="81"/>
      <c r="H488" s="81"/>
      <c r="I488" s="81"/>
      <c r="J488" s="81"/>
      <c r="K488" s="81"/>
      <c r="L488" s="81"/>
    </row>
    <row r="489" spans="2:12" ht="12.75" customHeight="1" x14ac:dyDescent="0.2">
      <c r="B489" s="81"/>
      <c r="C489" s="81"/>
      <c r="D489" s="81"/>
      <c r="E489" s="81"/>
      <c r="F489" s="81"/>
      <c r="G489" s="81"/>
      <c r="H489" s="81"/>
      <c r="I489" s="81"/>
      <c r="J489" s="81"/>
      <c r="K489" s="81"/>
      <c r="L489" s="81"/>
    </row>
    <row r="490" spans="2:12" ht="12.75" customHeight="1" x14ac:dyDescent="0.2">
      <c r="B490" s="81"/>
      <c r="C490" s="81"/>
      <c r="D490" s="81"/>
      <c r="E490" s="81"/>
      <c r="F490" s="81"/>
      <c r="G490" s="81"/>
      <c r="H490" s="81"/>
      <c r="I490" s="81"/>
      <c r="J490" s="81"/>
      <c r="K490" s="81"/>
      <c r="L490" s="81"/>
    </row>
    <row r="491" spans="2:12" ht="12.75" customHeight="1" x14ac:dyDescent="0.2">
      <c r="B491" s="81"/>
      <c r="C491" s="81"/>
      <c r="D491" s="81"/>
      <c r="E491" s="81"/>
      <c r="F491" s="81"/>
      <c r="G491" s="81"/>
      <c r="H491" s="81"/>
      <c r="I491" s="81"/>
      <c r="J491" s="81"/>
      <c r="K491" s="81"/>
      <c r="L491" s="81"/>
    </row>
    <row r="492" spans="2:12" ht="12.75" customHeight="1" x14ac:dyDescent="0.2">
      <c r="B492" s="81"/>
      <c r="C492" s="81"/>
      <c r="D492" s="81"/>
      <c r="E492" s="81"/>
      <c r="F492" s="81"/>
      <c r="G492" s="81"/>
      <c r="H492" s="81"/>
      <c r="I492" s="81"/>
      <c r="J492" s="81"/>
      <c r="K492" s="81"/>
      <c r="L492" s="81"/>
    </row>
    <row r="493" spans="2:12" ht="12.75" customHeight="1" x14ac:dyDescent="0.2">
      <c r="B493" s="81"/>
      <c r="C493" s="81"/>
      <c r="D493" s="81"/>
      <c r="E493" s="81"/>
      <c r="F493" s="81"/>
      <c r="G493" s="81"/>
      <c r="H493" s="81"/>
      <c r="I493" s="81"/>
      <c r="J493" s="81"/>
      <c r="K493" s="81"/>
      <c r="L493" s="81"/>
    </row>
    <row r="494" spans="2:12" ht="12.75" customHeight="1" x14ac:dyDescent="0.2">
      <c r="B494" s="81"/>
      <c r="C494" s="81"/>
      <c r="D494" s="81"/>
      <c r="E494" s="81"/>
      <c r="F494" s="81"/>
      <c r="G494" s="81"/>
      <c r="H494" s="81"/>
      <c r="I494" s="81"/>
      <c r="J494" s="81"/>
      <c r="K494" s="81"/>
      <c r="L494" s="81"/>
    </row>
    <row r="495" spans="2:12" ht="12.75" customHeight="1" x14ac:dyDescent="0.2">
      <c r="B495" s="81"/>
      <c r="C495" s="81"/>
      <c r="D495" s="81"/>
      <c r="E495" s="81"/>
      <c r="F495" s="81"/>
      <c r="G495" s="81"/>
      <c r="H495" s="81"/>
      <c r="I495" s="81"/>
      <c r="J495" s="81"/>
      <c r="K495" s="81"/>
      <c r="L495" s="81"/>
    </row>
    <row r="496" spans="2:12" ht="12.75" customHeight="1" x14ac:dyDescent="0.2">
      <c r="B496" s="81"/>
      <c r="C496" s="81"/>
      <c r="D496" s="81"/>
      <c r="E496" s="81"/>
      <c r="F496" s="81"/>
      <c r="G496" s="81"/>
      <c r="H496" s="81"/>
      <c r="I496" s="81"/>
      <c r="J496" s="81"/>
      <c r="K496" s="81"/>
      <c r="L496" s="81"/>
    </row>
    <row r="497" spans="2:12" ht="12.75" customHeight="1" x14ac:dyDescent="0.2">
      <c r="B497" s="81"/>
      <c r="C497" s="81"/>
      <c r="D497" s="81"/>
      <c r="E497" s="81"/>
      <c r="F497" s="81"/>
      <c r="G497" s="81"/>
      <c r="H497" s="81"/>
      <c r="I497" s="81"/>
      <c r="J497" s="81"/>
      <c r="K497" s="81"/>
      <c r="L497" s="81"/>
    </row>
    <row r="498" spans="2:12" ht="12.75" customHeight="1" x14ac:dyDescent="0.2">
      <c r="B498" s="81"/>
      <c r="C498" s="81"/>
      <c r="D498" s="81"/>
      <c r="E498" s="81"/>
      <c r="F498" s="81"/>
      <c r="G498" s="81"/>
      <c r="H498" s="81"/>
      <c r="I498" s="81"/>
      <c r="J498" s="81"/>
      <c r="K498" s="81"/>
      <c r="L498" s="81"/>
    </row>
    <row r="499" spans="2:12" ht="12.75" customHeight="1" x14ac:dyDescent="0.2">
      <c r="B499" s="81"/>
      <c r="C499" s="81"/>
      <c r="D499" s="81"/>
      <c r="E499" s="81"/>
      <c r="F499" s="81"/>
      <c r="G499" s="81"/>
      <c r="H499" s="81"/>
      <c r="I499" s="81"/>
      <c r="J499" s="81"/>
      <c r="K499" s="81"/>
      <c r="L499" s="81"/>
    </row>
    <row r="500" spans="2:12" ht="12.75" customHeight="1" x14ac:dyDescent="0.2">
      <c r="B500" s="81"/>
      <c r="C500" s="81"/>
      <c r="D500" s="81"/>
      <c r="E500" s="81"/>
      <c r="F500" s="81"/>
      <c r="G500" s="81"/>
      <c r="H500" s="81"/>
      <c r="I500" s="81"/>
      <c r="J500" s="81"/>
      <c r="K500" s="81"/>
      <c r="L500" s="81"/>
    </row>
    <row r="501" spans="2:12" ht="12.75" customHeight="1" x14ac:dyDescent="0.2">
      <c r="B501" s="81"/>
      <c r="C501" s="81"/>
      <c r="D501" s="81"/>
      <c r="E501" s="81"/>
      <c r="F501" s="81"/>
      <c r="G501" s="81"/>
      <c r="H501" s="81"/>
      <c r="I501" s="81"/>
      <c r="J501" s="81"/>
      <c r="K501" s="81"/>
      <c r="L501" s="81"/>
    </row>
    <row r="502" spans="2:12" ht="12.75" customHeight="1" x14ac:dyDescent="0.2">
      <c r="B502" s="81"/>
      <c r="C502" s="81"/>
      <c r="D502" s="81"/>
      <c r="E502" s="81"/>
      <c r="F502" s="81"/>
      <c r="G502" s="81"/>
      <c r="H502" s="81"/>
      <c r="I502" s="81"/>
      <c r="J502" s="81"/>
      <c r="K502" s="81"/>
      <c r="L502" s="81"/>
    </row>
    <row r="503" spans="2:12" ht="12.75" customHeight="1" x14ac:dyDescent="0.2">
      <c r="B503" s="81"/>
      <c r="C503" s="81"/>
      <c r="D503" s="81"/>
      <c r="E503" s="81"/>
      <c r="F503" s="81"/>
      <c r="G503" s="81"/>
      <c r="H503" s="81"/>
      <c r="I503" s="81"/>
      <c r="J503" s="81"/>
      <c r="K503" s="81"/>
      <c r="L503" s="81"/>
    </row>
    <row r="504" spans="2:12" ht="12.75" customHeight="1" x14ac:dyDescent="0.2">
      <c r="B504" s="81"/>
      <c r="C504" s="81"/>
      <c r="D504" s="81"/>
      <c r="E504" s="81"/>
      <c r="F504" s="81"/>
      <c r="G504" s="81"/>
      <c r="H504" s="81"/>
      <c r="I504" s="81"/>
      <c r="J504" s="81"/>
      <c r="K504" s="81"/>
      <c r="L504" s="81"/>
    </row>
    <row r="505" spans="2:12" ht="12.75" customHeight="1" x14ac:dyDescent="0.2">
      <c r="B505" s="81"/>
      <c r="C505" s="81"/>
      <c r="D505" s="81"/>
      <c r="E505" s="81"/>
      <c r="F505" s="81"/>
      <c r="G505" s="81"/>
      <c r="H505" s="81"/>
      <c r="I505" s="81"/>
      <c r="J505" s="81"/>
      <c r="K505" s="81"/>
      <c r="L505" s="81"/>
    </row>
    <row r="506" spans="2:12" ht="12.75" customHeight="1" x14ac:dyDescent="0.2">
      <c r="B506" s="81"/>
      <c r="C506" s="81"/>
      <c r="D506" s="81"/>
      <c r="E506" s="81"/>
      <c r="F506" s="81"/>
      <c r="G506" s="81"/>
      <c r="H506" s="81"/>
      <c r="I506" s="81"/>
      <c r="J506" s="81"/>
      <c r="K506" s="81"/>
      <c r="L506" s="81"/>
    </row>
    <row r="507" spans="2:12" ht="12.75" customHeight="1" x14ac:dyDescent="0.2">
      <c r="B507" s="81"/>
      <c r="C507" s="81"/>
      <c r="D507" s="81"/>
      <c r="E507" s="81"/>
      <c r="F507" s="81"/>
      <c r="G507" s="81"/>
      <c r="H507" s="81"/>
      <c r="I507" s="81"/>
      <c r="J507" s="81"/>
      <c r="K507" s="81"/>
      <c r="L507" s="81"/>
    </row>
    <row r="508" spans="2:12" ht="12.75" customHeight="1" x14ac:dyDescent="0.2">
      <c r="B508" s="81"/>
      <c r="C508" s="81"/>
      <c r="D508" s="81"/>
      <c r="E508" s="81"/>
      <c r="F508" s="81"/>
      <c r="G508" s="81"/>
      <c r="H508" s="81"/>
      <c r="I508" s="81"/>
      <c r="J508" s="81"/>
      <c r="K508" s="81"/>
      <c r="L508" s="81"/>
    </row>
    <row r="509" spans="2:12" ht="12.75" customHeight="1" x14ac:dyDescent="0.2">
      <c r="B509" s="81"/>
      <c r="C509" s="81"/>
      <c r="D509" s="81"/>
      <c r="E509" s="81"/>
      <c r="F509" s="81"/>
      <c r="G509" s="81"/>
      <c r="H509" s="81"/>
      <c r="I509" s="81"/>
      <c r="J509" s="81"/>
      <c r="K509" s="81"/>
      <c r="L509" s="81"/>
    </row>
    <row r="510" spans="2:12" ht="12.75" customHeight="1" x14ac:dyDescent="0.2">
      <c r="B510" s="81"/>
      <c r="C510" s="81"/>
      <c r="D510" s="81"/>
      <c r="E510" s="81"/>
      <c r="F510" s="81"/>
      <c r="G510" s="81"/>
      <c r="H510" s="81"/>
      <c r="I510" s="81"/>
      <c r="J510" s="81"/>
      <c r="K510" s="81"/>
      <c r="L510" s="81"/>
    </row>
    <row r="511" spans="2:12" ht="12.75" customHeight="1" x14ac:dyDescent="0.2">
      <c r="B511" s="81"/>
      <c r="C511" s="81"/>
      <c r="D511" s="81"/>
      <c r="E511" s="81"/>
      <c r="F511" s="81"/>
      <c r="G511" s="81"/>
      <c r="H511" s="81"/>
      <c r="I511" s="81"/>
      <c r="J511" s="81"/>
      <c r="K511" s="81"/>
      <c r="L511" s="81"/>
    </row>
    <row r="512" spans="2:12" ht="12.75" customHeight="1" x14ac:dyDescent="0.2">
      <c r="B512" s="81"/>
      <c r="C512" s="81"/>
      <c r="D512" s="81"/>
      <c r="E512" s="81"/>
      <c r="F512" s="81"/>
      <c r="G512" s="81"/>
      <c r="H512" s="81"/>
      <c r="I512" s="81"/>
      <c r="J512" s="81"/>
      <c r="K512" s="81"/>
      <c r="L512" s="81"/>
    </row>
    <row r="513" spans="2:12" ht="12.75" customHeight="1" x14ac:dyDescent="0.2">
      <c r="B513" s="81"/>
      <c r="C513" s="81"/>
      <c r="D513" s="81"/>
      <c r="E513" s="81"/>
      <c r="F513" s="81"/>
      <c r="G513" s="81"/>
      <c r="H513" s="81"/>
      <c r="I513" s="81"/>
      <c r="J513" s="81"/>
      <c r="K513" s="81"/>
      <c r="L513" s="81"/>
    </row>
    <row r="514" spans="2:12" ht="12.75" customHeight="1" x14ac:dyDescent="0.2">
      <c r="B514" s="81"/>
      <c r="C514" s="81"/>
      <c r="D514" s="81"/>
      <c r="E514" s="81"/>
      <c r="F514" s="81"/>
      <c r="G514" s="81"/>
      <c r="H514" s="81"/>
      <c r="I514" s="81"/>
      <c r="J514" s="81"/>
      <c r="K514" s="81"/>
      <c r="L514" s="81"/>
    </row>
    <row r="515" spans="2:12" ht="12.75" customHeight="1" x14ac:dyDescent="0.2">
      <c r="B515" s="81"/>
      <c r="C515" s="81"/>
      <c r="D515" s="81"/>
      <c r="E515" s="81"/>
      <c r="F515" s="81"/>
      <c r="G515" s="81"/>
      <c r="H515" s="81"/>
      <c r="I515" s="81"/>
      <c r="J515" s="81"/>
      <c r="K515" s="81"/>
      <c r="L515" s="81"/>
    </row>
    <row r="516" spans="2:12" ht="12.75" customHeight="1" x14ac:dyDescent="0.2">
      <c r="B516" s="81"/>
      <c r="C516" s="81"/>
      <c r="D516" s="81"/>
      <c r="E516" s="81"/>
      <c r="F516" s="81"/>
      <c r="G516" s="81"/>
      <c r="H516" s="81"/>
      <c r="I516" s="81"/>
      <c r="J516" s="81"/>
      <c r="K516" s="81"/>
      <c r="L516" s="81"/>
    </row>
    <row r="517" spans="2:12" ht="12.75" customHeight="1" x14ac:dyDescent="0.2">
      <c r="B517" s="81"/>
      <c r="C517" s="81"/>
      <c r="D517" s="81"/>
      <c r="E517" s="81"/>
      <c r="F517" s="81"/>
      <c r="G517" s="81"/>
      <c r="H517" s="81"/>
      <c r="I517" s="81"/>
      <c r="J517" s="81"/>
      <c r="K517" s="81"/>
      <c r="L517" s="81"/>
    </row>
    <row r="518" spans="2:12" ht="12.75" customHeight="1" x14ac:dyDescent="0.2">
      <c r="B518" s="81"/>
      <c r="C518" s="81"/>
      <c r="D518" s="81"/>
      <c r="E518" s="81"/>
      <c r="F518" s="81"/>
      <c r="G518" s="81"/>
      <c r="H518" s="81"/>
      <c r="I518" s="81"/>
      <c r="J518" s="81"/>
      <c r="K518" s="81"/>
      <c r="L518" s="81"/>
    </row>
    <row r="519" spans="2:12" ht="12.75" customHeight="1" x14ac:dyDescent="0.2">
      <c r="B519" s="81"/>
      <c r="C519" s="81"/>
      <c r="D519" s="81"/>
      <c r="E519" s="81"/>
      <c r="F519" s="81"/>
      <c r="G519" s="81"/>
      <c r="H519" s="81"/>
      <c r="I519" s="81"/>
      <c r="J519" s="81"/>
      <c r="K519" s="81"/>
      <c r="L519" s="81"/>
    </row>
    <row r="520" spans="2:12" ht="12.75" customHeight="1" x14ac:dyDescent="0.2">
      <c r="B520" s="81"/>
      <c r="C520" s="81"/>
      <c r="D520" s="81"/>
      <c r="E520" s="81"/>
      <c r="F520" s="81"/>
      <c r="G520" s="81"/>
      <c r="H520" s="81"/>
      <c r="I520" s="81"/>
      <c r="J520" s="81"/>
      <c r="K520" s="81"/>
      <c r="L520" s="81"/>
    </row>
    <row r="521" spans="2:12" ht="12.75" customHeight="1" x14ac:dyDescent="0.2">
      <c r="B521" s="81"/>
      <c r="C521" s="81"/>
      <c r="D521" s="81"/>
      <c r="E521" s="81"/>
      <c r="F521" s="81"/>
      <c r="G521" s="81"/>
      <c r="H521" s="81"/>
      <c r="I521" s="81"/>
      <c r="J521" s="81"/>
      <c r="K521" s="81"/>
      <c r="L521" s="81"/>
    </row>
    <row r="522" spans="2:12" ht="12.75" customHeight="1" x14ac:dyDescent="0.2">
      <c r="B522" s="81"/>
      <c r="C522" s="81"/>
      <c r="D522" s="81"/>
      <c r="E522" s="81"/>
      <c r="F522" s="81"/>
      <c r="G522" s="81"/>
      <c r="H522" s="81"/>
      <c r="I522" s="81"/>
      <c r="J522" s="81"/>
      <c r="K522" s="81"/>
      <c r="L522" s="81"/>
    </row>
    <row r="523" spans="2:12" ht="12.75" customHeight="1" x14ac:dyDescent="0.2">
      <c r="B523" s="81"/>
      <c r="C523" s="81"/>
      <c r="D523" s="81"/>
      <c r="E523" s="81"/>
      <c r="F523" s="81"/>
      <c r="G523" s="81"/>
      <c r="H523" s="81"/>
      <c r="I523" s="81"/>
      <c r="J523" s="81"/>
      <c r="K523" s="81"/>
      <c r="L523" s="81"/>
    </row>
    <row r="524" spans="2:12" ht="12.75" customHeight="1" x14ac:dyDescent="0.2">
      <c r="B524" s="81"/>
      <c r="C524" s="81"/>
      <c r="D524" s="81"/>
      <c r="E524" s="81"/>
      <c r="F524" s="81"/>
      <c r="G524" s="81"/>
      <c r="H524" s="81"/>
      <c r="I524" s="81"/>
      <c r="J524" s="81"/>
      <c r="K524" s="81"/>
      <c r="L524" s="81"/>
    </row>
    <row r="525" spans="2:12" ht="12.75" customHeight="1" x14ac:dyDescent="0.2">
      <c r="B525" s="81"/>
      <c r="C525" s="81"/>
      <c r="D525" s="81"/>
      <c r="E525" s="81"/>
      <c r="F525" s="81"/>
      <c r="G525" s="81"/>
      <c r="H525" s="81"/>
      <c r="I525" s="81"/>
      <c r="J525" s="81"/>
      <c r="K525" s="81"/>
      <c r="L525" s="81"/>
    </row>
    <row r="526" spans="2:12" ht="12.75" customHeight="1" x14ac:dyDescent="0.2">
      <c r="B526" s="81"/>
      <c r="C526" s="81"/>
      <c r="D526" s="81"/>
      <c r="E526" s="81"/>
      <c r="F526" s="81"/>
      <c r="G526" s="81"/>
      <c r="H526" s="81"/>
      <c r="I526" s="81"/>
      <c r="J526" s="81"/>
      <c r="K526" s="81"/>
      <c r="L526" s="81"/>
    </row>
    <row r="527" spans="2:12" ht="12.75" customHeight="1" x14ac:dyDescent="0.2">
      <c r="B527" s="81"/>
      <c r="C527" s="81"/>
      <c r="D527" s="81"/>
      <c r="E527" s="81"/>
      <c r="F527" s="81"/>
      <c r="G527" s="81"/>
      <c r="H527" s="81"/>
      <c r="I527" s="81"/>
      <c r="J527" s="81"/>
      <c r="K527" s="81"/>
      <c r="L527" s="81"/>
    </row>
    <row r="528" spans="2:12" ht="12.75" customHeight="1" x14ac:dyDescent="0.2">
      <c r="B528" s="81"/>
      <c r="C528" s="81"/>
      <c r="D528" s="81"/>
      <c r="E528" s="81"/>
      <c r="F528" s="81"/>
      <c r="G528" s="81"/>
      <c r="H528" s="81"/>
      <c r="I528" s="81"/>
      <c r="J528" s="81"/>
      <c r="K528" s="81"/>
      <c r="L528" s="81"/>
    </row>
    <row r="529" spans="2:12" ht="12.75" customHeight="1" x14ac:dyDescent="0.2">
      <c r="B529" s="81"/>
      <c r="C529" s="81"/>
      <c r="D529" s="81"/>
      <c r="E529" s="81"/>
      <c r="F529" s="81"/>
      <c r="G529" s="81"/>
      <c r="H529" s="81"/>
      <c r="I529" s="81"/>
      <c r="J529" s="81"/>
      <c r="K529" s="81"/>
      <c r="L529" s="81"/>
    </row>
    <row r="530" spans="2:12" ht="12.75" customHeight="1" x14ac:dyDescent="0.2">
      <c r="B530" s="81"/>
      <c r="C530" s="81"/>
      <c r="D530" s="81"/>
      <c r="E530" s="81"/>
      <c r="F530" s="81"/>
      <c r="G530" s="81"/>
      <c r="H530" s="81"/>
      <c r="I530" s="81"/>
      <c r="J530" s="81"/>
      <c r="K530" s="81"/>
      <c r="L530" s="81"/>
    </row>
    <row r="531" spans="2:12" ht="12.75" customHeight="1" x14ac:dyDescent="0.2">
      <c r="B531" s="81"/>
      <c r="C531" s="81"/>
      <c r="D531" s="81"/>
      <c r="E531" s="81"/>
      <c r="F531" s="81"/>
      <c r="G531" s="81"/>
      <c r="H531" s="81"/>
      <c r="I531" s="81"/>
      <c r="J531" s="81"/>
      <c r="K531" s="81"/>
      <c r="L531" s="81"/>
    </row>
    <row r="532" spans="2:12" ht="12.75" customHeight="1" x14ac:dyDescent="0.2">
      <c r="B532" s="81"/>
      <c r="C532" s="81"/>
      <c r="D532" s="81"/>
      <c r="E532" s="81"/>
      <c r="F532" s="81"/>
      <c r="G532" s="81"/>
      <c r="H532" s="81"/>
      <c r="I532" s="81"/>
      <c r="J532" s="81"/>
      <c r="K532" s="81"/>
      <c r="L532" s="81"/>
    </row>
    <row r="533" spans="2:12" ht="12.75" customHeight="1" x14ac:dyDescent="0.2">
      <c r="B533" s="81"/>
      <c r="C533" s="81"/>
      <c r="D533" s="81"/>
      <c r="E533" s="81"/>
      <c r="F533" s="81"/>
      <c r="G533" s="81"/>
      <c r="H533" s="81"/>
      <c r="I533" s="81"/>
      <c r="J533" s="81"/>
      <c r="K533" s="81"/>
      <c r="L533" s="81"/>
    </row>
    <row r="534" spans="2:12" ht="12.75" customHeight="1" x14ac:dyDescent="0.2">
      <c r="B534" s="81"/>
      <c r="C534" s="81"/>
      <c r="D534" s="81"/>
      <c r="E534" s="81"/>
      <c r="F534" s="81"/>
      <c r="G534" s="81"/>
      <c r="H534" s="81"/>
      <c r="I534" s="81"/>
      <c r="J534" s="81"/>
      <c r="K534" s="81"/>
      <c r="L534" s="81"/>
    </row>
    <row r="535" spans="2:12" ht="12.75" customHeight="1" x14ac:dyDescent="0.2">
      <c r="B535" s="81"/>
      <c r="C535" s="81"/>
      <c r="D535" s="81"/>
      <c r="E535" s="81"/>
      <c r="F535" s="81"/>
      <c r="G535" s="81"/>
      <c r="H535" s="81"/>
      <c r="I535" s="81"/>
      <c r="J535" s="81"/>
      <c r="K535" s="81"/>
      <c r="L535" s="81"/>
    </row>
    <row r="536" spans="2:12" ht="12.75" customHeight="1" x14ac:dyDescent="0.2">
      <c r="B536" s="81"/>
      <c r="C536" s="81"/>
      <c r="D536" s="81"/>
      <c r="E536" s="81"/>
      <c r="F536" s="81"/>
      <c r="G536" s="81"/>
      <c r="H536" s="81"/>
      <c r="I536" s="81"/>
      <c r="J536" s="81"/>
      <c r="K536" s="81"/>
      <c r="L536" s="81"/>
    </row>
    <row r="537" spans="2:12" ht="12.75" customHeight="1" x14ac:dyDescent="0.2">
      <c r="B537" s="81"/>
      <c r="C537" s="81"/>
      <c r="D537" s="81"/>
      <c r="E537" s="81"/>
      <c r="F537" s="81"/>
      <c r="G537" s="81"/>
      <c r="H537" s="81"/>
      <c r="I537" s="81"/>
      <c r="J537" s="81"/>
      <c r="K537" s="81"/>
      <c r="L537" s="81"/>
    </row>
    <row r="538" spans="2:12" ht="12.75" customHeight="1" x14ac:dyDescent="0.2">
      <c r="B538" s="81"/>
      <c r="C538" s="81"/>
      <c r="D538" s="81"/>
      <c r="E538" s="81"/>
      <c r="F538" s="81"/>
      <c r="G538" s="81"/>
      <c r="H538" s="81"/>
      <c r="I538" s="81"/>
      <c r="J538" s="81"/>
      <c r="K538" s="81"/>
      <c r="L538" s="81"/>
    </row>
    <row r="539" spans="2:12" ht="12.75" customHeight="1" x14ac:dyDescent="0.2">
      <c r="B539" s="81"/>
      <c r="C539" s="81"/>
      <c r="D539" s="81"/>
      <c r="E539" s="81"/>
      <c r="F539" s="81"/>
      <c r="G539" s="81"/>
      <c r="H539" s="81"/>
      <c r="I539" s="81"/>
      <c r="J539" s="81"/>
      <c r="K539" s="81"/>
      <c r="L539" s="81"/>
    </row>
    <row r="540" spans="2:12" ht="12.75" customHeight="1" x14ac:dyDescent="0.2">
      <c r="B540" s="81"/>
      <c r="C540" s="81"/>
      <c r="D540" s="81"/>
      <c r="E540" s="81"/>
      <c r="F540" s="81"/>
      <c r="G540" s="81"/>
      <c r="H540" s="81"/>
      <c r="I540" s="81"/>
      <c r="J540" s="81"/>
      <c r="K540" s="81"/>
      <c r="L540" s="81"/>
    </row>
    <row r="541" spans="2:12" ht="12.75" customHeight="1" x14ac:dyDescent="0.2">
      <c r="B541" s="81"/>
      <c r="C541" s="81"/>
      <c r="D541" s="81"/>
      <c r="E541" s="81"/>
      <c r="F541" s="81"/>
      <c r="G541" s="81"/>
      <c r="H541" s="81"/>
      <c r="I541" s="81"/>
      <c r="J541" s="81"/>
      <c r="K541" s="81"/>
      <c r="L541" s="81"/>
    </row>
    <row r="542" spans="2:12" ht="12.75" customHeight="1" x14ac:dyDescent="0.2">
      <c r="B542" s="81"/>
      <c r="C542" s="81"/>
      <c r="D542" s="81"/>
      <c r="E542" s="81"/>
      <c r="F542" s="81"/>
      <c r="G542" s="81"/>
      <c r="H542" s="81"/>
      <c r="I542" s="81"/>
      <c r="J542" s="81"/>
      <c r="K542" s="81"/>
      <c r="L542" s="81"/>
    </row>
    <row r="543" spans="2:12" ht="12.75" customHeight="1" x14ac:dyDescent="0.2">
      <c r="B543" s="81"/>
      <c r="C543" s="81"/>
      <c r="D543" s="81"/>
      <c r="E543" s="81"/>
      <c r="F543" s="81"/>
      <c r="G543" s="81"/>
      <c r="H543" s="81"/>
      <c r="I543" s="81"/>
      <c r="J543" s="81"/>
      <c r="K543" s="81"/>
      <c r="L543" s="81"/>
    </row>
    <row r="544" spans="2:12" ht="12.75" customHeight="1" x14ac:dyDescent="0.2">
      <c r="B544" s="81"/>
      <c r="C544" s="81"/>
      <c r="D544" s="81"/>
      <c r="E544" s="81"/>
      <c r="F544" s="81"/>
      <c r="G544" s="81"/>
      <c r="H544" s="81"/>
      <c r="I544" s="81"/>
      <c r="J544" s="81"/>
      <c r="K544" s="81"/>
      <c r="L544" s="81"/>
    </row>
    <row r="545" spans="2:12" ht="12.75" customHeight="1" x14ac:dyDescent="0.2">
      <c r="B545" s="81"/>
      <c r="C545" s="81"/>
      <c r="D545" s="81"/>
      <c r="E545" s="81"/>
      <c r="F545" s="81"/>
      <c r="G545" s="81"/>
      <c r="H545" s="81"/>
      <c r="I545" s="81"/>
      <c r="J545" s="81"/>
      <c r="K545" s="81"/>
      <c r="L545" s="81"/>
    </row>
    <row r="546" spans="2:12" ht="12.75" customHeight="1" x14ac:dyDescent="0.2">
      <c r="B546" s="81"/>
      <c r="C546" s="81"/>
      <c r="D546" s="81"/>
      <c r="E546" s="81"/>
      <c r="F546" s="81"/>
      <c r="G546" s="81"/>
      <c r="H546" s="81"/>
      <c r="I546" s="81"/>
      <c r="J546" s="81"/>
      <c r="K546" s="81"/>
      <c r="L546" s="81"/>
    </row>
    <row r="547" spans="2:12" ht="12.75" customHeight="1" x14ac:dyDescent="0.2">
      <c r="B547" s="81"/>
      <c r="C547" s="81"/>
      <c r="D547" s="81"/>
      <c r="E547" s="81"/>
      <c r="F547" s="81"/>
      <c r="G547" s="81"/>
      <c r="H547" s="81"/>
      <c r="I547" s="81"/>
      <c r="J547" s="81"/>
      <c r="K547" s="81"/>
      <c r="L547" s="81"/>
    </row>
    <row r="548" spans="2:12" ht="12.75" customHeight="1" x14ac:dyDescent="0.2">
      <c r="B548" s="81"/>
      <c r="C548" s="81"/>
      <c r="D548" s="81"/>
      <c r="E548" s="81"/>
      <c r="F548" s="81"/>
      <c r="G548" s="81"/>
      <c r="H548" s="81"/>
      <c r="I548" s="81"/>
      <c r="J548" s="81"/>
      <c r="K548" s="81"/>
      <c r="L548" s="81"/>
    </row>
    <row r="549" spans="2:12" ht="12.75" customHeight="1" x14ac:dyDescent="0.2">
      <c r="B549" s="81"/>
      <c r="C549" s="81"/>
      <c r="D549" s="81"/>
      <c r="E549" s="81"/>
      <c r="F549" s="81"/>
      <c r="G549" s="81"/>
      <c r="H549" s="81"/>
      <c r="I549" s="81"/>
      <c r="J549" s="81"/>
      <c r="K549" s="81"/>
      <c r="L549" s="81"/>
    </row>
    <row r="550" spans="2:12" ht="12.75" customHeight="1" x14ac:dyDescent="0.2">
      <c r="B550" s="81"/>
      <c r="C550" s="81"/>
      <c r="D550" s="81"/>
      <c r="E550" s="81"/>
      <c r="F550" s="81"/>
      <c r="G550" s="81"/>
      <c r="H550" s="81"/>
      <c r="I550" s="81"/>
      <c r="J550" s="81"/>
      <c r="K550" s="81"/>
      <c r="L550" s="81"/>
    </row>
    <row r="551" spans="2:12" ht="12.75" customHeight="1" x14ac:dyDescent="0.2">
      <c r="B551" s="81"/>
      <c r="C551" s="81"/>
      <c r="D551" s="81"/>
      <c r="E551" s="81"/>
      <c r="F551" s="81"/>
      <c r="G551" s="81"/>
      <c r="H551" s="81"/>
      <c r="I551" s="81"/>
      <c r="J551" s="81"/>
      <c r="K551" s="81"/>
      <c r="L551" s="81"/>
    </row>
    <row r="552" spans="2:12" ht="12.75" customHeight="1" x14ac:dyDescent="0.2">
      <c r="B552" s="81"/>
      <c r="C552" s="81"/>
      <c r="D552" s="81"/>
      <c r="E552" s="81"/>
      <c r="F552" s="81"/>
      <c r="G552" s="81"/>
      <c r="H552" s="81"/>
      <c r="I552" s="81"/>
      <c r="J552" s="81"/>
      <c r="K552" s="81"/>
      <c r="L552" s="81"/>
    </row>
    <row r="553" spans="2:12" ht="12.75" customHeight="1" x14ac:dyDescent="0.2">
      <c r="B553" s="81"/>
      <c r="C553" s="81"/>
      <c r="D553" s="81"/>
      <c r="E553" s="81"/>
      <c r="F553" s="81"/>
      <c r="G553" s="81"/>
      <c r="H553" s="81"/>
      <c r="I553" s="81"/>
      <c r="J553" s="81"/>
      <c r="K553" s="81"/>
      <c r="L553" s="81"/>
    </row>
    <row r="554" spans="2:12" ht="12.75" customHeight="1" x14ac:dyDescent="0.2">
      <c r="B554" s="81"/>
      <c r="C554" s="81"/>
      <c r="D554" s="81"/>
      <c r="E554" s="81"/>
      <c r="F554" s="81"/>
      <c r="G554" s="81"/>
      <c r="H554" s="81"/>
      <c r="I554" s="81"/>
      <c r="J554" s="81"/>
      <c r="K554" s="81"/>
      <c r="L554" s="81"/>
    </row>
    <row r="555" spans="2:12" ht="12.75" customHeight="1" x14ac:dyDescent="0.2">
      <c r="B555" s="81"/>
      <c r="C555" s="81"/>
      <c r="D555" s="81"/>
      <c r="E555" s="81"/>
      <c r="F555" s="81"/>
      <c r="G555" s="81"/>
      <c r="H555" s="81"/>
      <c r="I555" s="81"/>
      <c r="J555" s="81"/>
      <c r="K555" s="81"/>
      <c r="L555" s="81"/>
    </row>
    <row r="556" spans="2:12" ht="12.75" customHeight="1" x14ac:dyDescent="0.2">
      <c r="B556" s="81"/>
      <c r="C556" s="81"/>
      <c r="D556" s="81"/>
      <c r="E556" s="81"/>
      <c r="F556" s="81"/>
      <c r="G556" s="81"/>
      <c r="H556" s="81"/>
      <c r="I556" s="81"/>
      <c r="J556" s="81"/>
      <c r="K556" s="81"/>
      <c r="L556" s="81"/>
    </row>
    <row r="557" spans="2:12" ht="12.75" customHeight="1" x14ac:dyDescent="0.2">
      <c r="B557" s="81"/>
      <c r="C557" s="81"/>
      <c r="D557" s="81"/>
      <c r="E557" s="81"/>
      <c r="F557" s="81"/>
      <c r="G557" s="81"/>
      <c r="H557" s="81"/>
      <c r="I557" s="81"/>
      <c r="J557" s="81"/>
      <c r="K557" s="81"/>
      <c r="L557" s="81"/>
    </row>
    <row r="558" spans="2:12" ht="12.75" customHeight="1" x14ac:dyDescent="0.2">
      <c r="B558" s="81"/>
      <c r="C558" s="81"/>
      <c r="D558" s="81"/>
      <c r="E558" s="81"/>
      <c r="F558" s="81"/>
      <c r="G558" s="81"/>
      <c r="H558" s="81"/>
      <c r="I558" s="81"/>
      <c r="J558" s="81"/>
      <c r="K558" s="81"/>
      <c r="L558" s="81"/>
    </row>
    <row r="559" spans="2:12" ht="12.75" customHeight="1" x14ac:dyDescent="0.2">
      <c r="B559" s="81"/>
      <c r="C559" s="81"/>
      <c r="D559" s="81"/>
      <c r="E559" s="81"/>
      <c r="F559" s="81"/>
      <c r="G559" s="81"/>
      <c r="H559" s="81"/>
      <c r="I559" s="81"/>
      <c r="J559" s="81"/>
      <c r="K559" s="81"/>
      <c r="L559" s="81"/>
    </row>
    <row r="560" spans="2:12" ht="12.75" customHeight="1" x14ac:dyDescent="0.2">
      <c r="B560" s="81"/>
      <c r="C560" s="81"/>
      <c r="D560" s="81"/>
      <c r="E560" s="81"/>
      <c r="F560" s="81"/>
      <c r="G560" s="81"/>
      <c r="H560" s="81"/>
      <c r="I560" s="81"/>
      <c r="J560" s="81"/>
      <c r="K560" s="81"/>
      <c r="L560" s="81"/>
    </row>
    <row r="561" spans="2:12" ht="12.75" customHeight="1" x14ac:dyDescent="0.2">
      <c r="B561" s="81"/>
      <c r="C561" s="81"/>
      <c r="D561" s="81"/>
      <c r="E561" s="81"/>
      <c r="F561" s="81"/>
      <c r="G561" s="81"/>
      <c r="H561" s="81"/>
      <c r="I561" s="81"/>
      <c r="J561" s="81"/>
      <c r="K561" s="81"/>
      <c r="L561" s="81"/>
    </row>
    <row r="562" spans="2:12" ht="12.75" customHeight="1" x14ac:dyDescent="0.2">
      <c r="B562" s="81"/>
      <c r="C562" s="81"/>
      <c r="D562" s="81"/>
      <c r="E562" s="81"/>
      <c r="F562" s="81"/>
      <c r="G562" s="81"/>
      <c r="H562" s="81"/>
      <c r="I562" s="81"/>
      <c r="J562" s="81"/>
      <c r="K562" s="81"/>
      <c r="L562" s="81"/>
    </row>
    <row r="563" spans="2:12" ht="12.75" customHeight="1" x14ac:dyDescent="0.2">
      <c r="B563" s="81"/>
      <c r="C563" s="81"/>
      <c r="D563" s="81"/>
      <c r="E563" s="81"/>
      <c r="F563" s="81"/>
      <c r="G563" s="81"/>
      <c r="H563" s="81"/>
      <c r="I563" s="81"/>
      <c r="J563" s="81"/>
      <c r="K563" s="81"/>
      <c r="L563" s="81"/>
    </row>
    <row r="564" spans="2:12" ht="12.75" customHeight="1" x14ac:dyDescent="0.2">
      <c r="B564" s="81"/>
      <c r="C564" s="81"/>
      <c r="D564" s="81"/>
      <c r="E564" s="81"/>
      <c r="F564" s="81"/>
      <c r="G564" s="81"/>
      <c r="H564" s="81"/>
      <c r="I564" s="81"/>
      <c r="J564" s="81"/>
      <c r="K564" s="81"/>
      <c r="L564" s="81"/>
    </row>
    <row r="565" spans="2:12" ht="12.75" customHeight="1" x14ac:dyDescent="0.2">
      <c r="B565" s="81"/>
      <c r="C565" s="81"/>
      <c r="D565" s="81"/>
      <c r="E565" s="81"/>
      <c r="F565" s="81"/>
      <c r="G565" s="81"/>
      <c r="H565" s="81"/>
      <c r="I565" s="81"/>
      <c r="J565" s="81"/>
      <c r="K565" s="81"/>
      <c r="L565" s="81"/>
    </row>
    <row r="566" spans="2:12" ht="12.75" customHeight="1" x14ac:dyDescent="0.2">
      <c r="B566" s="81"/>
      <c r="C566" s="81"/>
      <c r="D566" s="81"/>
      <c r="E566" s="81"/>
      <c r="F566" s="81"/>
      <c r="G566" s="81"/>
      <c r="H566" s="81"/>
      <c r="I566" s="81"/>
      <c r="J566" s="81"/>
      <c r="K566" s="81"/>
      <c r="L566" s="81"/>
    </row>
    <row r="567" spans="2:12" ht="12.75" customHeight="1" x14ac:dyDescent="0.2">
      <c r="B567" s="81"/>
      <c r="C567" s="81"/>
      <c r="D567" s="81"/>
      <c r="E567" s="81"/>
      <c r="F567" s="81"/>
      <c r="G567" s="81"/>
      <c r="H567" s="81"/>
      <c r="I567" s="81"/>
      <c r="J567" s="81"/>
      <c r="K567" s="81"/>
      <c r="L567" s="81"/>
    </row>
    <row r="568" spans="2:12" ht="12.75" customHeight="1" x14ac:dyDescent="0.2">
      <c r="B568" s="81"/>
      <c r="C568" s="81"/>
      <c r="D568" s="81"/>
      <c r="E568" s="81"/>
      <c r="F568" s="81"/>
      <c r="G568" s="81"/>
      <c r="H568" s="81"/>
      <c r="I568" s="81"/>
      <c r="J568" s="81"/>
      <c r="K568" s="81"/>
      <c r="L568" s="81"/>
    </row>
    <row r="569" spans="2:12" ht="12.75" customHeight="1" x14ac:dyDescent="0.2">
      <c r="B569" s="81"/>
      <c r="C569" s="81"/>
      <c r="D569" s="81"/>
      <c r="E569" s="81"/>
      <c r="F569" s="81"/>
      <c r="G569" s="81"/>
      <c r="H569" s="81"/>
      <c r="I569" s="81"/>
      <c r="J569" s="81"/>
      <c r="K569" s="81"/>
      <c r="L569" s="81"/>
    </row>
    <row r="570" spans="2:12" ht="12.75" customHeight="1" x14ac:dyDescent="0.2">
      <c r="B570" s="81"/>
      <c r="C570" s="81"/>
      <c r="D570" s="81"/>
      <c r="E570" s="81"/>
      <c r="F570" s="81"/>
      <c r="G570" s="81"/>
      <c r="H570" s="81"/>
      <c r="I570" s="81"/>
      <c r="J570" s="81"/>
      <c r="K570" s="81"/>
      <c r="L570" s="81"/>
    </row>
    <row r="571" spans="2:12" ht="12.75" customHeight="1" x14ac:dyDescent="0.2">
      <c r="B571" s="81"/>
      <c r="C571" s="81"/>
      <c r="D571" s="81"/>
      <c r="E571" s="81"/>
      <c r="F571" s="81"/>
      <c r="G571" s="81"/>
      <c r="H571" s="81"/>
      <c r="I571" s="81"/>
      <c r="J571" s="81"/>
      <c r="K571" s="81"/>
      <c r="L571" s="81"/>
    </row>
    <row r="572" spans="2:12" ht="12.75" customHeight="1" x14ac:dyDescent="0.2">
      <c r="B572" s="81"/>
      <c r="C572" s="81"/>
      <c r="D572" s="81"/>
      <c r="E572" s="81"/>
      <c r="F572" s="81"/>
      <c r="G572" s="81"/>
      <c r="H572" s="81"/>
      <c r="I572" s="81"/>
      <c r="J572" s="81"/>
      <c r="K572" s="81"/>
      <c r="L572" s="81"/>
    </row>
    <row r="573" spans="2:12" ht="12.75" customHeight="1" x14ac:dyDescent="0.2">
      <c r="B573" s="81"/>
      <c r="C573" s="81"/>
      <c r="D573" s="81"/>
      <c r="E573" s="81"/>
      <c r="F573" s="81"/>
      <c r="G573" s="81"/>
      <c r="H573" s="81"/>
      <c r="I573" s="81"/>
      <c r="J573" s="81"/>
      <c r="K573" s="81"/>
      <c r="L573" s="81"/>
    </row>
    <row r="574" spans="2:12" ht="12.75" customHeight="1" x14ac:dyDescent="0.2">
      <c r="B574" s="81"/>
      <c r="C574" s="81"/>
      <c r="D574" s="81"/>
      <c r="E574" s="81"/>
      <c r="F574" s="81"/>
      <c r="G574" s="81"/>
      <c r="H574" s="81"/>
      <c r="I574" s="81"/>
      <c r="J574" s="81"/>
      <c r="K574" s="81"/>
      <c r="L574" s="81"/>
    </row>
    <row r="575" spans="2:12" ht="12.75" customHeight="1" x14ac:dyDescent="0.2">
      <c r="B575" s="81"/>
      <c r="C575" s="81"/>
      <c r="D575" s="81"/>
      <c r="E575" s="81"/>
      <c r="F575" s="81"/>
      <c r="G575" s="81"/>
      <c r="H575" s="81"/>
      <c r="I575" s="81"/>
      <c r="J575" s="81"/>
      <c r="K575" s="81"/>
      <c r="L575" s="81"/>
    </row>
    <row r="576" spans="2:12" ht="12.75" customHeight="1" x14ac:dyDescent="0.2">
      <c r="B576" s="81"/>
      <c r="C576" s="81"/>
      <c r="D576" s="81"/>
      <c r="E576" s="81"/>
      <c r="F576" s="81"/>
      <c r="G576" s="81"/>
      <c r="H576" s="81"/>
      <c r="I576" s="81"/>
      <c r="J576" s="81"/>
      <c r="K576" s="81"/>
      <c r="L576" s="81"/>
    </row>
    <row r="577" spans="2:12" ht="12.75" customHeight="1" x14ac:dyDescent="0.2">
      <c r="B577" s="81"/>
      <c r="C577" s="81"/>
      <c r="D577" s="81"/>
      <c r="E577" s="81"/>
      <c r="F577" s="81"/>
      <c r="G577" s="81"/>
      <c r="H577" s="81"/>
      <c r="I577" s="81"/>
      <c r="J577" s="81"/>
      <c r="K577" s="81"/>
      <c r="L577" s="81"/>
    </row>
    <row r="578" spans="2:12" ht="12.75" customHeight="1" x14ac:dyDescent="0.2">
      <c r="B578" s="81"/>
      <c r="C578" s="81"/>
      <c r="D578" s="81"/>
      <c r="E578" s="81"/>
      <c r="F578" s="81"/>
      <c r="G578" s="81"/>
      <c r="H578" s="81"/>
      <c r="I578" s="81"/>
      <c r="J578" s="81"/>
      <c r="K578" s="81"/>
      <c r="L578" s="81"/>
    </row>
    <row r="579" spans="2:12" ht="12.75" customHeight="1" x14ac:dyDescent="0.2">
      <c r="B579" s="81"/>
      <c r="C579" s="81"/>
      <c r="D579" s="81"/>
      <c r="E579" s="81"/>
      <c r="F579" s="81"/>
      <c r="G579" s="81"/>
      <c r="H579" s="81"/>
      <c r="I579" s="81"/>
      <c r="J579" s="81"/>
      <c r="K579" s="81"/>
      <c r="L579" s="81"/>
    </row>
    <row r="580" spans="2:12" ht="12.75" customHeight="1" x14ac:dyDescent="0.2">
      <c r="B580" s="81"/>
      <c r="C580" s="81"/>
      <c r="D580" s="81"/>
      <c r="E580" s="81"/>
      <c r="F580" s="81"/>
      <c r="G580" s="81"/>
      <c r="H580" s="81"/>
      <c r="I580" s="81"/>
      <c r="J580" s="81"/>
      <c r="K580" s="81"/>
      <c r="L580" s="81"/>
    </row>
    <row r="581" spans="2:12" ht="12.75" customHeight="1" x14ac:dyDescent="0.2">
      <c r="B581" s="81"/>
      <c r="C581" s="81"/>
      <c r="D581" s="81"/>
      <c r="E581" s="81"/>
      <c r="F581" s="81"/>
      <c r="G581" s="81"/>
      <c r="H581" s="81"/>
      <c r="I581" s="81"/>
      <c r="J581" s="81"/>
      <c r="K581" s="81"/>
      <c r="L581" s="81"/>
    </row>
    <row r="582" spans="2:12" ht="12.75" customHeight="1" x14ac:dyDescent="0.2">
      <c r="B582" s="81"/>
      <c r="C582" s="81"/>
      <c r="D582" s="81"/>
      <c r="E582" s="81"/>
      <c r="F582" s="81"/>
      <c r="G582" s="81"/>
      <c r="H582" s="81"/>
      <c r="I582" s="81"/>
      <c r="J582" s="81"/>
      <c r="K582" s="81"/>
      <c r="L582" s="81"/>
    </row>
    <row r="583" spans="2:12" ht="12.75" customHeight="1" x14ac:dyDescent="0.2">
      <c r="B583" s="81"/>
      <c r="C583" s="81"/>
      <c r="D583" s="81"/>
      <c r="E583" s="81"/>
      <c r="F583" s="81"/>
      <c r="G583" s="81"/>
      <c r="H583" s="81"/>
      <c r="I583" s="81"/>
      <c r="J583" s="81"/>
      <c r="K583" s="81"/>
      <c r="L583" s="81"/>
    </row>
    <row r="584" spans="2:12" ht="12.75" customHeight="1" x14ac:dyDescent="0.2">
      <c r="B584" s="81"/>
      <c r="C584" s="81"/>
      <c r="D584" s="81"/>
      <c r="E584" s="81"/>
      <c r="F584" s="81"/>
      <c r="G584" s="81"/>
      <c r="H584" s="81"/>
      <c r="I584" s="81"/>
      <c r="J584" s="81"/>
      <c r="K584" s="81"/>
      <c r="L584" s="81"/>
    </row>
    <row r="585" spans="2:12" ht="12.75" customHeight="1" x14ac:dyDescent="0.2">
      <c r="B585" s="81"/>
      <c r="C585" s="81"/>
      <c r="D585" s="81"/>
      <c r="E585" s="81"/>
      <c r="F585" s="81"/>
      <c r="G585" s="81"/>
      <c r="H585" s="81"/>
      <c r="I585" s="81"/>
      <c r="J585" s="81"/>
      <c r="K585" s="81"/>
      <c r="L585" s="81"/>
    </row>
    <row r="586" spans="2:12" ht="12.75" customHeight="1" x14ac:dyDescent="0.2">
      <c r="B586" s="81"/>
      <c r="C586" s="81"/>
      <c r="D586" s="81"/>
      <c r="E586" s="81"/>
      <c r="F586" s="81"/>
      <c r="G586" s="81"/>
      <c r="H586" s="81"/>
      <c r="I586" s="81"/>
      <c r="J586" s="81"/>
      <c r="K586" s="81"/>
      <c r="L586" s="81"/>
    </row>
    <row r="587" spans="2:12" ht="12.75" customHeight="1" x14ac:dyDescent="0.2">
      <c r="B587" s="81"/>
      <c r="C587" s="81"/>
      <c r="D587" s="81"/>
      <c r="E587" s="81"/>
      <c r="F587" s="81"/>
      <c r="G587" s="81"/>
      <c r="H587" s="81"/>
      <c r="I587" s="81"/>
      <c r="J587" s="81"/>
      <c r="K587" s="81"/>
      <c r="L587" s="81"/>
    </row>
    <row r="588" spans="2:12" ht="12.75" customHeight="1" x14ac:dyDescent="0.2">
      <c r="B588" s="81"/>
      <c r="C588" s="81"/>
      <c r="D588" s="81"/>
      <c r="E588" s="81"/>
      <c r="F588" s="81"/>
      <c r="G588" s="81"/>
      <c r="H588" s="81"/>
      <c r="I588" s="81"/>
      <c r="J588" s="81"/>
      <c r="K588" s="81"/>
      <c r="L588" s="81"/>
    </row>
    <row r="589" spans="2:12" ht="12.75" customHeight="1" x14ac:dyDescent="0.2">
      <c r="B589" s="81"/>
      <c r="C589" s="81"/>
      <c r="D589" s="81"/>
      <c r="E589" s="81"/>
      <c r="F589" s="81"/>
      <c r="G589" s="81"/>
      <c r="H589" s="81"/>
      <c r="I589" s="81"/>
      <c r="J589" s="81"/>
      <c r="K589" s="81"/>
      <c r="L589" s="81"/>
    </row>
    <row r="590" spans="2:12" ht="12.75" customHeight="1" x14ac:dyDescent="0.2">
      <c r="B590" s="81"/>
      <c r="C590" s="81"/>
      <c r="D590" s="81"/>
      <c r="E590" s="81"/>
      <c r="F590" s="81"/>
      <c r="G590" s="81"/>
      <c r="H590" s="81"/>
      <c r="I590" s="81"/>
      <c r="J590" s="81"/>
      <c r="K590" s="81"/>
      <c r="L590" s="81"/>
    </row>
    <row r="591" spans="2:12" ht="12.75" customHeight="1" x14ac:dyDescent="0.2">
      <c r="B591" s="81"/>
      <c r="C591" s="81"/>
      <c r="D591" s="81"/>
      <c r="E591" s="81"/>
      <c r="F591" s="81"/>
      <c r="G591" s="81"/>
      <c r="H591" s="81"/>
      <c r="I591" s="81"/>
      <c r="J591" s="81"/>
      <c r="K591" s="81"/>
      <c r="L591" s="81"/>
    </row>
    <row r="592" spans="2:12" ht="12.75" customHeight="1" x14ac:dyDescent="0.2">
      <c r="B592" s="81"/>
      <c r="C592" s="81"/>
      <c r="D592" s="81"/>
      <c r="E592" s="81"/>
      <c r="F592" s="81"/>
      <c r="G592" s="81"/>
      <c r="H592" s="81"/>
      <c r="I592" s="81"/>
      <c r="J592" s="81"/>
      <c r="K592" s="81"/>
      <c r="L592" s="81"/>
    </row>
    <row r="593" spans="2:12" ht="12.75" customHeight="1" x14ac:dyDescent="0.2">
      <c r="B593" s="81"/>
      <c r="C593" s="81"/>
      <c r="D593" s="81"/>
      <c r="E593" s="81"/>
      <c r="F593" s="81"/>
      <c r="G593" s="81"/>
      <c r="H593" s="81"/>
      <c r="I593" s="81"/>
      <c r="J593" s="81"/>
      <c r="K593" s="81"/>
      <c r="L593" s="81"/>
    </row>
    <row r="594" spans="2:12" ht="12.75" customHeight="1" x14ac:dyDescent="0.2">
      <c r="B594" s="81"/>
      <c r="C594" s="81"/>
      <c r="D594" s="81"/>
      <c r="E594" s="81"/>
      <c r="F594" s="81"/>
      <c r="G594" s="81"/>
      <c r="H594" s="81"/>
      <c r="I594" s="81"/>
      <c r="J594" s="81"/>
      <c r="K594" s="81"/>
      <c r="L594" s="81"/>
    </row>
    <row r="595" spans="2:12" ht="12.75" customHeight="1" x14ac:dyDescent="0.2">
      <c r="B595" s="81"/>
      <c r="C595" s="81"/>
      <c r="D595" s="81"/>
      <c r="E595" s="81"/>
      <c r="F595" s="81"/>
      <c r="G595" s="81"/>
      <c r="H595" s="81"/>
      <c r="I595" s="81"/>
      <c r="J595" s="81"/>
      <c r="K595" s="81"/>
      <c r="L595" s="81"/>
    </row>
    <row r="596" spans="2:12" ht="12.75" customHeight="1" x14ac:dyDescent="0.2">
      <c r="B596" s="81"/>
      <c r="C596" s="81"/>
      <c r="D596" s="81"/>
      <c r="E596" s="81"/>
      <c r="F596" s="81"/>
      <c r="G596" s="81"/>
      <c r="H596" s="81"/>
      <c r="I596" s="81"/>
      <c r="J596" s="81"/>
      <c r="K596" s="81"/>
      <c r="L596" s="81"/>
    </row>
    <row r="597" spans="2:12" ht="12.75" customHeight="1" x14ac:dyDescent="0.2">
      <c r="B597" s="81"/>
      <c r="C597" s="81"/>
      <c r="D597" s="81"/>
      <c r="E597" s="81"/>
      <c r="F597" s="81"/>
      <c r="G597" s="81"/>
      <c r="H597" s="81"/>
      <c r="I597" s="81"/>
      <c r="J597" s="81"/>
      <c r="K597" s="81"/>
      <c r="L597" s="81"/>
    </row>
    <row r="598" spans="2:12" ht="12.75" customHeight="1" x14ac:dyDescent="0.2">
      <c r="B598" s="81"/>
      <c r="C598" s="81"/>
      <c r="D598" s="81"/>
      <c r="E598" s="81"/>
      <c r="F598" s="81"/>
      <c r="G598" s="81"/>
      <c r="H598" s="81"/>
      <c r="I598" s="81"/>
      <c r="J598" s="81"/>
      <c r="K598" s="81"/>
      <c r="L598" s="81"/>
    </row>
    <row r="599" spans="2:12" ht="12.75" customHeight="1" x14ac:dyDescent="0.2">
      <c r="B599" s="81"/>
      <c r="C599" s="81"/>
      <c r="D599" s="81"/>
      <c r="E599" s="81"/>
      <c r="F599" s="81"/>
      <c r="G599" s="81"/>
      <c r="H599" s="81"/>
      <c r="I599" s="81"/>
      <c r="J599" s="81"/>
      <c r="K599" s="81"/>
      <c r="L599" s="81"/>
    </row>
    <row r="600" spans="2:12" ht="12.75" customHeight="1" x14ac:dyDescent="0.2">
      <c r="B600" s="81"/>
      <c r="C600" s="81"/>
      <c r="D600" s="81"/>
      <c r="E600" s="81"/>
      <c r="F600" s="81"/>
      <c r="G600" s="81"/>
      <c r="H600" s="81"/>
      <c r="I600" s="81"/>
      <c r="J600" s="81"/>
      <c r="K600" s="81"/>
      <c r="L600" s="81"/>
    </row>
    <row r="601" spans="2:12" ht="12.75" customHeight="1" x14ac:dyDescent="0.2">
      <c r="B601" s="81"/>
      <c r="C601" s="81"/>
      <c r="D601" s="81"/>
      <c r="E601" s="81"/>
      <c r="F601" s="81"/>
      <c r="G601" s="81"/>
      <c r="H601" s="81"/>
      <c r="I601" s="81"/>
      <c r="J601" s="81"/>
      <c r="K601" s="81"/>
      <c r="L601" s="81"/>
    </row>
    <row r="602" spans="2:12" ht="12.75" customHeight="1" x14ac:dyDescent="0.2">
      <c r="B602" s="81"/>
      <c r="C602" s="81"/>
      <c r="D602" s="81"/>
      <c r="E602" s="81"/>
      <c r="F602" s="81"/>
      <c r="G602" s="81"/>
      <c r="H602" s="81"/>
      <c r="I602" s="81"/>
      <c r="J602" s="81"/>
      <c r="K602" s="81"/>
      <c r="L602" s="81"/>
    </row>
    <row r="603" spans="2:12" ht="12.75" customHeight="1" x14ac:dyDescent="0.2">
      <c r="B603" s="81"/>
      <c r="C603" s="81"/>
      <c r="D603" s="81"/>
      <c r="E603" s="81"/>
      <c r="F603" s="81"/>
      <c r="G603" s="81"/>
      <c r="H603" s="81"/>
      <c r="I603" s="81"/>
      <c r="J603" s="81"/>
      <c r="K603" s="81"/>
      <c r="L603" s="81"/>
    </row>
    <row r="604" spans="2:12" ht="12.75" customHeight="1" x14ac:dyDescent="0.2">
      <c r="B604" s="81"/>
      <c r="C604" s="81"/>
      <c r="D604" s="81"/>
      <c r="E604" s="81"/>
      <c r="F604" s="81"/>
      <c r="G604" s="81"/>
      <c r="H604" s="81"/>
      <c r="I604" s="81"/>
      <c r="J604" s="81"/>
      <c r="K604" s="81"/>
      <c r="L604" s="81"/>
    </row>
    <row r="605" spans="2:12" ht="12.75" customHeight="1" x14ac:dyDescent="0.2">
      <c r="B605" s="81"/>
      <c r="C605" s="81"/>
      <c r="D605" s="81"/>
      <c r="E605" s="81"/>
      <c r="F605" s="81"/>
      <c r="G605" s="81"/>
      <c r="H605" s="81"/>
      <c r="I605" s="81"/>
      <c r="J605" s="81"/>
      <c r="K605" s="81"/>
      <c r="L605" s="81"/>
    </row>
    <row r="606" spans="2:12" ht="12.75" customHeight="1" x14ac:dyDescent="0.2">
      <c r="B606" s="81"/>
      <c r="C606" s="81"/>
      <c r="D606" s="81"/>
      <c r="E606" s="81"/>
      <c r="F606" s="81"/>
      <c r="G606" s="81"/>
      <c r="H606" s="81"/>
      <c r="I606" s="81"/>
      <c r="J606" s="81"/>
      <c r="K606" s="81"/>
      <c r="L606" s="81"/>
    </row>
    <row r="607" spans="2:12" ht="12.75" customHeight="1" x14ac:dyDescent="0.2">
      <c r="B607" s="81"/>
      <c r="C607" s="81"/>
      <c r="D607" s="81"/>
      <c r="E607" s="81"/>
      <c r="F607" s="81"/>
      <c r="G607" s="81"/>
      <c r="H607" s="81"/>
      <c r="I607" s="81"/>
      <c r="J607" s="81"/>
      <c r="K607" s="81"/>
      <c r="L607" s="81"/>
    </row>
    <row r="608" spans="2:12" ht="12.75" customHeight="1" x14ac:dyDescent="0.2">
      <c r="B608" s="81"/>
      <c r="C608" s="81"/>
      <c r="D608" s="81"/>
      <c r="E608" s="81"/>
      <c r="F608" s="81"/>
      <c r="G608" s="81"/>
      <c r="H608" s="81"/>
      <c r="I608" s="81"/>
      <c r="J608" s="81"/>
      <c r="K608" s="81"/>
      <c r="L608" s="81"/>
    </row>
    <row r="609" spans="2:12" ht="12.75" customHeight="1" x14ac:dyDescent="0.2">
      <c r="B609" s="81"/>
      <c r="C609" s="81"/>
      <c r="D609" s="81"/>
      <c r="E609" s="81"/>
      <c r="F609" s="81"/>
      <c r="G609" s="81"/>
      <c r="H609" s="81"/>
      <c r="I609" s="81"/>
      <c r="J609" s="81"/>
      <c r="K609" s="81"/>
      <c r="L609" s="81"/>
    </row>
    <row r="610" spans="2:12" ht="12.75" customHeight="1" x14ac:dyDescent="0.2">
      <c r="B610" s="81"/>
      <c r="C610" s="81"/>
      <c r="D610" s="81"/>
      <c r="E610" s="81"/>
      <c r="F610" s="81"/>
      <c r="G610" s="81"/>
      <c r="H610" s="81"/>
      <c r="I610" s="81"/>
      <c r="J610" s="81"/>
      <c r="K610" s="81"/>
      <c r="L610" s="81"/>
    </row>
    <row r="611" spans="2:12" ht="12.75" customHeight="1" x14ac:dyDescent="0.2">
      <c r="B611" s="81"/>
      <c r="C611" s="81"/>
      <c r="D611" s="81"/>
      <c r="E611" s="81"/>
      <c r="F611" s="81"/>
      <c r="G611" s="81"/>
      <c r="H611" s="81"/>
      <c r="I611" s="81"/>
      <c r="J611" s="81"/>
      <c r="K611" s="81"/>
      <c r="L611" s="81"/>
    </row>
    <row r="612" spans="2:12" ht="12.75" customHeight="1" x14ac:dyDescent="0.2">
      <c r="B612" s="81"/>
      <c r="C612" s="81"/>
      <c r="D612" s="81"/>
      <c r="E612" s="81"/>
      <c r="F612" s="81"/>
      <c r="G612" s="81"/>
      <c r="H612" s="81"/>
      <c r="I612" s="81"/>
      <c r="J612" s="81"/>
      <c r="K612" s="81"/>
      <c r="L612" s="81"/>
    </row>
    <row r="613" spans="2:12" ht="12.75" customHeight="1" x14ac:dyDescent="0.2">
      <c r="B613" s="81"/>
      <c r="C613" s="81"/>
      <c r="D613" s="81"/>
      <c r="E613" s="81"/>
      <c r="F613" s="81"/>
      <c r="G613" s="81"/>
      <c r="H613" s="81"/>
      <c r="I613" s="81"/>
      <c r="J613" s="81"/>
      <c r="K613" s="81"/>
      <c r="L613" s="81"/>
    </row>
    <row r="614" spans="2:12" ht="12.75" customHeight="1" x14ac:dyDescent="0.2">
      <c r="B614" s="81"/>
      <c r="C614" s="81"/>
      <c r="D614" s="81"/>
      <c r="E614" s="81"/>
      <c r="F614" s="81"/>
      <c r="G614" s="81"/>
      <c r="H614" s="81"/>
      <c r="I614" s="81"/>
      <c r="J614" s="81"/>
      <c r="K614" s="81"/>
      <c r="L614" s="81"/>
    </row>
    <row r="615" spans="2:12" ht="12.75" customHeight="1" x14ac:dyDescent="0.2">
      <c r="B615" s="81"/>
      <c r="C615" s="81"/>
      <c r="D615" s="81"/>
      <c r="E615" s="81"/>
      <c r="F615" s="81"/>
      <c r="G615" s="81"/>
      <c r="H615" s="81"/>
      <c r="I615" s="81"/>
      <c r="J615" s="81"/>
      <c r="K615" s="81"/>
      <c r="L615" s="81"/>
    </row>
    <row r="616" spans="2:12" ht="12.75" customHeight="1" x14ac:dyDescent="0.2">
      <c r="B616" s="81"/>
      <c r="C616" s="81"/>
      <c r="D616" s="81"/>
      <c r="E616" s="81"/>
      <c r="F616" s="81"/>
      <c r="G616" s="81"/>
      <c r="H616" s="81"/>
      <c r="I616" s="81"/>
      <c r="J616" s="81"/>
      <c r="K616" s="81"/>
    </row>
    <row r="617" spans="2:12" ht="12.75" customHeight="1" x14ac:dyDescent="0.2"/>
    <row r="618" spans="2:12" ht="12.75" customHeight="1" x14ac:dyDescent="0.2"/>
    <row r="619" spans="2:12" ht="12.75" customHeight="1" x14ac:dyDescent="0.2"/>
    <row r="620" spans="2:12" ht="12.75" customHeight="1" x14ac:dyDescent="0.2"/>
    <row r="621" spans="2:12" ht="12.75" customHeight="1" x14ac:dyDescent="0.2">
      <c r="E621"/>
      <c r="J621"/>
    </row>
    <row r="622" spans="2:12" ht="12.75" customHeight="1" x14ac:dyDescent="0.2">
      <c r="E622"/>
      <c r="J622"/>
    </row>
    <row r="623" spans="2:12" ht="12.75" customHeight="1" x14ac:dyDescent="0.2">
      <c r="E623"/>
      <c r="J623"/>
    </row>
    <row r="624" spans="2:12" ht="12.75" customHeight="1" x14ac:dyDescent="0.2">
      <c r="E624"/>
      <c r="J624"/>
    </row>
    <row r="625" spans="5:10" ht="12.75" customHeight="1" x14ac:dyDescent="0.2">
      <c r="E625"/>
      <c r="J625"/>
    </row>
    <row r="626" spans="5:10" ht="12.75" customHeight="1" x14ac:dyDescent="0.2">
      <c r="E626"/>
      <c r="J626"/>
    </row>
    <row r="627" spans="5:10" ht="12.75" customHeight="1" x14ac:dyDescent="0.2">
      <c r="E627"/>
      <c r="J627"/>
    </row>
    <row r="628" spans="5:10" ht="12.75" customHeight="1" x14ac:dyDescent="0.2">
      <c r="E628"/>
      <c r="J628"/>
    </row>
    <row r="629" spans="5:10" ht="12.75" customHeight="1" x14ac:dyDescent="0.2">
      <c r="E629"/>
      <c r="J629"/>
    </row>
    <row r="630" spans="5:10" ht="12.75" customHeight="1" x14ac:dyDescent="0.2">
      <c r="E630"/>
      <c r="J630"/>
    </row>
    <row r="631" spans="5:10" ht="12.75" customHeight="1" x14ac:dyDescent="0.2">
      <c r="E631"/>
      <c r="J631"/>
    </row>
    <row r="632" spans="5:10" ht="12.75" customHeight="1" x14ac:dyDescent="0.2">
      <c r="E632"/>
      <c r="J632"/>
    </row>
    <row r="633" spans="5:10" ht="12.75" customHeight="1" x14ac:dyDescent="0.2">
      <c r="E633"/>
      <c r="J633"/>
    </row>
    <row r="634" spans="5:10" ht="12.75" customHeight="1" x14ac:dyDescent="0.2">
      <c r="E634"/>
      <c r="J634"/>
    </row>
    <row r="635" spans="5:10" ht="12.75" customHeight="1" x14ac:dyDescent="0.2">
      <c r="E635"/>
      <c r="J635"/>
    </row>
    <row r="636" spans="5:10" ht="12.75" customHeight="1" x14ac:dyDescent="0.2">
      <c r="E636"/>
      <c r="J636"/>
    </row>
    <row r="637" spans="5:10" ht="12.75" customHeight="1" x14ac:dyDescent="0.2">
      <c r="E637"/>
      <c r="J637"/>
    </row>
    <row r="638" spans="5:10" ht="12.75" customHeight="1" x14ac:dyDescent="0.2">
      <c r="E638"/>
      <c r="J638"/>
    </row>
    <row r="639" spans="5:10" ht="12.75" customHeight="1" x14ac:dyDescent="0.2">
      <c r="E639"/>
      <c r="J639"/>
    </row>
    <row r="640" spans="5:10" ht="12.75" customHeight="1" x14ac:dyDescent="0.2">
      <c r="E640"/>
      <c r="J640"/>
    </row>
    <row r="641" spans="5:10" ht="12.75" customHeight="1" x14ac:dyDescent="0.2">
      <c r="E641"/>
      <c r="J641"/>
    </row>
    <row r="642" spans="5:10" ht="12.75" customHeight="1" x14ac:dyDescent="0.2">
      <c r="E642"/>
      <c r="J642"/>
    </row>
    <row r="643" spans="5:10" ht="12.75" customHeight="1" x14ac:dyDescent="0.2">
      <c r="E643"/>
      <c r="J643"/>
    </row>
    <row r="644" spans="5:10" ht="12.75" customHeight="1" x14ac:dyDescent="0.2">
      <c r="E644"/>
      <c r="J644"/>
    </row>
    <row r="645" spans="5:10" ht="12.75" customHeight="1" x14ac:dyDescent="0.2">
      <c r="E645"/>
      <c r="J645"/>
    </row>
    <row r="646" spans="5:10" ht="12.75" customHeight="1" x14ac:dyDescent="0.2">
      <c r="E646"/>
      <c r="J646"/>
    </row>
    <row r="647" spans="5:10" ht="12.75" customHeight="1" x14ac:dyDescent="0.2">
      <c r="E647"/>
      <c r="J647"/>
    </row>
    <row r="648" spans="5:10" ht="12.75" customHeight="1" x14ac:dyDescent="0.2">
      <c r="E648"/>
      <c r="J648"/>
    </row>
    <row r="649" spans="5:10" ht="12.75" customHeight="1" x14ac:dyDescent="0.2">
      <c r="E649"/>
      <c r="J649"/>
    </row>
    <row r="650" spans="5:10" ht="12.75" customHeight="1" x14ac:dyDescent="0.2">
      <c r="E650"/>
      <c r="J650"/>
    </row>
    <row r="651" spans="5:10" ht="12.75" customHeight="1" x14ac:dyDescent="0.2">
      <c r="E651"/>
      <c r="J651"/>
    </row>
    <row r="652" spans="5:10" ht="12.75" customHeight="1" x14ac:dyDescent="0.2">
      <c r="E652"/>
      <c r="J652"/>
    </row>
    <row r="653" spans="5:10" ht="12.75" customHeight="1" x14ac:dyDescent="0.2">
      <c r="E653"/>
      <c r="J653"/>
    </row>
    <row r="654" spans="5:10" ht="12.75" customHeight="1" x14ac:dyDescent="0.2">
      <c r="E654"/>
      <c r="J654"/>
    </row>
    <row r="655" spans="5:10" ht="12.75" customHeight="1" x14ac:dyDescent="0.2">
      <c r="E655"/>
      <c r="J655"/>
    </row>
    <row r="656" spans="5:10" ht="12.75" customHeight="1" x14ac:dyDescent="0.2">
      <c r="E656"/>
      <c r="J656"/>
    </row>
    <row r="657" spans="5:10" ht="12.75" customHeight="1" x14ac:dyDescent="0.2">
      <c r="E657"/>
      <c r="J657"/>
    </row>
    <row r="658" spans="5:10" ht="12.75" customHeight="1" x14ac:dyDescent="0.2">
      <c r="E658"/>
      <c r="J658"/>
    </row>
    <row r="659" spans="5:10" ht="12.75" customHeight="1" x14ac:dyDescent="0.2">
      <c r="E659"/>
      <c r="J659"/>
    </row>
    <row r="660" spans="5:10" ht="12.75" customHeight="1" x14ac:dyDescent="0.2">
      <c r="E660"/>
      <c r="J660"/>
    </row>
    <row r="661" spans="5:10" ht="12.75" customHeight="1" x14ac:dyDescent="0.2">
      <c r="E661"/>
      <c r="J661"/>
    </row>
    <row r="662" spans="5:10" ht="12.75" customHeight="1" x14ac:dyDescent="0.2">
      <c r="E662"/>
      <c r="J662"/>
    </row>
    <row r="663" spans="5:10" ht="12.75" customHeight="1" x14ac:dyDescent="0.2">
      <c r="E663"/>
      <c r="J663"/>
    </row>
    <row r="664" spans="5:10" ht="12.75" customHeight="1" x14ac:dyDescent="0.2">
      <c r="E664"/>
      <c r="J664"/>
    </row>
    <row r="665" spans="5:10" ht="12.75" customHeight="1" x14ac:dyDescent="0.2">
      <c r="E665"/>
      <c r="J665"/>
    </row>
    <row r="666" spans="5:10" ht="12.75" customHeight="1" x14ac:dyDescent="0.2">
      <c r="E666"/>
      <c r="J666"/>
    </row>
    <row r="667" spans="5:10" ht="12.75" customHeight="1" x14ac:dyDescent="0.2">
      <c r="E667"/>
      <c r="J667"/>
    </row>
    <row r="668" spans="5:10" ht="12.75" customHeight="1" x14ac:dyDescent="0.2">
      <c r="E668"/>
      <c r="J668"/>
    </row>
    <row r="669" spans="5:10" ht="12.75" customHeight="1" x14ac:dyDescent="0.2">
      <c r="E669"/>
      <c r="J669"/>
    </row>
    <row r="670" spans="5:10" ht="12.75" customHeight="1" x14ac:dyDescent="0.2">
      <c r="E670"/>
      <c r="J670"/>
    </row>
    <row r="671" spans="5:10" ht="12.75" customHeight="1" x14ac:dyDescent="0.2">
      <c r="E671"/>
      <c r="J671"/>
    </row>
    <row r="672" spans="5:10" ht="12.75" customHeight="1" x14ac:dyDescent="0.2">
      <c r="E672"/>
      <c r="J672"/>
    </row>
    <row r="673" spans="5:10" ht="12.75" customHeight="1" x14ac:dyDescent="0.2">
      <c r="E673"/>
      <c r="J673"/>
    </row>
    <row r="674" spans="5:10" ht="12.75" customHeight="1" x14ac:dyDescent="0.2">
      <c r="E674"/>
      <c r="J674"/>
    </row>
    <row r="675" spans="5:10" ht="12.75" customHeight="1" x14ac:dyDescent="0.2">
      <c r="E675"/>
      <c r="J675"/>
    </row>
    <row r="676" spans="5:10" ht="12.75" customHeight="1" x14ac:dyDescent="0.2">
      <c r="E676"/>
      <c r="J676"/>
    </row>
    <row r="677" spans="5:10" ht="12.75" customHeight="1" x14ac:dyDescent="0.2">
      <c r="E677"/>
      <c r="J677"/>
    </row>
    <row r="678" spans="5:10" ht="12.75" customHeight="1" x14ac:dyDescent="0.2">
      <c r="E678"/>
      <c r="J678"/>
    </row>
    <row r="679" spans="5:10" ht="12.75" customHeight="1" x14ac:dyDescent="0.2">
      <c r="E679"/>
      <c r="J679"/>
    </row>
    <row r="680" spans="5:10" ht="12.75" customHeight="1" x14ac:dyDescent="0.2">
      <c r="E680"/>
      <c r="J680"/>
    </row>
    <row r="681" spans="5:10" ht="12.75" customHeight="1" x14ac:dyDescent="0.2">
      <c r="E681"/>
      <c r="J681"/>
    </row>
    <row r="682" spans="5:10" ht="12.75" customHeight="1" x14ac:dyDescent="0.2">
      <c r="E682"/>
      <c r="J682"/>
    </row>
    <row r="683" spans="5:10" ht="12.75" customHeight="1" x14ac:dyDescent="0.2">
      <c r="E683"/>
      <c r="J683"/>
    </row>
    <row r="684" spans="5:10" ht="12.75" customHeight="1" x14ac:dyDescent="0.2">
      <c r="E684"/>
      <c r="J684"/>
    </row>
    <row r="685" spans="5:10" ht="12.75" customHeight="1" x14ac:dyDescent="0.2">
      <c r="E685"/>
      <c r="J685"/>
    </row>
    <row r="686" spans="5:10" ht="12.75" customHeight="1" x14ac:dyDescent="0.2">
      <c r="E686"/>
      <c r="J686"/>
    </row>
    <row r="687" spans="5:10" ht="12.75" customHeight="1" x14ac:dyDescent="0.2">
      <c r="E687"/>
      <c r="J687"/>
    </row>
    <row r="688" spans="5:10" ht="12.75" customHeight="1" x14ac:dyDescent="0.2">
      <c r="E688"/>
      <c r="J688"/>
    </row>
    <row r="689" spans="5:10" ht="12.75" customHeight="1" x14ac:dyDescent="0.2">
      <c r="E689"/>
      <c r="J689"/>
    </row>
    <row r="690" spans="5:10" ht="12.75" customHeight="1" x14ac:dyDescent="0.2">
      <c r="E690"/>
      <c r="J690"/>
    </row>
    <row r="691" spans="5:10" ht="12.75" customHeight="1" x14ac:dyDescent="0.2">
      <c r="E691"/>
      <c r="J691"/>
    </row>
    <row r="692" spans="5:10" ht="12.75" customHeight="1" x14ac:dyDescent="0.2">
      <c r="E692"/>
      <c r="J692"/>
    </row>
    <row r="693" spans="5:10" ht="12.75" customHeight="1" x14ac:dyDescent="0.2">
      <c r="E693"/>
      <c r="J693"/>
    </row>
    <row r="694" spans="5:10" ht="12.75" customHeight="1" x14ac:dyDescent="0.2">
      <c r="E694"/>
      <c r="J694"/>
    </row>
    <row r="695" spans="5:10" ht="12.75" customHeight="1" x14ac:dyDescent="0.2">
      <c r="E695"/>
      <c r="J695"/>
    </row>
    <row r="696" spans="5:10" ht="12.75" customHeight="1" x14ac:dyDescent="0.2">
      <c r="E696"/>
      <c r="J696"/>
    </row>
    <row r="697" spans="5:10" ht="12.75" customHeight="1" x14ac:dyDescent="0.2">
      <c r="E697"/>
      <c r="J697"/>
    </row>
    <row r="698" spans="5:10" ht="12.75" customHeight="1" x14ac:dyDescent="0.2">
      <c r="E698"/>
      <c r="J698"/>
    </row>
    <row r="699" spans="5:10" ht="12.75" customHeight="1" x14ac:dyDescent="0.2">
      <c r="E699"/>
      <c r="J699"/>
    </row>
    <row r="700" spans="5:10" ht="12.75" customHeight="1" x14ac:dyDescent="0.2">
      <c r="E700"/>
      <c r="J700"/>
    </row>
    <row r="701" spans="5:10" ht="12.75" customHeight="1" x14ac:dyDescent="0.2">
      <c r="E701"/>
      <c r="J701"/>
    </row>
    <row r="702" spans="5:10" ht="12.75" customHeight="1" x14ac:dyDescent="0.2">
      <c r="E702"/>
      <c r="J702"/>
    </row>
    <row r="703" spans="5:10" ht="12.75" customHeight="1" x14ac:dyDescent="0.2">
      <c r="E703"/>
      <c r="J703"/>
    </row>
    <row r="704" spans="5:10" ht="12.75" customHeight="1" x14ac:dyDescent="0.2">
      <c r="E704"/>
      <c r="J704"/>
    </row>
    <row r="705" spans="5:10" ht="12.75" customHeight="1" x14ac:dyDescent="0.2">
      <c r="E705"/>
      <c r="J705"/>
    </row>
    <row r="706" spans="5:10" ht="12.75" customHeight="1" x14ac:dyDescent="0.2">
      <c r="E706"/>
      <c r="J706"/>
    </row>
    <row r="707" spans="5:10" ht="12.75" customHeight="1" x14ac:dyDescent="0.2">
      <c r="E707"/>
      <c r="J707"/>
    </row>
    <row r="708" spans="5:10" ht="12.75" customHeight="1" x14ac:dyDescent="0.2">
      <c r="E708"/>
      <c r="J708"/>
    </row>
    <row r="709" spans="5:10" ht="12.75" customHeight="1" x14ac:dyDescent="0.2">
      <c r="E709"/>
      <c r="J709"/>
    </row>
    <row r="710" spans="5:10" ht="12.75" customHeight="1" x14ac:dyDescent="0.2">
      <c r="E710"/>
      <c r="J710"/>
    </row>
    <row r="711" spans="5:10" ht="12.75" customHeight="1" x14ac:dyDescent="0.2">
      <c r="E711"/>
      <c r="J711"/>
    </row>
    <row r="712" spans="5:10" ht="12.75" customHeight="1" x14ac:dyDescent="0.2">
      <c r="E712"/>
      <c r="J712"/>
    </row>
    <row r="713" spans="5:10" ht="12.75" customHeight="1" x14ac:dyDescent="0.2">
      <c r="E713"/>
      <c r="J713"/>
    </row>
    <row r="714" spans="5:10" ht="12.75" customHeight="1" x14ac:dyDescent="0.2">
      <c r="E714"/>
      <c r="J714"/>
    </row>
    <row r="715" spans="5:10" ht="12.75" customHeight="1" x14ac:dyDescent="0.2">
      <c r="E715"/>
      <c r="J715"/>
    </row>
    <row r="716" spans="5:10" ht="12.75" customHeight="1" x14ac:dyDescent="0.2">
      <c r="E716"/>
      <c r="J716"/>
    </row>
    <row r="717" spans="5:10" ht="12.75" customHeight="1" x14ac:dyDescent="0.2">
      <c r="E717"/>
      <c r="J717"/>
    </row>
    <row r="718" spans="5:10" ht="12.75" customHeight="1" x14ac:dyDescent="0.2">
      <c r="E718"/>
      <c r="J718"/>
    </row>
    <row r="719" spans="5:10" ht="12.75" customHeight="1" x14ac:dyDescent="0.2">
      <c r="E719"/>
      <c r="J719"/>
    </row>
    <row r="720" spans="5:10" ht="12.75" customHeight="1" x14ac:dyDescent="0.2">
      <c r="E720"/>
      <c r="J720"/>
    </row>
    <row r="721" spans="5:10" ht="12.75" customHeight="1" x14ac:dyDescent="0.2">
      <c r="E721"/>
      <c r="J721"/>
    </row>
    <row r="722" spans="5:10" ht="12.75" customHeight="1" x14ac:dyDescent="0.2">
      <c r="E722"/>
      <c r="J722"/>
    </row>
    <row r="723" spans="5:10" ht="12.75" customHeight="1" x14ac:dyDescent="0.2">
      <c r="E723"/>
      <c r="J723"/>
    </row>
    <row r="724" spans="5:10" ht="12.75" customHeight="1" x14ac:dyDescent="0.2">
      <c r="E724"/>
      <c r="J724"/>
    </row>
    <row r="725" spans="5:10" ht="12.75" customHeight="1" x14ac:dyDescent="0.2">
      <c r="E725"/>
      <c r="J725"/>
    </row>
    <row r="726" spans="5:10" ht="12.75" customHeight="1" x14ac:dyDescent="0.2">
      <c r="E726"/>
      <c r="J726"/>
    </row>
    <row r="727" spans="5:10" ht="12.75" customHeight="1" x14ac:dyDescent="0.2">
      <c r="E727"/>
      <c r="J727"/>
    </row>
    <row r="728" spans="5:10" ht="12.75" customHeight="1" x14ac:dyDescent="0.2">
      <c r="E728"/>
      <c r="J728"/>
    </row>
    <row r="729" spans="5:10" ht="12.75" customHeight="1" x14ac:dyDescent="0.2">
      <c r="E729"/>
      <c r="J729"/>
    </row>
    <row r="730" spans="5:10" ht="12.75" customHeight="1" x14ac:dyDescent="0.2">
      <c r="E730"/>
      <c r="J730"/>
    </row>
    <row r="731" spans="5:10" ht="12.75" customHeight="1" x14ac:dyDescent="0.2">
      <c r="E731"/>
      <c r="J731"/>
    </row>
    <row r="732" spans="5:10" ht="12.75" customHeight="1" x14ac:dyDescent="0.2">
      <c r="E732"/>
      <c r="J732"/>
    </row>
    <row r="733" spans="5:10" ht="12.75" customHeight="1" x14ac:dyDescent="0.2">
      <c r="E733"/>
      <c r="J733"/>
    </row>
    <row r="734" spans="5:10" ht="12.75" customHeight="1" x14ac:dyDescent="0.2">
      <c r="E734"/>
      <c r="J734"/>
    </row>
    <row r="735" spans="5:10" ht="12.75" customHeight="1" x14ac:dyDescent="0.2">
      <c r="E735"/>
      <c r="J735"/>
    </row>
    <row r="736" spans="5:10" ht="12.75" customHeight="1" x14ac:dyDescent="0.2">
      <c r="E736"/>
      <c r="J736"/>
    </row>
    <row r="737" spans="5:10" ht="12.75" customHeight="1" x14ac:dyDescent="0.2">
      <c r="E737"/>
      <c r="J737"/>
    </row>
    <row r="738" spans="5:10" ht="12.75" customHeight="1" x14ac:dyDescent="0.2">
      <c r="E738"/>
      <c r="J738"/>
    </row>
    <row r="739" spans="5:10" ht="12.75" customHeight="1" x14ac:dyDescent="0.2">
      <c r="E739"/>
      <c r="J739"/>
    </row>
    <row r="740" spans="5:10" ht="12.75" customHeight="1" x14ac:dyDescent="0.2">
      <c r="E740"/>
      <c r="J740"/>
    </row>
    <row r="741" spans="5:10" ht="12.75" customHeight="1" x14ac:dyDescent="0.2">
      <c r="E741"/>
      <c r="J741"/>
    </row>
    <row r="742" spans="5:10" ht="12.75" customHeight="1" x14ac:dyDescent="0.2">
      <c r="E742"/>
      <c r="J742"/>
    </row>
    <row r="743" spans="5:10" ht="12.75" customHeight="1" x14ac:dyDescent="0.2">
      <c r="E743"/>
      <c r="J743"/>
    </row>
    <row r="744" spans="5:10" ht="12.75" customHeight="1" x14ac:dyDescent="0.2">
      <c r="E744"/>
      <c r="J744"/>
    </row>
    <row r="745" spans="5:10" ht="12.75" customHeight="1" x14ac:dyDescent="0.2">
      <c r="E745"/>
      <c r="J745"/>
    </row>
    <row r="746" spans="5:10" ht="12.75" customHeight="1" x14ac:dyDescent="0.2">
      <c r="E746"/>
      <c r="J746"/>
    </row>
    <row r="747" spans="5:10" ht="12.75" customHeight="1" x14ac:dyDescent="0.2">
      <c r="E747"/>
      <c r="J747"/>
    </row>
    <row r="748" spans="5:10" ht="12.75" customHeight="1" x14ac:dyDescent="0.2">
      <c r="E748"/>
      <c r="J748"/>
    </row>
    <row r="749" spans="5:10" ht="12.75" customHeight="1" x14ac:dyDescent="0.2">
      <c r="E749"/>
      <c r="J749"/>
    </row>
    <row r="750" spans="5:10" ht="12.75" customHeight="1" x14ac:dyDescent="0.2">
      <c r="E750"/>
      <c r="J750"/>
    </row>
    <row r="751" spans="5:10" ht="12.75" customHeight="1" x14ac:dyDescent="0.2">
      <c r="E751"/>
      <c r="J751"/>
    </row>
    <row r="752" spans="5:10" ht="12.75" customHeight="1" x14ac:dyDescent="0.2">
      <c r="E752"/>
      <c r="J752"/>
    </row>
    <row r="753" spans="5:10" ht="12.75" customHeight="1" x14ac:dyDescent="0.2">
      <c r="E753"/>
      <c r="J753"/>
    </row>
    <row r="754" spans="5:10" ht="12.75" customHeight="1" x14ac:dyDescent="0.2">
      <c r="E754"/>
      <c r="J754"/>
    </row>
    <row r="755" spans="5:10" ht="12.75" customHeight="1" x14ac:dyDescent="0.2">
      <c r="E755"/>
      <c r="J755"/>
    </row>
    <row r="756" spans="5:10" ht="12.75" customHeight="1" x14ac:dyDescent="0.2">
      <c r="E756"/>
      <c r="J756"/>
    </row>
    <row r="757" spans="5:10" ht="12.75" customHeight="1" x14ac:dyDescent="0.2">
      <c r="E757"/>
      <c r="J757"/>
    </row>
    <row r="758" spans="5:10" ht="12.75" customHeight="1" x14ac:dyDescent="0.2">
      <c r="E758"/>
      <c r="J758"/>
    </row>
    <row r="759" spans="5:10" ht="12.75" customHeight="1" x14ac:dyDescent="0.2">
      <c r="E759"/>
      <c r="J759"/>
    </row>
    <row r="760" spans="5:10" ht="12.75" customHeight="1" x14ac:dyDescent="0.2">
      <c r="E760"/>
      <c r="J760"/>
    </row>
    <row r="761" spans="5:10" ht="12.75" customHeight="1" x14ac:dyDescent="0.2">
      <c r="E761"/>
      <c r="J761"/>
    </row>
    <row r="762" spans="5:10" ht="12.75" customHeight="1" x14ac:dyDescent="0.2">
      <c r="E762"/>
      <c r="J762"/>
    </row>
    <row r="763" spans="5:10" ht="12.75" customHeight="1" x14ac:dyDescent="0.2">
      <c r="E763"/>
      <c r="J763"/>
    </row>
    <row r="764" spans="5:10" ht="12.75" customHeight="1" x14ac:dyDescent="0.2">
      <c r="E764"/>
      <c r="J764"/>
    </row>
    <row r="765" spans="5:10" ht="12.75" customHeight="1" x14ac:dyDescent="0.2">
      <c r="E765"/>
      <c r="J765"/>
    </row>
    <row r="766" spans="5:10" ht="12.75" customHeight="1" x14ac:dyDescent="0.2">
      <c r="E766"/>
      <c r="J766"/>
    </row>
    <row r="767" spans="5:10" ht="12.75" customHeight="1" x14ac:dyDescent="0.2">
      <c r="E767"/>
      <c r="J767"/>
    </row>
    <row r="768" spans="5:10" ht="12.75" customHeight="1" x14ac:dyDescent="0.2">
      <c r="E768"/>
      <c r="J768"/>
    </row>
    <row r="769" spans="5:10" ht="12.75" customHeight="1" x14ac:dyDescent="0.2">
      <c r="E769"/>
      <c r="J769"/>
    </row>
    <row r="770" spans="5:10" ht="12.75" customHeight="1" x14ac:dyDescent="0.2">
      <c r="E770"/>
      <c r="J770"/>
    </row>
    <row r="771" spans="5:10" ht="12.75" customHeight="1" x14ac:dyDescent="0.2">
      <c r="E771"/>
      <c r="J771"/>
    </row>
    <row r="772" spans="5:10" ht="12.75" customHeight="1" x14ac:dyDescent="0.2">
      <c r="E772"/>
      <c r="J772"/>
    </row>
    <row r="773" spans="5:10" ht="12.75" customHeight="1" x14ac:dyDescent="0.2">
      <c r="E773"/>
      <c r="J773"/>
    </row>
    <row r="774" spans="5:10" ht="12.75" customHeight="1" x14ac:dyDescent="0.2">
      <c r="E774"/>
      <c r="J774"/>
    </row>
    <row r="775" spans="5:10" ht="12.75" customHeight="1" x14ac:dyDescent="0.2">
      <c r="E775"/>
      <c r="J775"/>
    </row>
    <row r="776" spans="5:10" ht="12.75" customHeight="1" x14ac:dyDescent="0.2">
      <c r="E776"/>
      <c r="J776"/>
    </row>
    <row r="777" spans="5:10" ht="12.75" customHeight="1" x14ac:dyDescent="0.2">
      <c r="E777"/>
      <c r="J777"/>
    </row>
    <row r="778" spans="5:10" ht="12.75" customHeight="1" x14ac:dyDescent="0.2">
      <c r="E778"/>
      <c r="J778"/>
    </row>
    <row r="779" spans="5:10" ht="12.75" customHeight="1" x14ac:dyDescent="0.2">
      <c r="E779"/>
      <c r="J779"/>
    </row>
    <row r="780" spans="5:10" ht="12.75" customHeight="1" x14ac:dyDescent="0.2">
      <c r="E780"/>
      <c r="J780"/>
    </row>
    <row r="781" spans="5:10" ht="12.75" customHeight="1" x14ac:dyDescent="0.2">
      <c r="E781"/>
      <c r="J781"/>
    </row>
    <row r="782" spans="5:10" ht="12.75" customHeight="1" x14ac:dyDescent="0.2">
      <c r="E782"/>
      <c r="J782"/>
    </row>
    <row r="783" spans="5:10" ht="12.75" customHeight="1" x14ac:dyDescent="0.2">
      <c r="E783"/>
      <c r="J783"/>
    </row>
    <row r="784" spans="5:10" ht="12.75" customHeight="1" x14ac:dyDescent="0.2">
      <c r="E784"/>
      <c r="J784"/>
    </row>
    <row r="785" spans="5:10" ht="12.75" customHeight="1" x14ac:dyDescent="0.2">
      <c r="E785"/>
      <c r="J785"/>
    </row>
    <row r="786" spans="5:10" ht="12.75" customHeight="1" x14ac:dyDescent="0.2">
      <c r="E786"/>
      <c r="J786"/>
    </row>
    <row r="787" spans="5:10" ht="12.75" customHeight="1" x14ac:dyDescent="0.2">
      <c r="E787"/>
      <c r="J787"/>
    </row>
    <row r="788" spans="5:10" ht="12.75" customHeight="1" x14ac:dyDescent="0.2">
      <c r="E788"/>
      <c r="J788"/>
    </row>
    <row r="789" spans="5:10" ht="12.75" customHeight="1" x14ac:dyDescent="0.2">
      <c r="E789"/>
      <c r="J789"/>
    </row>
    <row r="790" spans="5:10" ht="12.75" customHeight="1" x14ac:dyDescent="0.2">
      <c r="E790"/>
      <c r="J790"/>
    </row>
    <row r="791" spans="5:10" ht="12.75" customHeight="1" x14ac:dyDescent="0.2">
      <c r="E791"/>
      <c r="J791"/>
    </row>
    <row r="792" spans="5:10" ht="12.75" customHeight="1" x14ac:dyDescent="0.2">
      <c r="E792"/>
      <c r="J792"/>
    </row>
    <row r="793" spans="5:10" ht="12.75" customHeight="1" x14ac:dyDescent="0.2">
      <c r="E793"/>
      <c r="J793"/>
    </row>
    <row r="794" spans="5:10" ht="12.75" customHeight="1" x14ac:dyDescent="0.2">
      <c r="E794"/>
      <c r="J794"/>
    </row>
    <row r="795" spans="5:10" ht="12.75" customHeight="1" x14ac:dyDescent="0.2">
      <c r="E795"/>
      <c r="J795"/>
    </row>
    <row r="796" spans="5:10" ht="12.75" customHeight="1" x14ac:dyDescent="0.2">
      <c r="E796"/>
      <c r="J796"/>
    </row>
    <row r="797" spans="5:10" ht="12.75" customHeight="1" x14ac:dyDescent="0.2">
      <c r="E797"/>
      <c r="J797"/>
    </row>
    <row r="798" spans="5:10" ht="12.75" customHeight="1" x14ac:dyDescent="0.2">
      <c r="E798"/>
      <c r="J798"/>
    </row>
    <row r="799" spans="5:10" ht="12.75" customHeight="1" x14ac:dyDescent="0.2">
      <c r="E799"/>
      <c r="J799"/>
    </row>
    <row r="800" spans="5:10" ht="12.75" customHeight="1" x14ac:dyDescent="0.2">
      <c r="E800"/>
      <c r="J800"/>
    </row>
    <row r="801" spans="5:10" ht="12.75" customHeight="1" x14ac:dyDescent="0.2">
      <c r="E801"/>
      <c r="J801"/>
    </row>
    <row r="802" spans="5:10" ht="12.75" customHeight="1" x14ac:dyDescent="0.2">
      <c r="E802"/>
      <c r="J802"/>
    </row>
    <row r="803" spans="5:10" ht="12.75" customHeight="1" x14ac:dyDescent="0.2">
      <c r="E803"/>
      <c r="J803"/>
    </row>
    <row r="804" spans="5:10" ht="12.75" customHeight="1" x14ac:dyDescent="0.2">
      <c r="E804"/>
      <c r="J804"/>
    </row>
    <row r="805" spans="5:10" ht="12.75" customHeight="1" x14ac:dyDescent="0.2">
      <c r="E805"/>
      <c r="J805"/>
    </row>
    <row r="806" spans="5:10" ht="12.75" customHeight="1" x14ac:dyDescent="0.2">
      <c r="E806"/>
      <c r="J806"/>
    </row>
    <row r="807" spans="5:10" ht="12.75" customHeight="1" x14ac:dyDescent="0.2">
      <c r="E807"/>
      <c r="J807"/>
    </row>
    <row r="808" spans="5:10" ht="12.75" customHeight="1" x14ac:dyDescent="0.2">
      <c r="E808"/>
      <c r="J808"/>
    </row>
    <row r="809" spans="5:10" ht="12.75" customHeight="1" x14ac:dyDescent="0.2">
      <c r="E809"/>
      <c r="J809"/>
    </row>
    <row r="810" spans="5:10" ht="12.75" customHeight="1" x14ac:dyDescent="0.2">
      <c r="E810"/>
      <c r="J810"/>
    </row>
    <row r="811" spans="5:10" ht="12.75" customHeight="1" x14ac:dyDescent="0.2">
      <c r="E811"/>
      <c r="J811"/>
    </row>
    <row r="812" spans="5:10" ht="12.75" customHeight="1" x14ac:dyDescent="0.2">
      <c r="E812"/>
      <c r="J812"/>
    </row>
    <row r="813" spans="5:10" ht="12.75" customHeight="1" x14ac:dyDescent="0.2">
      <c r="E813"/>
      <c r="J813"/>
    </row>
    <row r="814" spans="5:10" ht="12.75" customHeight="1" x14ac:dyDescent="0.2">
      <c r="E814"/>
      <c r="J814"/>
    </row>
    <row r="815" spans="5:10" ht="12.75" customHeight="1" x14ac:dyDescent="0.2">
      <c r="E815"/>
      <c r="J815"/>
    </row>
    <row r="816" spans="5:10" ht="12.75" customHeight="1" x14ac:dyDescent="0.2">
      <c r="E816"/>
      <c r="J816"/>
    </row>
    <row r="817" spans="5:10" ht="12.75" customHeight="1" x14ac:dyDescent="0.2">
      <c r="E817"/>
      <c r="J817"/>
    </row>
    <row r="818" spans="5:10" ht="12.75" customHeight="1" x14ac:dyDescent="0.2">
      <c r="E818"/>
      <c r="J818"/>
    </row>
    <row r="819" spans="5:10" ht="12.75" customHeight="1" x14ac:dyDescent="0.2">
      <c r="E819"/>
      <c r="J819"/>
    </row>
    <row r="820" spans="5:10" ht="12.75" customHeight="1" x14ac:dyDescent="0.2">
      <c r="E820"/>
      <c r="J820"/>
    </row>
    <row r="821" spans="5:10" ht="12.75" customHeight="1" x14ac:dyDescent="0.2">
      <c r="E821"/>
      <c r="J821"/>
    </row>
    <row r="822" spans="5:10" ht="12.75" customHeight="1" x14ac:dyDescent="0.2">
      <c r="E822"/>
      <c r="J822"/>
    </row>
    <row r="823" spans="5:10" ht="12.75" customHeight="1" x14ac:dyDescent="0.2">
      <c r="E823"/>
      <c r="J823"/>
    </row>
    <row r="824" spans="5:10" ht="12.75" customHeight="1" x14ac:dyDescent="0.2">
      <c r="E824"/>
      <c r="J824"/>
    </row>
    <row r="825" spans="5:10" ht="12.75" customHeight="1" x14ac:dyDescent="0.2">
      <c r="E825"/>
      <c r="J825"/>
    </row>
    <row r="826" spans="5:10" ht="12.75" customHeight="1" x14ac:dyDescent="0.2">
      <c r="E826"/>
      <c r="J826"/>
    </row>
    <row r="827" spans="5:10" ht="12.75" customHeight="1" x14ac:dyDescent="0.2">
      <c r="E827"/>
      <c r="J827"/>
    </row>
    <row r="828" spans="5:10" ht="12.75" customHeight="1" x14ac:dyDescent="0.2">
      <c r="E828"/>
      <c r="J828"/>
    </row>
    <row r="829" spans="5:10" ht="12.75" customHeight="1" x14ac:dyDescent="0.2">
      <c r="E829"/>
      <c r="J829"/>
    </row>
    <row r="830" spans="5:10" ht="12.75" customHeight="1" x14ac:dyDescent="0.2">
      <c r="E830"/>
      <c r="J830"/>
    </row>
    <row r="831" spans="5:10" ht="12.75" customHeight="1" x14ac:dyDescent="0.2">
      <c r="E831"/>
      <c r="J831"/>
    </row>
    <row r="832" spans="5:10" ht="12.75" customHeight="1" x14ac:dyDescent="0.2">
      <c r="E832"/>
      <c r="J832"/>
    </row>
    <row r="833" spans="5:10" ht="12.75" customHeight="1" x14ac:dyDescent="0.2">
      <c r="E833"/>
      <c r="J833"/>
    </row>
    <row r="834" spans="5:10" ht="12.75" customHeight="1" x14ac:dyDescent="0.2">
      <c r="E834"/>
      <c r="J834"/>
    </row>
    <row r="835" spans="5:10" ht="12.75" customHeight="1" x14ac:dyDescent="0.2">
      <c r="E835"/>
      <c r="J835"/>
    </row>
    <row r="836" spans="5:10" ht="12.75" customHeight="1" x14ac:dyDescent="0.2">
      <c r="E836"/>
      <c r="J836"/>
    </row>
    <row r="837" spans="5:10" ht="12.75" customHeight="1" x14ac:dyDescent="0.2">
      <c r="E837"/>
      <c r="J837"/>
    </row>
    <row r="838" spans="5:10" ht="12.75" customHeight="1" x14ac:dyDescent="0.2">
      <c r="E838"/>
      <c r="J838"/>
    </row>
    <row r="839" spans="5:10" ht="12.75" customHeight="1" x14ac:dyDescent="0.2">
      <c r="E839"/>
      <c r="J839"/>
    </row>
    <row r="840" spans="5:10" ht="12.75" customHeight="1" x14ac:dyDescent="0.2">
      <c r="E840"/>
      <c r="J840"/>
    </row>
    <row r="841" spans="5:10" ht="12.75" customHeight="1" x14ac:dyDescent="0.2">
      <c r="E841"/>
      <c r="J841"/>
    </row>
    <row r="842" spans="5:10" ht="12.75" customHeight="1" x14ac:dyDescent="0.2">
      <c r="E842"/>
      <c r="J842"/>
    </row>
    <row r="843" spans="5:10" ht="12.75" customHeight="1" x14ac:dyDescent="0.2">
      <c r="E843"/>
      <c r="J843"/>
    </row>
    <row r="844" spans="5:10" ht="12.75" customHeight="1" x14ac:dyDescent="0.2">
      <c r="E844"/>
      <c r="J844"/>
    </row>
    <row r="845" spans="5:10" ht="12.75" customHeight="1" x14ac:dyDescent="0.2">
      <c r="E845"/>
      <c r="J845"/>
    </row>
    <row r="846" spans="5:10" ht="12.75" customHeight="1" x14ac:dyDescent="0.2">
      <c r="E846"/>
      <c r="J846"/>
    </row>
    <row r="847" spans="5:10" ht="12.75" customHeight="1" x14ac:dyDescent="0.2">
      <c r="E847"/>
      <c r="J847"/>
    </row>
    <row r="848" spans="5:10" ht="12.75" customHeight="1" x14ac:dyDescent="0.2">
      <c r="E848"/>
      <c r="J848"/>
    </row>
    <row r="849" spans="5:10" ht="12.75" customHeight="1" x14ac:dyDescent="0.2">
      <c r="E849"/>
      <c r="J849"/>
    </row>
    <row r="850" spans="5:10" ht="12.75" customHeight="1" x14ac:dyDescent="0.2">
      <c r="E850"/>
      <c r="J850"/>
    </row>
    <row r="851" spans="5:10" ht="12.75" customHeight="1" x14ac:dyDescent="0.2">
      <c r="E851"/>
      <c r="J851"/>
    </row>
    <row r="852" spans="5:10" ht="12.75" customHeight="1" x14ac:dyDescent="0.2">
      <c r="E852"/>
      <c r="J852"/>
    </row>
    <row r="853" spans="5:10" ht="12.75" customHeight="1" x14ac:dyDescent="0.2">
      <c r="E853"/>
      <c r="J853"/>
    </row>
    <row r="854" spans="5:10" ht="12.75" customHeight="1" x14ac:dyDescent="0.2">
      <c r="E854"/>
      <c r="J854"/>
    </row>
    <row r="855" spans="5:10" ht="12.75" customHeight="1" x14ac:dyDescent="0.2">
      <c r="E855"/>
      <c r="J855"/>
    </row>
    <row r="856" spans="5:10" ht="12.75" customHeight="1" x14ac:dyDescent="0.2">
      <c r="E856"/>
      <c r="J856"/>
    </row>
    <row r="857" spans="5:10" ht="12.75" customHeight="1" x14ac:dyDescent="0.2">
      <c r="E857"/>
      <c r="J857"/>
    </row>
    <row r="858" spans="5:10" ht="12.75" customHeight="1" x14ac:dyDescent="0.2">
      <c r="E858"/>
      <c r="J858"/>
    </row>
    <row r="859" spans="5:10" ht="12.75" customHeight="1" x14ac:dyDescent="0.2">
      <c r="E859"/>
      <c r="J859"/>
    </row>
    <row r="860" spans="5:10" ht="12.75" customHeight="1" x14ac:dyDescent="0.2">
      <c r="E860"/>
      <c r="J860"/>
    </row>
    <row r="861" spans="5:10" ht="12.75" customHeight="1" x14ac:dyDescent="0.2">
      <c r="E861"/>
      <c r="J861"/>
    </row>
    <row r="862" spans="5:10" ht="12.75" customHeight="1" x14ac:dyDescent="0.2">
      <c r="E862"/>
      <c r="J862"/>
    </row>
    <row r="863" spans="5:10" ht="12.75" customHeight="1" x14ac:dyDescent="0.2">
      <c r="E863"/>
      <c r="J863"/>
    </row>
    <row r="864" spans="5:10" ht="12.75" customHeight="1" x14ac:dyDescent="0.2">
      <c r="E864"/>
      <c r="J864"/>
    </row>
    <row r="865" spans="5:10" ht="12.75" customHeight="1" x14ac:dyDescent="0.2">
      <c r="E865"/>
      <c r="J865"/>
    </row>
    <row r="866" spans="5:10" ht="12.75" customHeight="1" x14ac:dyDescent="0.2">
      <c r="E866"/>
      <c r="J866"/>
    </row>
    <row r="867" spans="5:10" ht="12.75" customHeight="1" x14ac:dyDescent="0.2">
      <c r="E867"/>
      <c r="J867"/>
    </row>
    <row r="868" spans="5:10" ht="12.75" customHeight="1" x14ac:dyDescent="0.2">
      <c r="E868"/>
      <c r="J868"/>
    </row>
    <row r="869" spans="5:10" ht="12.75" customHeight="1" x14ac:dyDescent="0.2">
      <c r="E869"/>
      <c r="J869"/>
    </row>
    <row r="870" spans="5:10" ht="12.75" customHeight="1" x14ac:dyDescent="0.2">
      <c r="E870"/>
      <c r="J870"/>
    </row>
    <row r="871" spans="5:10" ht="12.75" customHeight="1" x14ac:dyDescent="0.2">
      <c r="E871"/>
      <c r="J871"/>
    </row>
    <row r="872" spans="5:10" ht="12.75" customHeight="1" x14ac:dyDescent="0.2">
      <c r="E872"/>
      <c r="J872"/>
    </row>
    <row r="873" spans="5:10" ht="12.75" customHeight="1" x14ac:dyDescent="0.2">
      <c r="E873"/>
      <c r="J873"/>
    </row>
    <row r="874" spans="5:10" ht="12.75" customHeight="1" x14ac:dyDescent="0.2">
      <c r="E874"/>
      <c r="J874"/>
    </row>
    <row r="875" spans="5:10" ht="12.75" customHeight="1" x14ac:dyDescent="0.2">
      <c r="E875"/>
      <c r="J875"/>
    </row>
    <row r="876" spans="5:10" x14ac:dyDescent="0.2">
      <c r="E876"/>
      <c r="J876"/>
    </row>
    <row r="877" spans="5:10" x14ac:dyDescent="0.2">
      <c r="E877"/>
      <c r="J877"/>
    </row>
  </sheetData>
  <printOptions horizontalCentered="1"/>
  <pageMargins left="0.2" right="0.17" top="0.59055118110236227" bottom="0.55118110236220474" header="0.51181102362204722" footer="0.31496062992125984"/>
  <pageSetup paperSize="9" scale="69" fitToHeight="0" orientation="portrait" r:id="rId1"/>
  <headerFooter alignWithMargins="0">
    <oddHeader>&amp;C&amp;"Calibri"&amp;10&amp;K000000 IN CONFIDENCE&amp;1#_x000D_</oddHeader>
    <oddFooter>&amp;C&amp;8&amp;Z&amp;F&amp;A_x000D_&amp;1#&amp;"Calibri"&amp;10&amp;K000000 IN CONFIDENCE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65E9B-29FE-4905-BA38-844AC8535B1F}">
  <sheetPr>
    <tabColor rgb="FFFF0000"/>
  </sheetPr>
  <dimension ref="A1:AH849"/>
  <sheetViews>
    <sheetView topLeftCell="A24" workbookViewId="0">
      <selection activeCell="C32" sqref="C32"/>
    </sheetView>
  </sheetViews>
  <sheetFormatPr defaultRowHeight="12.75" x14ac:dyDescent="0.2"/>
  <cols>
    <col min="1" max="1" width="30" customWidth="1"/>
    <col min="2" max="2" width="13.42578125" customWidth="1"/>
    <col min="3" max="4" width="13.5703125" customWidth="1"/>
    <col min="5" max="5" width="13.42578125" style="14" customWidth="1"/>
    <col min="6" max="6" width="13.7109375" customWidth="1"/>
    <col min="7" max="7" width="13.28515625" customWidth="1"/>
    <col min="8" max="8" width="14.28515625" customWidth="1"/>
    <col min="9" max="9" width="13.42578125" customWidth="1"/>
    <col min="10" max="10" width="13.5703125" style="1" customWidth="1"/>
    <col min="11" max="11" width="12" customWidth="1"/>
    <col min="13" max="13" width="30" customWidth="1"/>
    <col min="14" max="14" width="13.42578125" customWidth="1"/>
    <col min="15" max="16" width="13.5703125" customWidth="1"/>
    <col min="17" max="17" width="13.42578125" style="14" customWidth="1"/>
    <col min="18" max="18" width="13.7109375" customWidth="1"/>
    <col min="19" max="19" width="13.28515625" customWidth="1"/>
    <col min="20" max="20" width="14.28515625" customWidth="1"/>
    <col min="21" max="21" width="13.42578125" customWidth="1"/>
    <col min="22" max="22" width="13.5703125" style="1" customWidth="1"/>
    <col min="23" max="23" width="12" customWidth="1"/>
  </cols>
  <sheetData>
    <row r="1" spans="1:34" s="4" customFormat="1" ht="15.75" x14ac:dyDescent="0.25">
      <c r="A1" s="143" t="s">
        <v>48</v>
      </c>
      <c r="B1" s="90"/>
      <c r="C1" s="90"/>
      <c r="D1" s="90"/>
      <c r="E1" s="90"/>
      <c r="F1" s="90"/>
      <c r="G1" s="90"/>
      <c r="H1" s="90"/>
      <c r="I1" s="90"/>
      <c r="J1" s="90"/>
      <c r="K1" s="90"/>
      <c r="M1" s="144" t="s">
        <v>49</v>
      </c>
      <c r="N1" s="145">
        <f>SUM(N10:N1048576)</f>
        <v>0</v>
      </c>
      <c r="O1" s="145">
        <f t="shared" ref="O1:W1" si="0">SUM(O10:O1048576)</f>
        <v>0</v>
      </c>
      <c r="P1" s="145">
        <f t="shared" si="0"/>
        <v>0</v>
      </c>
      <c r="Q1" s="145">
        <f t="shared" si="0"/>
        <v>0</v>
      </c>
      <c r="R1" s="145">
        <f t="shared" si="0"/>
        <v>0</v>
      </c>
      <c r="S1" s="145">
        <f t="shared" si="0"/>
        <v>0</v>
      </c>
      <c r="T1" s="145">
        <f t="shared" si="0"/>
        <v>0</v>
      </c>
      <c r="U1" s="145">
        <f t="shared" si="0"/>
        <v>0</v>
      </c>
      <c r="V1" s="145">
        <f t="shared" si="0"/>
        <v>0</v>
      </c>
      <c r="W1" s="145">
        <f t="shared" si="0"/>
        <v>0</v>
      </c>
    </row>
    <row r="2" spans="1:34" s="4" customFormat="1" ht="15.75" x14ac:dyDescent="0.25">
      <c r="A2" s="88" t="s">
        <v>1</v>
      </c>
      <c r="C2" s="6"/>
      <c r="D2" s="6"/>
      <c r="E2" s="6"/>
      <c r="F2" s="6"/>
      <c r="G2" s="6"/>
      <c r="I2" s="6"/>
      <c r="M2" s="88" t="s">
        <v>1</v>
      </c>
      <c r="O2" s="6"/>
      <c r="P2" s="6"/>
      <c r="Q2" s="6"/>
      <c r="R2" s="6"/>
      <c r="S2" s="6"/>
      <c r="U2" s="6"/>
    </row>
    <row r="3" spans="1:34" s="2" customFormat="1" ht="12.75" customHeight="1" x14ac:dyDescent="0.25">
      <c r="A3" s="1"/>
      <c r="B3" s="26"/>
      <c r="C3" s="27"/>
      <c r="D3" s="27"/>
      <c r="F3" s="1"/>
      <c r="G3" s="1"/>
      <c r="H3" s="73"/>
      <c r="I3" s="45"/>
      <c r="J3" s="46"/>
      <c r="K3" s="28"/>
      <c r="L3" s="4"/>
      <c r="M3" s="1"/>
      <c r="N3" s="26"/>
      <c r="O3" s="27"/>
      <c r="P3" s="27"/>
      <c r="R3" s="1"/>
      <c r="S3" s="1"/>
      <c r="T3" s="73"/>
      <c r="U3" s="45"/>
      <c r="V3" s="46"/>
      <c r="W3" s="28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</row>
    <row r="4" spans="1:34" s="2" customFormat="1" ht="12.75" customHeight="1" x14ac:dyDescent="0.25">
      <c r="A4" s="57"/>
      <c r="B4" s="39" t="s">
        <v>34</v>
      </c>
      <c r="C4" s="39"/>
      <c r="D4" s="40"/>
      <c r="E4" s="47"/>
      <c r="F4" s="39"/>
      <c r="G4" s="39"/>
      <c r="H4" s="48"/>
      <c r="I4" s="38"/>
      <c r="J4" s="49" t="s">
        <v>3</v>
      </c>
      <c r="K4" s="17" t="s">
        <v>23</v>
      </c>
      <c r="L4" s="4"/>
      <c r="M4" s="57"/>
      <c r="N4" s="39" t="s">
        <v>34</v>
      </c>
      <c r="O4" s="39"/>
      <c r="P4" s="40"/>
      <c r="Q4" s="47"/>
      <c r="R4" s="39"/>
      <c r="S4" s="39"/>
      <c r="T4" s="48"/>
      <c r="U4" s="38"/>
      <c r="V4" s="49" t="s">
        <v>3</v>
      </c>
      <c r="W4" s="17" t="s">
        <v>23</v>
      </c>
      <c r="X4" s="4"/>
      <c r="Y4" s="4"/>
      <c r="Z4" s="4"/>
      <c r="AA4" s="4"/>
      <c r="AB4" s="4"/>
      <c r="AC4" s="4"/>
      <c r="AD4" s="4"/>
      <c r="AE4" s="4"/>
      <c r="AF4" s="4"/>
      <c r="AG4" s="4"/>
      <c r="AH4" s="4"/>
    </row>
    <row r="5" spans="1:34" s="2" customFormat="1" ht="12.75" customHeight="1" x14ac:dyDescent="0.25">
      <c r="A5" s="57"/>
      <c r="B5" s="51" t="s">
        <v>24</v>
      </c>
      <c r="C5" s="55"/>
      <c r="D5" s="56"/>
      <c r="E5" s="53" t="s">
        <v>7</v>
      </c>
      <c r="F5" s="16" t="s">
        <v>8</v>
      </c>
      <c r="G5" s="16" t="s">
        <v>25</v>
      </c>
      <c r="H5" s="54" t="s">
        <v>26</v>
      </c>
      <c r="I5" s="54" t="s">
        <v>2</v>
      </c>
      <c r="J5" s="49" t="s">
        <v>27</v>
      </c>
      <c r="K5" s="17" t="s">
        <v>6</v>
      </c>
      <c r="L5" s="4"/>
      <c r="M5" s="57"/>
      <c r="N5" s="51" t="s">
        <v>24</v>
      </c>
      <c r="O5" s="55"/>
      <c r="P5" s="56"/>
      <c r="Q5" s="53" t="s">
        <v>7</v>
      </c>
      <c r="R5" s="16" t="s">
        <v>8</v>
      </c>
      <c r="S5" s="16" t="s">
        <v>25</v>
      </c>
      <c r="T5" s="54" t="s">
        <v>26</v>
      </c>
      <c r="U5" s="54" t="s">
        <v>2</v>
      </c>
      <c r="V5" s="49" t="s">
        <v>27</v>
      </c>
      <c r="W5" s="17" t="s">
        <v>6</v>
      </c>
      <c r="X5" s="4"/>
      <c r="Y5" s="4"/>
      <c r="Z5" s="4"/>
      <c r="AA5" s="4"/>
      <c r="AB5" s="4"/>
      <c r="AC5" s="4"/>
      <c r="AD5" s="4"/>
      <c r="AE5" s="4"/>
      <c r="AF5" s="4"/>
      <c r="AG5" s="4"/>
      <c r="AH5" s="4"/>
    </row>
    <row r="6" spans="1:34" s="2" customFormat="1" ht="12.75" customHeight="1" x14ac:dyDescent="0.25">
      <c r="A6" s="57"/>
      <c r="B6" s="40"/>
      <c r="C6" s="40"/>
      <c r="D6" s="41"/>
      <c r="E6" s="17" t="s">
        <v>11</v>
      </c>
      <c r="F6" s="17" t="s">
        <v>35</v>
      </c>
      <c r="G6" s="17" t="s">
        <v>28</v>
      </c>
      <c r="H6" s="57" t="s">
        <v>3</v>
      </c>
      <c r="I6" s="57" t="s">
        <v>4</v>
      </c>
      <c r="J6" s="49" t="s">
        <v>28</v>
      </c>
      <c r="K6" s="17" t="s">
        <v>29</v>
      </c>
      <c r="L6" s="4"/>
      <c r="M6" s="57"/>
      <c r="N6" s="40"/>
      <c r="O6" s="40"/>
      <c r="P6" s="41"/>
      <c r="Q6" s="17" t="s">
        <v>11</v>
      </c>
      <c r="R6" s="17" t="s">
        <v>35</v>
      </c>
      <c r="S6" s="17" t="s">
        <v>28</v>
      </c>
      <c r="T6" s="57" t="s">
        <v>3</v>
      </c>
      <c r="U6" s="57" t="s">
        <v>4</v>
      </c>
      <c r="V6" s="49" t="s">
        <v>28</v>
      </c>
      <c r="W6" s="17" t="s">
        <v>29</v>
      </c>
      <c r="X6" s="4"/>
      <c r="Y6" s="4"/>
      <c r="Z6" s="4"/>
      <c r="AA6" s="4"/>
      <c r="AB6" s="4"/>
      <c r="AC6" s="4"/>
      <c r="AD6" s="4"/>
      <c r="AE6" s="4"/>
      <c r="AF6" s="4"/>
      <c r="AG6" s="4"/>
      <c r="AH6" s="4"/>
    </row>
    <row r="7" spans="1:34" s="2" customFormat="1" ht="12.75" customHeight="1" x14ac:dyDescent="0.25">
      <c r="A7" s="57"/>
      <c r="B7" s="22" t="s">
        <v>30</v>
      </c>
      <c r="C7" s="22" t="s">
        <v>31</v>
      </c>
      <c r="D7" s="19" t="s">
        <v>3</v>
      </c>
      <c r="E7" s="17" t="s">
        <v>16</v>
      </c>
      <c r="F7" s="17" t="s">
        <v>36</v>
      </c>
      <c r="G7" s="17" t="s">
        <v>32</v>
      </c>
      <c r="H7" s="57"/>
      <c r="I7" s="57" t="s">
        <v>3</v>
      </c>
      <c r="J7" s="49" t="s">
        <v>32</v>
      </c>
      <c r="K7" s="17" t="s">
        <v>32</v>
      </c>
      <c r="L7" s="4"/>
      <c r="M7" s="57"/>
      <c r="N7" s="22" t="s">
        <v>30</v>
      </c>
      <c r="O7" s="22" t="s">
        <v>31</v>
      </c>
      <c r="P7" s="19" t="s">
        <v>3</v>
      </c>
      <c r="Q7" s="17" t="s">
        <v>16</v>
      </c>
      <c r="R7" s="17" t="s">
        <v>36</v>
      </c>
      <c r="S7" s="17" t="s">
        <v>32</v>
      </c>
      <c r="T7" s="57"/>
      <c r="U7" s="57" t="s">
        <v>3</v>
      </c>
      <c r="V7" s="49" t="s">
        <v>32</v>
      </c>
      <c r="W7" s="17" t="s">
        <v>32</v>
      </c>
      <c r="X7" s="4"/>
      <c r="Y7" s="4"/>
      <c r="Z7" s="4"/>
      <c r="AA7" s="4"/>
      <c r="AB7" s="4"/>
      <c r="AC7" s="4"/>
      <c r="AD7" s="4"/>
      <c r="AE7" s="4"/>
      <c r="AF7" s="4"/>
      <c r="AG7" s="4"/>
      <c r="AH7" s="4"/>
    </row>
    <row r="8" spans="1:34" s="2" customFormat="1" ht="12.75" customHeight="1" x14ac:dyDescent="0.25">
      <c r="A8" s="112"/>
      <c r="B8" s="58"/>
      <c r="C8" s="24" t="s">
        <v>33</v>
      </c>
      <c r="D8" s="25"/>
      <c r="E8" s="18"/>
      <c r="F8" s="18"/>
      <c r="G8" s="18"/>
      <c r="H8" s="15"/>
      <c r="I8" s="15"/>
      <c r="J8" s="59"/>
      <c r="K8" s="18"/>
      <c r="L8" s="4"/>
      <c r="M8" s="112"/>
      <c r="N8" s="58"/>
      <c r="O8" s="24" t="s">
        <v>33</v>
      </c>
      <c r="P8" s="25"/>
      <c r="Q8" s="18"/>
      <c r="R8" s="18"/>
      <c r="S8" s="18"/>
      <c r="T8" s="15"/>
      <c r="U8" s="15"/>
      <c r="V8" s="59"/>
      <c r="W8" s="18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</row>
    <row r="9" spans="1:34" s="12" customFormat="1" ht="12.75" customHeight="1" x14ac:dyDescent="0.25">
      <c r="A9" s="111"/>
      <c r="B9" s="62"/>
      <c r="C9" s="66"/>
      <c r="D9" s="62"/>
      <c r="E9" s="63"/>
      <c r="F9" s="65"/>
      <c r="G9" s="66"/>
      <c r="H9" s="64"/>
      <c r="I9" s="64"/>
      <c r="J9" s="63"/>
      <c r="K9" s="67"/>
      <c r="L9" s="1"/>
      <c r="M9" s="111"/>
      <c r="N9" s="62"/>
      <c r="O9" s="66"/>
      <c r="P9" s="62"/>
      <c r="Q9" s="63"/>
      <c r="R9" s="65"/>
      <c r="S9" s="66"/>
      <c r="T9" s="64"/>
      <c r="U9" s="64"/>
      <c r="V9" s="63"/>
      <c r="W9" s="67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</row>
    <row r="10" spans="1:34" s="14" customFormat="1" ht="12.75" customHeight="1" x14ac:dyDescent="0.25">
      <c r="A10" s="110">
        <v>36586</v>
      </c>
      <c r="B10" s="113">
        <v>1829</v>
      </c>
      <c r="C10" s="114">
        <v>410</v>
      </c>
      <c r="D10" s="114">
        <v>2239</v>
      </c>
      <c r="E10" s="114">
        <v>841</v>
      </c>
      <c r="F10" s="114">
        <v>17</v>
      </c>
      <c r="G10" s="114">
        <v>-27</v>
      </c>
      <c r="H10" s="114">
        <v>3070</v>
      </c>
      <c r="I10" s="114">
        <v>4809</v>
      </c>
      <c r="J10" s="114">
        <v>7879</v>
      </c>
      <c r="K10" s="114">
        <v>429</v>
      </c>
      <c r="L10" s="69"/>
      <c r="M10" s="110">
        <v>36586</v>
      </c>
      <c r="N10" s="113">
        <f>Treasury!B10-'Check Treasury Past'!B10</f>
        <v>0</v>
      </c>
      <c r="O10" s="113">
        <f>Treasury!C10-'Check Treasury Past'!C10</f>
        <v>0</v>
      </c>
      <c r="P10" s="113">
        <f>Treasury!D10-'Check Treasury Past'!D10</f>
        <v>0</v>
      </c>
      <c r="Q10" s="113">
        <f>Treasury!E10-'Check Treasury Past'!E10</f>
        <v>0</v>
      </c>
      <c r="R10" s="113">
        <f>Treasury!F10-'Check Treasury Past'!F10</f>
        <v>0</v>
      </c>
      <c r="S10" s="113">
        <f>Treasury!G10-'Check Treasury Past'!G10</f>
        <v>0</v>
      </c>
      <c r="T10" s="113">
        <f>Treasury!H10-'Check Treasury Past'!H10</f>
        <v>0</v>
      </c>
      <c r="U10" s="113">
        <f>Treasury!I10-'Check Treasury Past'!I10</f>
        <v>0</v>
      </c>
      <c r="V10" s="113">
        <f>Treasury!J10-'Check Treasury Past'!J10</f>
        <v>0</v>
      </c>
      <c r="W10" s="113">
        <f>Treasury!K10-'Check Treasury Past'!K10</f>
        <v>0</v>
      </c>
      <c r="X10" s="4"/>
      <c r="Y10" s="4"/>
      <c r="Z10" s="4"/>
    </row>
    <row r="11" spans="1:34" s="14" customFormat="1" ht="12.75" customHeight="1" x14ac:dyDescent="0.25">
      <c r="A11" s="110">
        <v>36617</v>
      </c>
      <c r="B11" s="113">
        <v>2028</v>
      </c>
      <c r="C11" s="114">
        <v>195</v>
      </c>
      <c r="D11" s="114">
        <v>2223</v>
      </c>
      <c r="E11" s="114">
        <v>842</v>
      </c>
      <c r="F11" s="114">
        <v>17</v>
      </c>
      <c r="G11" s="114">
        <v>-9</v>
      </c>
      <c r="H11" s="114">
        <v>3073</v>
      </c>
      <c r="I11" s="114">
        <v>4798</v>
      </c>
      <c r="J11" s="114">
        <v>7871</v>
      </c>
      <c r="K11" s="114">
        <v>258</v>
      </c>
      <c r="L11" s="69"/>
      <c r="M11" s="110">
        <v>36617</v>
      </c>
      <c r="N11" s="113">
        <f>Treasury!B11-'Check Treasury Past'!B11</f>
        <v>0</v>
      </c>
      <c r="O11" s="113">
        <f>Treasury!C11-'Check Treasury Past'!C11</f>
        <v>0</v>
      </c>
      <c r="P11" s="113">
        <f>Treasury!D11-'Check Treasury Past'!D11</f>
        <v>0</v>
      </c>
      <c r="Q11" s="113">
        <f>Treasury!E11-'Check Treasury Past'!E11</f>
        <v>0</v>
      </c>
      <c r="R11" s="113">
        <f>Treasury!F11-'Check Treasury Past'!F11</f>
        <v>0</v>
      </c>
      <c r="S11" s="113">
        <f>Treasury!G11-'Check Treasury Past'!G11</f>
        <v>0</v>
      </c>
      <c r="T11" s="113">
        <f>Treasury!H11-'Check Treasury Past'!H11</f>
        <v>0</v>
      </c>
      <c r="U11" s="113">
        <f>Treasury!I11-'Check Treasury Past'!I11</f>
        <v>0</v>
      </c>
      <c r="V11" s="113">
        <f>Treasury!J11-'Check Treasury Past'!J11</f>
        <v>0</v>
      </c>
      <c r="W11" s="113">
        <f>Treasury!K11-'Check Treasury Past'!K11</f>
        <v>0</v>
      </c>
      <c r="X11" s="4"/>
      <c r="Y11" s="4"/>
      <c r="Z11" s="4"/>
    </row>
    <row r="12" spans="1:34" s="14" customFormat="1" ht="12.75" customHeight="1" x14ac:dyDescent="0.2">
      <c r="A12" s="110">
        <v>36647</v>
      </c>
      <c r="B12" s="113">
        <v>2017</v>
      </c>
      <c r="C12" s="114">
        <v>176</v>
      </c>
      <c r="D12" s="114">
        <v>2193</v>
      </c>
      <c r="E12" s="114">
        <v>784</v>
      </c>
      <c r="F12" s="114">
        <v>24</v>
      </c>
      <c r="G12" s="114">
        <v>-29</v>
      </c>
      <c r="H12" s="114">
        <v>2972</v>
      </c>
      <c r="I12" s="114">
        <v>4858</v>
      </c>
      <c r="J12" s="114">
        <v>7830</v>
      </c>
      <c r="K12" s="114">
        <v>225</v>
      </c>
      <c r="L12" s="79"/>
      <c r="M12" s="110">
        <v>36647</v>
      </c>
      <c r="N12" s="113">
        <f>Treasury!B12-'Check Treasury Past'!B12</f>
        <v>0</v>
      </c>
      <c r="O12" s="113">
        <f>Treasury!C12-'Check Treasury Past'!C12</f>
        <v>0</v>
      </c>
      <c r="P12" s="113">
        <f>Treasury!D12-'Check Treasury Past'!D12</f>
        <v>0</v>
      </c>
      <c r="Q12" s="113">
        <f>Treasury!E12-'Check Treasury Past'!E12</f>
        <v>0</v>
      </c>
      <c r="R12" s="113">
        <f>Treasury!F12-'Check Treasury Past'!F12</f>
        <v>0</v>
      </c>
      <c r="S12" s="113">
        <f>Treasury!G12-'Check Treasury Past'!G12</f>
        <v>0</v>
      </c>
      <c r="T12" s="113">
        <f>Treasury!H12-'Check Treasury Past'!H12</f>
        <v>0</v>
      </c>
      <c r="U12" s="113">
        <f>Treasury!I12-'Check Treasury Past'!I12</f>
        <v>0</v>
      </c>
      <c r="V12" s="113">
        <f>Treasury!J12-'Check Treasury Past'!J12</f>
        <v>0</v>
      </c>
      <c r="W12" s="113">
        <f>Treasury!K12-'Check Treasury Past'!K12</f>
        <v>0</v>
      </c>
      <c r="X12" s="80"/>
      <c r="Y12" s="80"/>
      <c r="Z12" s="80"/>
    </row>
    <row r="13" spans="1:34" s="14" customFormat="1" ht="12.75" customHeight="1" x14ac:dyDescent="0.2">
      <c r="A13" s="110">
        <v>36678</v>
      </c>
      <c r="B13" s="113">
        <v>2180</v>
      </c>
      <c r="C13" s="114">
        <v>160</v>
      </c>
      <c r="D13" s="114">
        <v>2340</v>
      </c>
      <c r="E13" s="114">
        <v>761</v>
      </c>
      <c r="F13" s="114">
        <v>24</v>
      </c>
      <c r="G13" s="114">
        <v>-25</v>
      </c>
      <c r="H13" s="114">
        <v>3100</v>
      </c>
      <c r="I13" s="114">
        <v>4673</v>
      </c>
      <c r="J13" s="114">
        <v>7773</v>
      </c>
      <c r="K13" s="114">
        <v>225</v>
      </c>
      <c r="L13" s="79"/>
      <c r="M13" s="110">
        <v>36678</v>
      </c>
      <c r="N13" s="113">
        <f>Treasury!B13-'Check Treasury Past'!B13</f>
        <v>0</v>
      </c>
      <c r="O13" s="113">
        <f>Treasury!C13-'Check Treasury Past'!C13</f>
        <v>0</v>
      </c>
      <c r="P13" s="113">
        <f>Treasury!D13-'Check Treasury Past'!D13</f>
        <v>0</v>
      </c>
      <c r="Q13" s="113">
        <f>Treasury!E13-'Check Treasury Past'!E13</f>
        <v>0</v>
      </c>
      <c r="R13" s="113">
        <f>Treasury!F13-'Check Treasury Past'!F13</f>
        <v>0</v>
      </c>
      <c r="S13" s="113">
        <f>Treasury!G13-'Check Treasury Past'!G13</f>
        <v>0</v>
      </c>
      <c r="T13" s="113">
        <f>Treasury!H13-'Check Treasury Past'!H13</f>
        <v>0</v>
      </c>
      <c r="U13" s="113">
        <f>Treasury!I13-'Check Treasury Past'!I13</f>
        <v>0</v>
      </c>
      <c r="V13" s="113">
        <f>Treasury!J13-'Check Treasury Past'!J13</f>
        <v>0</v>
      </c>
      <c r="W13" s="113">
        <f>Treasury!K13-'Check Treasury Past'!K13</f>
        <v>0</v>
      </c>
      <c r="X13" s="80"/>
      <c r="Y13" s="80"/>
      <c r="Z13" s="80"/>
    </row>
    <row r="14" spans="1:34" s="14" customFormat="1" ht="12.75" customHeight="1" x14ac:dyDescent="0.2">
      <c r="A14" s="110">
        <v>36708</v>
      </c>
      <c r="B14" s="113">
        <v>2240</v>
      </c>
      <c r="C14" s="114">
        <v>156</v>
      </c>
      <c r="D14" s="114">
        <v>2396</v>
      </c>
      <c r="E14" s="114">
        <v>772</v>
      </c>
      <c r="F14" s="114">
        <v>25</v>
      </c>
      <c r="G14" s="114">
        <v>-17</v>
      </c>
      <c r="H14" s="114">
        <v>3176</v>
      </c>
      <c r="I14" s="114">
        <v>4546</v>
      </c>
      <c r="J14" s="114">
        <v>7722</v>
      </c>
      <c r="K14" s="114">
        <v>187</v>
      </c>
      <c r="L14" s="79"/>
      <c r="M14" s="110">
        <v>36708</v>
      </c>
      <c r="N14" s="113">
        <f>Treasury!B14-'Check Treasury Past'!B14</f>
        <v>0</v>
      </c>
      <c r="O14" s="113">
        <f>Treasury!C14-'Check Treasury Past'!C14</f>
        <v>0</v>
      </c>
      <c r="P14" s="113">
        <f>Treasury!D14-'Check Treasury Past'!D14</f>
        <v>0</v>
      </c>
      <c r="Q14" s="113">
        <f>Treasury!E14-'Check Treasury Past'!E14</f>
        <v>0</v>
      </c>
      <c r="R14" s="113">
        <f>Treasury!F14-'Check Treasury Past'!F14</f>
        <v>0</v>
      </c>
      <c r="S14" s="113">
        <f>Treasury!G14-'Check Treasury Past'!G14</f>
        <v>0</v>
      </c>
      <c r="T14" s="113">
        <f>Treasury!H14-'Check Treasury Past'!H14</f>
        <v>0</v>
      </c>
      <c r="U14" s="113">
        <f>Treasury!I14-'Check Treasury Past'!I14</f>
        <v>0</v>
      </c>
      <c r="V14" s="113">
        <f>Treasury!J14-'Check Treasury Past'!J14</f>
        <v>0</v>
      </c>
      <c r="W14" s="113">
        <f>Treasury!K14-'Check Treasury Past'!K14</f>
        <v>0</v>
      </c>
      <c r="X14" s="80"/>
      <c r="Y14" s="80"/>
      <c r="Z14" s="80"/>
    </row>
    <row r="15" spans="1:34" s="14" customFormat="1" ht="12.75" customHeight="1" x14ac:dyDescent="0.2">
      <c r="A15" s="110">
        <v>36739</v>
      </c>
      <c r="B15" s="113">
        <v>2400</v>
      </c>
      <c r="C15" s="114">
        <v>289</v>
      </c>
      <c r="D15" s="114">
        <v>2689</v>
      </c>
      <c r="E15" s="114">
        <v>760</v>
      </c>
      <c r="F15" s="114">
        <v>28</v>
      </c>
      <c r="G15" s="114">
        <v>-57</v>
      </c>
      <c r="H15" s="114">
        <v>3420</v>
      </c>
      <c r="I15" s="114">
        <v>4992</v>
      </c>
      <c r="J15" s="114">
        <v>8412</v>
      </c>
      <c r="K15" s="114">
        <v>290</v>
      </c>
      <c r="L15" s="79"/>
      <c r="M15" s="110">
        <v>36739</v>
      </c>
      <c r="N15" s="113">
        <f>Treasury!B15-'Check Treasury Past'!B15</f>
        <v>0</v>
      </c>
      <c r="O15" s="113">
        <f>Treasury!C15-'Check Treasury Past'!C15</f>
        <v>0</v>
      </c>
      <c r="P15" s="113">
        <f>Treasury!D15-'Check Treasury Past'!D15</f>
        <v>0</v>
      </c>
      <c r="Q15" s="113">
        <f>Treasury!E15-'Check Treasury Past'!E15</f>
        <v>0</v>
      </c>
      <c r="R15" s="113">
        <f>Treasury!F15-'Check Treasury Past'!F15</f>
        <v>0</v>
      </c>
      <c r="S15" s="113">
        <f>Treasury!G15-'Check Treasury Past'!G15</f>
        <v>0</v>
      </c>
      <c r="T15" s="113">
        <f>Treasury!H15-'Check Treasury Past'!H15</f>
        <v>0</v>
      </c>
      <c r="U15" s="113">
        <f>Treasury!I15-'Check Treasury Past'!I15</f>
        <v>0</v>
      </c>
      <c r="V15" s="113">
        <f>Treasury!J15-'Check Treasury Past'!J15</f>
        <v>0</v>
      </c>
      <c r="W15" s="113">
        <f>Treasury!K15-'Check Treasury Past'!K15</f>
        <v>0</v>
      </c>
      <c r="X15" s="80"/>
      <c r="Y15" s="80"/>
      <c r="Z15" s="80"/>
    </row>
    <row r="16" spans="1:34" s="14" customFormat="1" ht="12.75" customHeight="1" x14ac:dyDescent="0.2">
      <c r="A16" s="110">
        <v>36770</v>
      </c>
      <c r="B16" s="113">
        <v>2402</v>
      </c>
      <c r="C16" s="114">
        <v>326</v>
      </c>
      <c r="D16" s="114">
        <v>2728</v>
      </c>
      <c r="E16" s="114">
        <v>799</v>
      </c>
      <c r="F16" s="114">
        <v>30</v>
      </c>
      <c r="G16" s="114">
        <v>-81</v>
      </c>
      <c r="H16" s="114">
        <v>3476</v>
      </c>
      <c r="I16" s="114">
        <v>5237</v>
      </c>
      <c r="J16" s="114">
        <v>8713</v>
      </c>
      <c r="K16" s="114">
        <v>454</v>
      </c>
      <c r="L16" s="79"/>
      <c r="M16" s="110">
        <v>36770</v>
      </c>
      <c r="N16" s="113">
        <f>Treasury!B16-'Check Treasury Past'!B16</f>
        <v>0</v>
      </c>
      <c r="O16" s="113">
        <f>Treasury!C16-'Check Treasury Past'!C16</f>
        <v>0</v>
      </c>
      <c r="P16" s="113">
        <f>Treasury!D16-'Check Treasury Past'!D16</f>
        <v>0</v>
      </c>
      <c r="Q16" s="113">
        <f>Treasury!E16-'Check Treasury Past'!E16</f>
        <v>0</v>
      </c>
      <c r="R16" s="113">
        <f>Treasury!F16-'Check Treasury Past'!F16</f>
        <v>0</v>
      </c>
      <c r="S16" s="113">
        <f>Treasury!G16-'Check Treasury Past'!G16</f>
        <v>0</v>
      </c>
      <c r="T16" s="113">
        <f>Treasury!H16-'Check Treasury Past'!H16</f>
        <v>0</v>
      </c>
      <c r="U16" s="113">
        <f>Treasury!I16-'Check Treasury Past'!I16</f>
        <v>0</v>
      </c>
      <c r="V16" s="113">
        <f>Treasury!J16-'Check Treasury Past'!J16</f>
        <v>0</v>
      </c>
      <c r="W16" s="113">
        <f>Treasury!K16-'Check Treasury Past'!K16</f>
        <v>0</v>
      </c>
      <c r="X16" s="80"/>
      <c r="Y16" s="80"/>
      <c r="Z16" s="80"/>
    </row>
    <row r="17" spans="1:26" s="14" customFormat="1" ht="12.75" customHeight="1" x14ac:dyDescent="0.2">
      <c r="A17" s="110">
        <v>36800</v>
      </c>
      <c r="B17" s="113">
        <v>2592</v>
      </c>
      <c r="C17" s="114">
        <v>726</v>
      </c>
      <c r="D17" s="114">
        <v>3318</v>
      </c>
      <c r="E17" s="114">
        <v>810</v>
      </c>
      <c r="F17" s="114">
        <v>30</v>
      </c>
      <c r="G17" s="114">
        <v>-91</v>
      </c>
      <c r="H17" s="114">
        <v>4067</v>
      </c>
      <c r="I17" s="114">
        <v>5323</v>
      </c>
      <c r="J17" s="114">
        <v>9390</v>
      </c>
      <c r="K17" s="114">
        <v>269</v>
      </c>
      <c r="L17" s="79"/>
      <c r="M17" s="110">
        <v>36800</v>
      </c>
      <c r="N17" s="113">
        <f>Treasury!B17-'Check Treasury Past'!B17</f>
        <v>0</v>
      </c>
      <c r="O17" s="113">
        <f>Treasury!C17-'Check Treasury Past'!C17</f>
        <v>0</v>
      </c>
      <c r="P17" s="113">
        <f>Treasury!D17-'Check Treasury Past'!D17</f>
        <v>0</v>
      </c>
      <c r="Q17" s="113">
        <f>Treasury!E17-'Check Treasury Past'!E17</f>
        <v>0</v>
      </c>
      <c r="R17" s="113">
        <f>Treasury!F17-'Check Treasury Past'!F17</f>
        <v>0</v>
      </c>
      <c r="S17" s="113">
        <f>Treasury!G17-'Check Treasury Past'!G17</f>
        <v>0</v>
      </c>
      <c r="T17" s="113">
        <f>Treasury!H17-'Check Treasury Past'!H17</f>
        <v>0</v>
      </c>
      <c r="U17" s="113">
        <f>Treasury!I17-'Check Treasury Past'!I17</f>
        <v>0</v>
      </c>
      <c r="V17" s="113">
        <f>Treasury!J17-'Check Treasury Past'!J17</f>
        <v>0</v>
      </c>
      <c r="W17" s="113">
        <f>Treasury!K17-'Check Treasury Past'!K17</f>
        <v>0</v>
      </c>
      <c r="X17" s="80"/>
      <c r="Y17" s="80"/>
      <c r="Z17" s="80"/>
    </row>
    <row r="18" spans="1:26" s="14" customFormat="1" ht="12.75" customHeight="1" x14ac:dyDescent="0.2">
      <c r="A18" s="110">
        <v>36831</v>
      </c>
      <c r="B18" s="113">
        <v>2732</v>
      </c>
      <c r="C18" s="114">
        <v>431</v>
      </c>
      <c r="D18" s="114">
        <v>3163</v>
      </c>
      <c r="E18" s="114">
        <v>779</v>
      </c>
      <c r="F18" s="114">
        <v>32</v>
      </c>
      <c r="G18" s="114">
        <v>-74</v>
      </c>
      <c r="H18" s="114">
        <v>3900</v>
      </c>
      <c r="I18" s="114">
        <v>5275</v>
      </c>
      <c r="J18" s="114">
        <v>9175</v>
      </c>
      <c r="K18" s="114">
        <v>313</v>
      </c>
      <c r="L18" s="79"/>
      <c r="M18" s="110">
        <v>36831</v>
      </c>
      <c r="N18" s="113">
        <f>Treasury!B18-'Check Treasury Past'!B18</f>
        <v>0</v>
      </c>
      <c r="O18" s="113">
        <f>Treasury!C18-'Check Treasury Past'!C18</f>
        <v>0</v>
      </c>
      <c r="P18" s="113">
        <f>Treasury!D18-'Check Treasury Past'!D18</f>
        <v>0</v>
      </c>
      <c r="Q18" s="113">
        <f>Treasury!E18-'Check Treasury Past'!E18</f>
        <v>0</v>
      </c>
      <c r="R18" s="113">
        <f>Treasury!F18-'Check Treasury Past'!F18</f>
        <v>0</v>
      </c>
      <c r="S18" s="113">
        <f>Treasury!G18-'Check Treasury Past'!G18</f>
        <v>0</v>
      </c>
      <c r="T18" s="113">
        <f>Treasury!H18-'Check Treasury Past'!H18</f>
        <v>0</v>
      </c>
      <c r="U18" s="113">
        <f>Treasury!I18-'Check Treasury Past'!I18</f>
        <v>0</v>
      </c>
      <c r="V18" s="113">
        <f>Treasury!J18-'Check Treasury Past'!J18</f>
        <v>0</v>
      </c>
      <c r="W18" s="113">
        <f>Treasury!K18-'Check Treasury Past'!K18</f>
        <v>0</v>
      </c>
      <c r="X18" s="80"/>
      <c r="Y18" s="80"/>
      <c r="Z18" s="80"/>
    </row>
    <row r="19" spans="1:26" s="14" customFormat="1" ht="12.75" customHeight="1" x14ac:dyDescent="0.2">
      <c r="A19" s="110">
        <v>36861</v>
      </c>
      <c r="B19" s="113">
        <v>2483</v>
      </c>
      <c r="C19" s="114">
        <v>485</v>
      </c>
      <c r="D19" s="114">
        <v>2968</v>
      </c>
      <c r="E19" s="114">
        <v>731</v>
      </c>
      <c r="F19" s="114">
        <v>30</v>
      </c>
      <c r="G19" s="114">
        <v>-34</v>
      </c>
      <c r="H19" s="114">
        <v>3695</v>
      </c>
      <c r="I19" s="114">
        <v>5288</v>
      </c>
      <c r="J19" s="114">
        <v>8983</v>
      </c>
      <c r="K19" s="114">
        <v>278</v>
      </c>
      <c r="L19" s="79"/>
      <c r="M19" s="110">
        <v>36861</v>
      </c>
      <c r="N19" s="113">
        <f>Treasury!B19-'Check Treasury Past'!B19</f>
        <v>0</v>
      </c>
      <c r="O19" s="113">
        <f>Treasury!C19-'Check Treasury Past'!C19</f>
        <v>0</v>
      </c>
      <c r="P19" s="113">
        <f>Treasury!D19-'Check Treasury Past'!D19</f>
        <v>0</v>
      </c>
      <c r="Q19" s="113">
        <f>Treasury!E19-'Check Treasury Past'!E19</f>
        <v>0</v>
      </c>
      <c r="R19" s="113">
        <f>Treasury!F19-'Check Treasury Past'!F19</f>
        <v>0</v>
      </c>
      <c r="S19" s="113">
        <f>Treasury!G19-'Check Treasury Past'!G19</f>
        <v>0</v>
      </c>
      <c r="T19" s="113">
        <f>Treasury!H19-'Check Treasury Past'!H19</f>
        <v>0</v>
      </c>
      <c r="U19" s="113">
        <f>Treasury!I19-'Check Treasury Past'!I19</f>
        <v>0</v>
      </c>
      <c r="V19" s="113">
        <f>Treasury!J19-'Check Treasury Past'!J19</f>
        <v>0</v>
      </c>
      <c r="W19" s="113">
        <f>Treasury!K19-'Check Treasury Past'!K19</f>
        <v>0</v>
      </c>
      <c r="X19" s="80"/>
      <c r="Y19" s="80"/>
      <c r="Z19" s="80"/>
    </row>
    <row r="20" spans="1:26" s="14" customFormat="1" ht="12.75" customHeight="1" x14ac:dyDescent="0.2">
      <c r="A20" s="110">
        <v>36892</v>
      </c>
      <c r="B20" s="113">
        <v>2090</v>
      </c>
      <c r="C20" s="114">
        <v>648</v>
      </c>
      <c r="D20" s="114">
        <v>2738</v>
      </c>
      <c r="E20" s="114">
        <v>691</v>
      </c>
      <c r="F20" s="114">
        <v>30</v>
      </c>
      <c r="G20" s="114">
        <v>-6</v>
      </c>
      <c r="H20" s="114">
        <v>3453</v>
      </c>
      <c r="I20" s="114">
        <v>5137</v>
      </c>
      <c r="J20" s="114">
        <v>8590</v>
      </c>
      <c r="K20" s="114">
        <v>132</v>
      </c>
      <c r="L20" s="79"/>
      <c r="M20" s="110">
        <v>36892</v>
      </c>
      <c r="N20" s="113">
        <f>Treasury!B20-'Check Treasury Past'!B20</f>
        <v>0</v>
      </c>
      <c r="O20" s="113">
        <f>Treasury!C20-'Check Treasury Past'!C20</f>
        <v>0</v>
      </c>
      <c r="P20" s="113">
        <f>Treasury!D20-'Check Treasury Past'!D20</f>
        <v>0</v>
      </c>
      <c r="Q20" s="113">
        <f>Treasury!E20-'Check Treasury Past'!E20</f>
        <v>0</v>
      </c>
      <c r="R20" s="113">
        <f>Treasury!F20-'Check Treasury Past'!F20</f>
        <v>0</v>
      </c>
      <c r="S20" s="113">
        <f>Treasury!G20-'Check Treasury Past'!G20</f>
        <v>0</v>
      </c>
      <c r="T20" s="113">
        <f>Treasury!H20-'Check Treasury Past'!H20</f>
        <v>0</v>
      </c>
      <c r="U20" s="113">
        <f>Treasury!I20-'Check Treasury Past'!I20</f>
        <v>0</v>
      </c>
      <c r="V20" s="113">
        <f>Treasury!J20-'Check Treasury Past'!J20</f>
        <v>0</v>
      </c>
      <c r="W20" s="113">
        <f>Treasury!K20-'Check Treasury Past'!K20</f>
        <v>0</v>
      </c>
      <c r="X20" s="80"/>
      <c r="Y20" s="80"/>
      <c r="Z20" s="80"/>
    </row>
    <row r="21" spans="1:26" s="14" customFormat="1" ht="12.75" customHeight="1" x14ac:dyDescent="0.2">
      <c r="A21" s="110">
        <v>36923</v>
      </c>
      <c r="B21" s="113">
        <v>2056</v>
      </c>
      <c r="C21" s="114">
        <v>268</v>
      </c>
      <c r="D21" s="114">
        <v>2324</v>
      </c>
      <c r="E21" s="114">
        <v>800</v>
      </c>
      <c r="F21" s="114">
        <v>32</v>
      </c>
      <c r="G21" s="114">
        <v>-6</v>
      </c>
      <c r="H21" s="114">
        <v>3150</v>
      </c>
      <c r="I21" s="114">
        <v>4677</v>
      </c>
      <c r="J21" s="114">
        <v>7827</v>
      </c>
      <c r="K21" s="120">
        <v>376</v>
      </c>
      <c r="L21" s="79"/>
      <c r="M21" s="110">
        <v>36923</v>
      </c>
      <c r="N21" s="113">
        <f>Treasury!B21-'Check Treasury Past'!B21</f>
        <v>0</v>
      </c>
      <c r="O21" s="113">
        <f>Treasury!C21-'Check Treasury Past'!C21</f>
        <v>0</v>
      </c>
      <c r="P21" s="113">
        <f>Treasury!D21-'Check Treasury Past'!D21</f>
        <v>0</v>
      </c>
      <c r="Q21" s="113">
        <f>Treasury!E21-'Check Treasury Past'!E21</f>
        <v>0</v>
      </c>
      <c r="R21" s="113">
        <f>Treasury!F21-'Check Treasury Past'!F21</f>
        <v>0</v>
      </c>
      <c r="S21" s="113">
        <f>Treasury!G21-'Check Treasury Past'!G21</f>
        <v>0</v>
      </c>
      <c r="T21" s="113">
        <f>Treasury!H21-'Check Treasury Past'!H21</f>
        <v>0</v>
      </c>
      <c r="U21" s="113">
        <f>Treasury!I21-'Check Treasury Past'!I21</f>
        <v>0</v>
      </c>
      <c r="V21" s="113">
        <f>Treasury!J21-'Check Treasury Past'!J21</f>
        <v>0</v>
      </c>
      <c r="W21" s="113">
        <f>Treasury!K21-'Check Treasury Past'!K21</f>
        <v>0</v>
      </c>
      <c r="X21" s="80"/>
      <c r="Y21" s="80"/>
      <c r="Z21" s="80"/>
    </row>
    <row r="22" spans="1:26" s="14" customFormat="1" ht="12.75" customHeight="1" x14ac:dyDescent="0.2">
      <c r="A22" s="110">
        <v>36951</v>
      </c>
      <c r="B22" s="113">
        <v>2451</v>
      </c>
      <c r="C22" s="114">
        <v>366</v>
      </c>
      <c r="D22" s="114">
        <v>2817</v>
      </c>
      <c r="E22" s="114">
        <v>790</v>
      </c>
      <c r="F22" s="114">
        <v>34</v>
      </c>
      <c r="G22" s="114">
        <v>21</v>
      </c>
      <c r="H22" s="114">
        <v>3662</v>
      </c>
      <c r="I22" s="114">
        <v>4905</v>
      </c>
      <c r="J22" s="114">
        <v>8567</v>
      </c>
      <c r="K22" s="120">
        <v>392</v>
      </c>
      <c r="L22" s="79"/>
      <c r="M22" s="110">
        <v>36951</v>
      </c>
      <c r="N22" s="113">
        <f>Treasury!B22-'Check Treasury Past'!B22</f>
        <v>0</v>
      </c>
      <c r="O22" s="113">
        <f>Treasury!C22-'Check Treasury Past'!C22</f>
        <v>0</v>
      </c>
      <c r="P22" s="113">
        <f>Treasury!D22-'Check Treasury Past'!D22</f>
        <v>0</v>
      </c>
      <c r="Q22" s="113">
        <f>Treasury!E22-'Check Treasury Past'!E22</f>
        <v>0</v>
      </c>
      <c r="R22" s="113">
        <f>Treasury!F22-'Check Treasury Past'!F22</f>
        <v>0</v>
      </c>
      <c r="S22" s="113">
        <f>Treasury!G22-'Check Treasury Past'!G22</f>
        <v>0</v>
      </c>
      <c r="T22" s="113">
        <f>Treasury!H22-'Check Treasury Past'!H22</f>
        <v>0</v>
      </c>
      <c r="U22" s="113">
        <f>Treasury!I22-'Check Treasury Past'!I22</f>
        <v>0</v>
      </c>
      <c r="V22" s="113">
        <f>Treasury!J22-'Check Treasury Past'!J22</f>
        <v>0</v>
      </c>
      <c r="W22" s="113">
        <f>Treasury!K22-'Check Treasury Past'!K22</f>
        <v>0</v>
      </c>
      <c r="X22" s="80"/>
      <c r="Y22" s="80"/>
      <c r="Z22" s="80"/>
    </row>
    <row r="23" spans="1:26" s="14" customFormat="1" ht="12.75" customHeight="1" x14ac:dyDescent="0.2">
      <c r="A23" s="110">
        <v>36982</v>
      </c>
      <c r="B23" s="113">
        <v>2469</v>
      </c>
      <c r="C23" s="114">
        <v>538</v>
      </c>
      <c r="D23" s="114">
        <v>3007</v>
      </c>
      <c r="E23" s="114">
        <v>780</v>
      </c>
      <c r="F23" s="114">
        <v>33</v>
      </c>
      <c r="G23" s="114">
        <v>33</v>
      </c>
      <c r="H23" s="114">
        <v>3853</v>
      </c>
      <c r="I23" s="114">
        <v>4780</v>
      </c>
      <c r="J23" s="114">
        <v>8633</v>
      </c>
      <c r="K23" s="120">
        <v>499</v>
      </c>
      <c r="L23" s="79"/>
      <c r="M23" s="110">
        <v>36982</v>
      </c>
      <c r="N23" s="113">
        <f>Treasury!B23-'Check Treasury Past'!B23</f>
        <v>0</v>
      </c>
      <c r="O23" s="113">
        <f>Treasury!C23-'Check Treasury Past'!C23</f>
        <v>0</v>
      </c>
      <c r="P23" s="113">
        <f>Treasury!D23-'Check Treasury Past'!D23</f>
        <v>0</v>
      </c>
      <c r="Q23" s="113">
        <f>Treasury!E23-'Check Treasury Past'!E23</f>
        <v>0</v>
      </c>
      <c r="R23" s="113">
        <f>Treasury!F23-'Check Treasury Past'!F23</f>
        <v>0</v>
      </c>
      <c r="S23" s="113">
        <f>Treasury!G23-'Check Treasury Past'!G23</f>
        <v>0</v>
      </c>
      <c r="T23" s="113">
        <f>Treasury!H23-'Check Treasury Past'!H23</f>
        <v>0</v>
      </c>
      <c r="U23" s="113">
        <f>Treasury!I23-'Check Treasury Past'!I23</f>
        <v>0</v>
      </c>
      <c r="V23" s="113">
        <f>Treasury!J23-'Check Treasury Past'!J23</f>
        <v>0</v>
      </c>
      <c r="W23" s="113">
        <f>Treasury!K23-'Check Treasury Past'!K23</f>
        <v>0</v>
      </c>
      <c r="X23" s="80"/>
      <c r="Y23" s="80"/>
      <c r="Z23" s="80"/>
    </row>
    <row r="24" spans="1:26" s="14" customFormat="1" ht="12.75" customHeight="1" x14ac:dyDescent="0.2">
      <c r="A24" s="110">
        <v>37012</v>
      </c>
      <c r="B24" s="113">
        <v>2506</v>
      </c>
      <c r="C24" s="114">
        <v>274</v>
      </c>
      <c r="D24" s="114">
        <v>2780</v>
      </c>
      <c r="E24" s="114">
        <v>814</v>
      </c>
      <c r="F24" s="114">
        <v>34</v>
      </c>
      <c r="G24" s="114">
        <v>27</v>
      </c>
      <c r="H24" s="114">
        <v>3655</v>
      </c>
      <c r="I24" s="114">
        <v>4999</v>
      </c>
      <c r="J24" s="114">
        <v>8654</v>
      </c>
      <c r="K24" s="120">
        <v>782</v>
      </c>
      <c r="L24" s="79"/>
      <c r="M24" s="110">
        <v>37012</v>
      </c>
      <c r="N24" s="113">
        <f>Treasury!B24-'Check Treasury Past'!B24</f>
        <v>0</v>
      </c>
      <c r="O24" s="113">
        <f>Treasury!C24-'Check Treasury Past'!C24</f>
        <v>0</v>
      </c>
      <c r="P24" s="113">
        <f>Treasury!D24-'Check Treasury Past'!D24</f>
        <v>0</v>
      </c>
      <c r="Q24" s="113">
        <f>Treasury!E24-'Check Treasury Past'!E24</f>
        <v>0</v>
      </c>
      <c r="R24" s="113">
        <f>Treasury!F24-'Check Treasury Past'!F24</f>
        <v>0</v>
      </c>
      <c r="S24" s="113">
        <f>Treasury!G24-'Check Treasury Past'!G24</f>
        <v>0</v>
      </c>
      <c r="T24" s="113">
        <f>Treasury!H24-'Check Treasury Past'!H24</f>
        <v>0</v>
      </c>
      <c r="U24" s="113">
        <f>Treasury!I24-'Check Treasury Past'!I24</f>
        <v>0</v>
      </c>
      <c r="V24" s="113">
        <f>Treasury!J24-'Check Treasury Past'!J24</f>
        <v>0</v>
      </c>
      <c r="W24" s="113">
        <f>Treasury!K24-'Check Treasury Past'!K24</f>
        <v>0</v>
      </c>
      <c r="X24" s="80"/>
      <c r="Y24" s="80"/>
      <c r="Z24" s="80"/>
    </row>
    <row r="25" spans="1:26" s="14" customFormat="1" ht="12.75" customHeight="1" x14ac:dyDescent="0.2">
      <c r="A25" s="110">
        <v>37043</v>
      </c>
      <c r="B25" s="113">
        <v>2334</v>
      </c>
      <c r="C25" s="114">
        <v>295</v>
      </c>
      <c r="D25" s="114">
        <v>2629</v>
      </c>
      <c r="E25" s="114">
        <v>906</v>
      </c>
      <c r="F25" s="114">
        <v>35</v>
      </c>
      <c r="G25" s="114">
        <v>26</v>
      </c>
      <c r="H25" s="114">
        <v>3596</v>
      </c>
      <c r="I25" s="114">
        <v>4905</v>
      </c>
      <c r="J25" s="114">
        <v>8501</v>
      </c>
      <c r="K25" s="120">
        <v>693</v>
      </c>
      <c r="L25" s="79"/>
      <c r="M25" s="110">
        <v>37043</v>
      </c>
      <c r="N25" s="113">
        <f>Treasury!B25-'Check Treasury Past'!B25</f>
        <v>0</v>
      </c>
      <c r="O25" s="113">
        <f>Treasury!C25-'Check Treasury Past'!C25</f>
        <v>0</v>
      </c>
      <c r="P25" s="113">
        <f>Treasury!D25-'Check Treasury Past'!D25</f>
        <v>0</v>
      </c>
      <c r="Q25" s="113">
        <f>Treasury!E25-'Check Treasury Past'!E25</f>
        <v>0</v>
      </c>
      <c r="R25" s="113">
        <f>Treasury!F25-'Check Treasury Past'!F25</f>
        <v>0</v>
      </c>
      <c r="S25" s="113">
        <f>Treasury!G25-'Check Treasury Past'!G25</f>
        <v>0</v>
      </c>
      <c r="T25" s="113">
        <f>Treasury!H25-'Check Treasury Past'!H25</f>
        <v>0</v>
      </c>
      <c r="U25" s="113">
        <f>Treasury!I25-'Check Treasury Past'!I25</f>
        <v>0</v>
      </c>
      <c r="V25" s="113">
        <f>Treasury!J25-'Check Treasury Past'!J25</f>
        <v>0</v>
      </c>
      <c r="W25" s="113">
        <f>Treasury!K25-'Check Treasury Past'!K25</f>
        <v>0</v>
      </c>
      <c r="X25" s="80"/>
      <c r="Y25" s="80"/>
      <c r="Z25" s="80"/>
    </row>
    <row r="26" spans="1:26" s="14" customFormat="1" ht="12.75" customHeight="1" x14ac:dyDescent="0.2">
      <c r="A26" s="110">
        <v>37073</v>
      </c>
      <c r="B26" s="113">
        <v>2249</v>
      </c>
      <c r="C26" s="114">
        <v>490</v>
      </c>
      <c r="D26" s="114">
        <v>2739</v>
      </c>
      <c r="E26" s="114">
        <v>906</v>
      </c>
      <c r="F26" s="114">
        <v>35</v>
      </c>
      <c r="G26" s="114">
        <v>26</v>
      </c>
      <c r="H26" s="114">
        <v>3706</v>
      </c>
      <c r="I26" s="114">
        <v>4878</v>
      </c>
      <c r="J26" s="114">
        <v>8584</v>
      </c>
      <c r="K26" s="120">
        <v>718</v>
      </c>
      <c r="L26" s="79"/>
      <c r="M26" s="110">
        <v>37073</v>
      </c>
      <c r="N26" s="113">
        <f>Treasury!B26-'Check Treasury Past'!B26</f>
        <v>0</v>
      </c>
      <c r="O26" s="113">
        <f>Treasury!C26-'Check Treasury Past'!C26</f>
        <v>0</v>
      </c>
      <c r="P26" s="113">
        <f>Treasury!D26-'Check Treasury Past'!D26</f>
        <v>0</v>
      </c>
      <c r="Q26" s="113">
        <f>Treasury!E26-'Check Treasury Past'!E26</f>
        <v>0</v>
      </c>
      <c r="R26" s="113">
        <f>Treasury!F26-'Check Treasury Past'!F26</f>
        <v>0</v>
      </c>
      <c r="S26" s="113">
        <f>Treasury!G26-'Check Treasury Past'!G26</f>
        <v>0</v>
      </c>
      <c r="T26" s="113">
        <f>Treasury!H26-'Check Treasury Past'!H26</f>
        <v>0</v>
      </c>
      <c r="U26" s="113">
        <f>Treasury!I26-'Check Treasury Past'!I26</f>
        <v>0</v>
      </c>
      <c r="V26" s="113">
        <f>Treasury!J26-'Check Treasury Past'!J26</f>
        <v>0</v>
      </c>
      <c r="W26" s="113">
        <f>Treasury!K26-'Check Treasury Past'!K26</f>
        <v>0</v>
      </c>
      <c r="X26" s="80"/>
      <c r="Y26" s="80"/>
      <c r="Z26" s="80"/>
    </row>
    <row r="27" spans="1:26" s="14" customFormat="1" ht="12.75" customHeight="1" x14ac:dyDescent="0.2">
      <c r="A27" s="110">
        <v>37104</v>
      </c>
      <c r="B27" s="113">
        <v>2084</v>
      </c>
      <c r="C27" s="114">
        <v>384</v>
      </c>
      <c r="D27" s="114">
        <v>2468</v>
      </c>
      <c r="E27" s="114">
        <v>818</v>
      </c>
      <c r="F27" s="114">
        <v>35</v>
      </c>
      <c r="G27" s="114">
        <v>42</v>
      </c>
      <c r="H27" s="114">
        <v>3363</v>
      </c>
      <c r="I27" s="114">
        <v>4627</v>
      </c>
      <c r="J27" s="114">
        <v>7990</v>
      </c>
      <c r="K27" s="120">
        <v>718</v>
      </c>
      <c r="L27" s="79"/>
      <c r="M27" s="110">
        <v>37104</v>
      </c>
      <c r="N27" s="113">
        <f>Treasury!B27-'Check Treasury Past'!B27</f>
        <v>0</v>
      </c>
      <c r="O27" s="113">
        <f>Treasury!C27-'Check Treasury Past'!C27</f>
        <v>0</v>
      </c>
      <c r="P27" s="113">
        <f>Treasury!D27-'Check Treasury Past'!D27</f>
        <v>0</v>
      </c>
      <c r="Q27" s="113">
        <f>Treasury!E27-'Check Treasury Past'!E27</f>
        <v>0</v>
      </c>
      <c r="R27" s="113">
        <f>Treasury!F27-'Check Treasury Past'!F27</f>
        <v>0</v>
      </c>
      <c r="S27" s="113">
        <f>Treasury!G27-'Check Treasury Past'!G27</f>
        <v>0</v>
      </c>
      <c r="T27" s="113">
        <f>Treasury!H27-'Check Treasury Past'!H27</f>
        <v>0</v>
      </c>
      <c r="U27" s="113">
        <f>Treasury!I27-'Check Treasury Past'!I27</f>
        <v>0</v>
      </c>
      <c r="V27" s="113">
        <f>Treasury!J27-'Check Treasury Past'!J27</f>
        <v>0</v>
      </c>
      <c r="W27" s="113">
        <f>Treasury!K27-'Check Treasury Past'!K27</f>
        <v>0</v>
      </c>
      <c r="X27" s="80"/>
      <c r="Y27" s="80"/>
      <c r="Z27" s="80"/>
    </row>
    <row r="28" spans="1:26" s="14" customFormat="1" ht="12.75" customHeight="1" x14ac:dyDescent="0.2">
      <c r="A28" s="110">
        <v>37135</v>
      </c>
      <c r="B28" s="113">
        <v>2542</v>
      </c>
      <c r="C28" s="114">
        <v>395</v>
      </c>
      <c r="D28" s="114">
        <v>2937</v>
      </c>
      <c r="E28" s="114">
        <v>900</v>
      </c>
      <c r="F28" s="114">
        <v>39</v>
      </c>
      <c r="G28" s="114">
        <v>5</v>
      </c>
      <c r="H28" s="114">
        <v>3881</v>
      </c>
      <c r="I28" s="114">
        <v>5052</v>
      </c>
      <c r="J28" s="114">
        <v>8933</v>
      </c>
      <c r="K28" s="120">
        <v>772</v>
      </c>
      <c r="L28" s="79"/>
      <c r="M28" s="110">
        <v>37135</v>
      </c>
      <c r="N28" s="113">
        <f>Treasury!B28-'Check Treasury Past'!B28</f>
        <v>0</v>
      </c>
      <c r="O28" s="113">
        <f>Treasury!C28-'Check Treasury Past'!C28</f>
        <v>0</v>
      </c>
      <c r="P28" s="113">
        <f>Treasury!D28-'Check Treasury Past'!D28</f>
        <v>0</v>
      </c>
      <c r="Q28" s="113">
        <f>Treasury!E28-'Check Treasury Past'!E28</f>
        <v>0</v>
      </c>
      <c r="R28" s="113">
        <f>Treasury!F28-'Check Treasury Past'!F28</f>
        <v>0</v>
      </c>
      <c r="S28" s="113">
        <f>Treasury!G28-'Check Treasury Past'!G28</f>
        <v>0</v>
      </c>
      <c r="T28" s="113">
        <f>Treasury!H28-'Check Treasury Past'!H28</f>
        <v>0</v>
      </c>
      <c r="U28" s="113">
        <f>Treasury!I28-'Check Treasury Past'!I28</f>
        <v>0</v>
      </c>
      <c r="V28" s="113">
        <f>Treasury!J28-'Check Treasury Past'!J28</f>
        <v>0</v>
      </c>
      <c r="W28" s="113">
        <f>Treasury!K28-'Check Treasury Past'!K28</f>
        <v>0</v>
      </c>
      <c r="X28" s="80"/>
      <c r="Y28" s="80"/>
      <c r="Z28" s="80"/>
    </row>
    <row r="29" spans="1:26" s="14" customFormat="1" ht="12.75" customHeight="1" x14ac:dyDescent="0.2">
      <c r="A29" s="110">
        <v>37165</v>
      </c>
      <c r="B29" s="113">
        <v>2509</v>
      </c>
      <c r="C29" s="114">
        <v>330</v>
      </c>
      <c r="D29" s="114">
        <v>2839</v>
      </c>
      <c r="E29" s="114">
        <v>873</v>
      </c>
      <c r="F29" s="114">
        <v>41</v>
      </c>
      <c r="G29" s="114">
        <v>-4</v>
      </c>
      <c r="H29" s="114">
        <v>3749</v>
      </c>
      <c r="I29" s="114">
        <v>5074</v>
      </c>
      <c r="J29" s="114">
        <v>8823</v>
      </c>
      <c r="K29" s="120">
        <v>752</v>
      </c>
      <c r="L29" s="79"/>
      <c r="M29" s="110">
        <v>37165</v>
      </c>
      <c r="N29" s="113">
        <f>Treasury!B29-'Check Treasury Past'!B29</f>
        <v>0</v>
      </c>
      <c r="O29" s="113">
        <f>Treasury!C29-'Check Treasury Past'!C29</f>
        <v>0</v>
      </c>
      <c r="P29" s="113">
        <f>Treasury!D29-'Check Treasury Past'!D29</f>
        <v>0</v>
      </c>
      <c r="Q29" s="113">
        <f>Treasury!E29-'Check Treasury Past'!E29</f>
        <v>0</v>
      </c>
      <c r="R29" s="113">
        <f>Treasury!F29-'Check Treasury Past'!F29</f>
        <v>0</v>
      </c>
      <c r="S29" s="113">
        <f>Treasury!G29-'Check Treasury Past'!G29</f>
        <v>0</v>
      </c>
      <c r="T29" s="113">
        <f>Treasury!H29-'Check Treasury Past'!H29</f>
        <v>0</v>
      </c>
      <c r="U29" s="113">
        <f>Treasury!I29-'Check Treasury Past'!I29</f>
        <v>0</v>
      </c>
      <c r="V29" s="113">
        <f>Treasury!J29-'Check Treasury Past'!J29</f>
        <v>0</v>
      </c>
      <c r="W29" s="113">
        <f>Treasury!K29-'Check Treasury Past'!K29</f>
        <v>0</v>
      </c>
      <c r="X29" s="80"/>
      <c r="Y29" s="80"/>
      <c r="Z29" s="80"/>
    </row>
    <row r="30" spans="1:26" s="14" customFormat="1" ht="12" customHeight="1" x14ac:dyDescent="0.2">
      <c r="A30" s="110">
        <v>37196</v>
      </c>
      <c r="B30" s="113">
        <v>2439</v>
      </c>
      <c r="C30" s="114">
        <v>234</v>
      </c>
      <c r="D30" s="114">
        <v>2673</v>
      </c>
      <c r="E30" s="114">
        <v>789</v>
      </c>
      <c r="F30" s="114">
        <v>39</v>
      </c>
      <c r="G30" s="114">
        <v>-14</v>
      </c>
      <c r="H30" s="114">
        <v>3487</v>
      </c>
      <c r="I30" s="114">
        <v>4849</v>
      </c>
      <c r="J30" s="114">
        <v>8336</v>
      </c>
      <c r="K30" s="120">
        <v>692</v>
      </c>
      <c r="L30" s="79"/>
      <c r="M30" s="110">
        <v>37196</v>
      </c>
      <c r="N30" s="113">
        <f>Treasury!B30-'Check Treasury Past'!B30</f>
        <v>0</v>
      </c>
      <c r="O30" s="113">
        <f>Treasury!C30-'Check Treasury Past'!C30</f>
        <v>0</v>
      </c>
      <c r="P30" s="113">
        <f>Treasury!D30-'Check Treasury Past'!D30</f>
        <v>0</v>
      </c>
      <c r="Q30" s="113">
        <f>Treasury!E30-'Check Treasury Past'!E30</f>
        <v>0</v>
      </c>
      <c r="R30" s="113">
        <f>Treasury!F30-'Check Treasury Past'!F30</f>
        <v>0</v>
      </c>
      <c r="S30" s="113">
        <f>Treasury!G30-'Check Treasury Past'!G30</f>
        <v>0</v>
      </c>
      <c r="T30" s="113">
        <f>Treasury!H30-'Check Treasury Past'!H30</f>
        <v>0</v>
      </c>
      <c r="U30" s="113">
        <f>Treasury!I30-'Check Treasury Past'!I30</f>
        <v>0</v>
      </c>
      <c r="V30" s="113">
        <f>Treasury!J30-'Check Treasury Past'!J30</f>
        <v>0</v>
      </c>
      <c r="W30" s="113">
        <f>Treasury!K30-'Check Treasury Past'!K30</f>
        <v>0</v>
      </c>
      <c r="X30" s="80"/>
      <c r="Y30" s="80"/>
      <c r="Z30" s="80"/>
    </row>
    <row r="31" spans="1:26" s="14" customFormat="1" ht="12.75" customHeight="1" x14ac:dyDescent="0.2">
      <c r="A31" s="110">
        <v>37226</v>
      </c>
      <c r="B31" s="113">
        <v>2384</v>
      </c>
      <c r="C31" s="114">
        <v>221</v>
      </c>
      <c r="D31" s="114">
        <v>2605</v>
      </c>
      <c r="E31" s="114">
        <v>935</v>
      </c>
      <c r="F31" s="114">
        <v>39</v>
      </c>
      <c r="G31" s="114">
        <v>3</v>
      </c>
      <c r="H31" s="114">
        <v>3582</v>
      </c>
      <c r="I31" s="114">
        <v>5000</v>
      </c>
      <c r="J31" s="114">
        <v>8582</v>
      </c>
      <c r="K31" s="120">
        <v>673</v>
      </c>
      <c r="L31" s="79"/>
      <c r="M31" s="110">
        <v>37226</v>
      </c>
      <c r="N31" s="113">
        <f>Treasury!B31-'Check Treasury Past'!B31</f>
        <v>0</v>
      </c>
      <c r="O31" s="113">
        <f>Treasury!C31-'Check Treasury Past'!C31</f>
        <v>0</v>
      </c>
      <c r="P31" s="113">
        <f>Treasury!D31-'Check Treasury Past'!D31</f>
        <v>0</v>
      </c>
      <c r="Q31" s="113">
        <f>Treasury!E31-'Check Treasury Past'!E31</f>
        <v>0</v>
      </c>
      <c r="R31" s="113">
        <f>Treasury!F31-'Check Treasury Past'!F31</f>
        <v>0</v>
      </c>
      <c r="S31" s="113">
        <f>Treasury!G31-'Check Treasury Past'!G31</f>
        <v>0</v>
      </c>
      <c r="T31" s="113">
        <f>Treasury!H31-'Check Treasury Past'!H31</f>
        <v>0</v>
      </c>
      <c r="U31" s="113">
        <f>Treasury!I31-'Check Treasury Past'!I31</f>
        <v>0</v>
      </c>
      <c r="V31" s="113">
        <f>Treasury!J31-'Check Treasury Past'!J31</f>
        <v>0</v>
      </c>
      <c r="W31" s="113">
        <f>Treasury!K31-'Check Treasury Past'!K31</f>
        <v>0</v>
      </c>
      <c r="X31" s="80"/>
      <c r="Y31" s="80"/>
      <c r="Z31" s="80"/>
    </row>
    <row r="32" spans="1:26" s="14" customFormat="1" ht="12.75" customHeight="1" x14ac:dyDescent="0.2">
      <c r="A32" s="110">
        <v>37257</v>
      </c>
      <c r="B32" s="113">
        <v>2174</v>
      </c>
      <c r="C32" s="114">
        <v>290</v>
      </c>
      <c r="D32" s="114">
        <v>2464</v>
      </c>
      <c r="E32" s="114">
        <v>969</v>
      </c>
      <c r="F32" s="114">
        <v>39</v>
      </c>
      <c r="G32" s="114">
        <v>5</v>
      </c>
      <c r="H32" s="114">
        <v>3477</v>
      </c>
      <c r="I32" s="114">
        <v>4464</v>
      </c>
      <c r="J32" s="114">
        <v>7941</v>
      </c>
      <c r="K32" s="120">
        <v>686</v>
      </c>
      <c r="L32" s="79"/>
      <c r="M32" s="110">
        <v>37257</v>
      </c>
      <c r="N32" s="113">
        <f>Treasury!B32-'Check Treasury Past'!B32</f>
        <v>0</v>
      </c>
      <c r="O32" s="113">
        <f>Treasury!C32-'Check Treasury Past'!C32</f>
        <v>0</v>
      </c>
      <c r="P32" s="113">
        <f>Treasury!D32-'Check Treasury Past'!D32</f>
        <v>0</v>
      </c>
      <c r="Q32" s="113">
        <f>Treasury!E32-'Check Treasury Past'!E32</f>
        <v>0</v>
      </c>
      <c r="R32" s="113">
        <f>Treasury!F32-'Check Treasury Past'!F32</f>
        <v>0</v>
      </c>
      <c r="S32" s="113">
        <f>Treasury!G32-'Check Treasury Past'!G32</f>
        <v>0</v>
      </c>
      <c r="T32" s="113">
        <f>Treasury!H32-'Check Treasury Past'!H32</f>
        <v>0</v>
      </c>
      <c r="U32" s="113">
        <f>Treasury!I32-'Check Treasury Past'!I32</f>
        <v>0</v>
      </c>
      <c r="V32" s="113">
        <f>Treasury!J32-'Check Treasury Past'!J32</f>
        <v>0</v>
      </c>
      <c r="W32" s="113">
        <f>Treasury!K32-'Check Treasury Past'!K32</f>
        <v>0</v>
      </c>
      <c r="X32" s="80"/>
      <c r="Y32" s="80"/>
      <c r="Z32" s="80"/>
    </row>
    <row r="33" spans="1:26" s="14" customFormat="1" ht="12.75" customHeight="1" x14ac:dyDescent="0.2">
      <c r="A33" s="110">
        <v>37288</v>
      </c>
      <c r="B33" s="113">
        <v>2255</v>
      </c>
      <c r="C33" s="114">
        <v>568</v>
      </c>
      <c r="D33" s="114">
        <v>2823</v>
      </c>
      <c r="E33" s="114">
        <v>954</v>
      </c>
      <c r="F33" s="114">
        <v>40</v>
      </c>
      <c r="G33" s="114">
        <v>-1</v>
      </c>
      <c r="H33" s="114">
        <v>3816</v>
      </c>
      <c r="I33" s="114">
        <v>4638</v>
      </c>
      <c r="J33" s="114">
        <v>8454</v>
      </c>
      <c r="K33" s="120">
        <v>819</v>
      </c>
      <c r="L33" s="79"/>
      <c r="M33" s="110">
        <v>37288</v>
      </c>
      <c r="N33" s="113">
        <f>Treasury!B33-'Check Treasury Past'!B33</f>
        <v>0</v>
      </c>
      <c r="O33" s="113">
        <f>Treasury!C33-'Check Treasury Past'!C33</f>
        <v>0</v>
      </c>
      <c r="P33" s="113">
        <f>Treasury!D33-'Check Treasury Past'!D33</f>
        <v>0</v>
      </c>
      <c r="Q33" s="113">
        <f>Treasury!E33-'Check Treasury Past'!E33</f>
        <v>0</v>
      </c>
      <c r="R33" s="113">
        <f>Treasury!F33-'Check Treasury Past'!F33</f>
        <v>0</v>
      </c>
      <c r="S33" s="113">
        <f>Treasury!G33-'Check Treasury Past'!G33</f>
        <v>0</v>
      </c>
      <c r="T33" s="113">
        <f>Treasury!H33-'Check Treasury Past'!H33</f>
        <v>0</v>
      </c>
      <c r="U33" s="113">
        <f>Treasury!I33-'Check Treasury Past'!I33</f>
        <v>0</v>
      </c>
      <c r="V33" s="113">
        <f>Treasury!J33-'Check Treasury Past'!J33</f>
        <v>0</v>
      </c>
      <c r="W33" s="113">
        <f>Treasury!K33-'Check Treasury Past'!K33</f>
        <v>0</v>
      </c>
      <c r="X33" s="80"/>
      <c r="Y33" s="80"/>
      <c r="Z33" s="80"/>
    </row>
    <row r="34" spans="1:26" s="14" customFormat="1" ht="12.75" customHeight="1" x14ac:dyDescent="0.2">
      <c r="A34" s="110">
        <v>37316</v>
      </c>
      <c r="B34" s="113">
        <v>2143</v>
      </c>
      <c r="C34" s="114">
        <v>396</v>
      </c>
      <c r="D34" s="114">
        <v>2539</v>
      </c>
      <c r="E34" s="114">
        <v>899</v>
      </c>
      <c r="F34" s="114">
        <v>38</v>
      </c>
      <c r="G34" s="114">
        <v>12</v>
      </c>
      <c r="H34" s="114">
        <v>3488</v>
      </c>
      <c r="I34" s="114">
        <v>4234</v>
      </c>
      <c r="J34" s="114">
        <v>7722</v>
      </c>
      <c r="K34" s="120">
        <v>653</v>
      </c>
      <c r="L34" s="79"/>
      <c r="M34" s="110">
        <v>37316</v>
      </c>
      <c r="N34" s="113">
        <f>Treasury!B34-'Check Treasury Past'!B34</f>
        <v>0</v>
      </c>
      <c r="O34" s="113">
        <f>Treasury!C34-'Check Treasury Past'!C34</f>
        <v>0</v>
      </c>
      <c r="P34" s="113">
        <f>Treasury!D34-'Check Treasury Past'!D34</f>
        <v>0</v>
      </c>
      <c r="Q34" s="113">
        <f>Treasury!E34-'Check Treasury Past'!E34</f>
        <v>0</v>
      </c>
      <c r="R34" s="113">
        <f>Treasury!F34-'Check Treasury Past'!F34</f>
        <v>0</v>
      </c>
      <c r="S34" s="113">
        <f>Treasury!G34-'Check Treasury Past'!G34</f>
        <v>0</v>
      </c>
      <c r="T34" s="113">
        <f>Treasury!H34-'Check Treasury Past'!H34</f>
        <v>0</v>
      </c>
      <c r="U34" s="113">
        <f>Treasury!I34-'Check Treasury Past'!I34</f>
        <v>0</v>
      </c>
      <c r="V34" s="113">
        <f>Treasury!J34-'Check Treasury Past'!J34</f>
        <v>0</v>
      </c>
      <c r="W34" s="113">
        <f>Treasury!K34-'Check Treasury Past'!K34</f>
        <v>0</v>
      </c>
      <c r="X34" s="80"/>
      <c r="Y34" s="80"/>
      <c r="Z34" s="80"/>
    </row>
    <row r="35" spans="1:26" s="14" customFormat="1" ht="12.75" customHeight="1" x14ac:dyDescent="0.2">
      <c r="A35" s="110">
        <v>37347</v>
      </c>
      <c r="B35" s="113">
        <v>2388</v>
      </c>
      <c r="C35" s="114">
        <v>587</v>
      </c>
      <c r="D35" s="114">
        <v>2975</v>
      </c>
      <c r="E35" s="114">
        <v>892</v>
      </c>
      <c r="F35" s="114">
        <v>38</v>
      </c>
      <c r="G35" s="114">
        <v>23</v>
      </c>
      <c r="H35" s="114">
        <v>3928</v>
      </c>
      <c r="I35" s="114">
        <v>4229</v>
      </c>
      <c r="J35" s="114">
        <v>8157</v>
      </c>
      <c r="K35" s="120">
        <v>639</v>
      </c>
      <c r="L35" s="79"/>
      <c r="M35" s="110">
        <v>37347</v>
      </c>
      <c r="N35" s="113">
        <f>Treasury!B35-'Check Treasury Past'!B35</f>
        <v>0</v>
      </c>
      <c r="O35" s="113">
        <f>Treasury!C35-'Check Treasury Past'!C35</f>
        <v>0</v>
      </c>
      <c r="P35" s="113">
        <f>Treasury!D35-'Check Treasury Past'!D35</f>
        <v>0</v>
      </c>
      <c r="Q35" s="113">
        <f>Treasury!E35-'Check Treasury Past'!E35</f>
        <v>0</v>
      </c>
      <c r="R35" s="113">
        <f>Treasury!F35-'Check Treasury Past'!F35</f>
        <v>0</v>
      </c>
      <c r="S35" s="113">
        <f>Treasury!G35-'Check Treasury Past'!G35</f>
        <v>0</v>
      </c>
      <c r="T35" s="113">
        <f>Treasury!H35-'Check Treasury Past'!H35</f>
        <v>0</v>
      </c>
      <c r="U35" s="113">
        <f>Treasury!I35-'Check Treasury Past'!I35</f>
        <v>0</v>
      </c>
      <c r="V35" s="113">
        <f>Treasury!J35-'Check Treasury Past'!J35</f>
        <v>0</v>
      </c>
      <c r="W35" s="113">
        <f>Treasury!K35-'Check Treasury Past'!K35</f>
        <v>0</v>
      </c>
      <c r="X35" s="80"/>
      <c r="Y35" s="80"/>
      <c r="Z35" s="80"/>
    </row>
    <row r="36" spans="1:26" s="14" customFormat="1" ht="12.75" customHeight="1" x14ac:dyDescent="0.2">
      <c r="A36" s="110">
        <v>37377</v>
      </c>
      <c r="B36" s="113">
        <v>1760</v>
      </c>
      <c r="C36" s="114">
        <v>747</v>
      </c>
      <c r="D36" s="114">
        <v>2507</v>
      </c>
      <c r="E36" s="114">
        <v>828</v>
      </c>
      <c r="F36" s="114">
        <v>38</v>
      </c>
      <c r="G36" s="114">
        <v>30</v>
      </c>
      <c r="H36" s="114">
        <v>3403</v>
      </c>
      <c r="I36" s="114">
        <v>3945</v>
      </c>
      <c r="J36" s="114">
        <v>7348</v>
      </c>
      <c r="K36" s="120">
        <v>582</v>
      </c>
      <c r="L36" s="79"/>
      <c r="M36" s="110">
        <v>37377</v>
      </c>
      <c r="N36" s="113">
        <f>Treasury!B36-'Check Treasury Past'!B36</f>
        <v>0</v>
      </c>
      <c r="O36" s="113">
        <f>Treasury!C36-'Check Treasury Past'!C36</f>
        <v>0</v>
      </c>
      <c r="P36" s="113">
        <f>Treasury!D36-'Check Treasury Past'!D36</f>
        <v>0</v>
      </c>
      <c r="Q36" s="113">
        <f>Treasury!E36-'Check Treasury Past'!E36</f>
        <v>0</v>
      </c>
      <c r="R36" s="113">
        <f>Treasury!F36-'Check Treasury Past'!F36</f>
        <v>0</v>
      </c>
      <c r="S36" s="113">
        <f>Treasury!G36-'Check Treasury Past'!G36</f>
        <v>0</v>
      </c>
      <c r="T36" s="113">
        <f>Treasury!H36-'Check Treasury Past'!H36</f>
        <v>0</v>
      </c>
      <c r="U36" s="113">
        <f>Treasury!I36-'Check Treasury Past'!I36</f>
        <v>0</v>
      </c>
      <c r="V36" s="113">
        <f>Treasury!J36-'Check Treasury Past'!J36</f>
        <v>0</v>
      </c>
      <c r="W36" s="113">
        <f>Treasury!K36-'Check Treasury Past'!K36</f>
        <v>0</v>
      </c>
      <c r="X36" s="80"/>
      <c r="Y36" s="80"/>
      <c r="Z36" s="80"/>
    </row>
    <row r="37" spans="1:26" s="14" customFormat="1" ht="12.75" customHeight="1" x14ac:dyDescent="0.2">
      <c r="A37" s="110">
        <v>37408</v>
      </c>
      <c r="B37" s="113">
        <v>1782</v>
      </c>
      <c r="C37" s="114">
        <v>228</v>
      </c>
      <c r="D37" s="114">
        <v>2010</v>
      </c>
      <c r="E37" s="114">
        <v>973</v>
      </c>
      <c r="F37" s="114">
        <v>38</v>
      </c>
      <c r="G37" s="114">
        <v>31</v>
      </c>
      <c r="H37" s="114">
        <v>3052</v>
      </c>
      <c r="I37" s="114">
        <v>4446</v>
      </c>
      <c r="J37" s="114">
        <v>7498</v>
      </c>
      <c r="K37" s="120">
        <v>549</v>
      </c>
      <c r="L37" s="70"/>
      <c r="M37" s="110">
        <v>37408</v>
      </c>
      <c r="N37" s="113">
        <f>Treasury!B37-'Check Treasury Past'!B37</f>
        <v>0</v>
      </c>
      <c r="O37" s="113">
        <f>Treasury!C37-'Check Treasury Past'!C37</f>
        <v>0</v>
      </c>
      <c r="P37" s="113">
        <f>Treasury!D37-'Check Treasury Past'!D37</f>
        <v>0</v>
      </c>
      <c r="Q37" s="113">
        <f>Treasury!E37-'Check Treasury Past'!E37</f>
        <v>0</v>
      </c>
      <c r="R37" s="113">
        <f>Treasury!F37-'Check Treasury Past'!F37</f>
        <v>0</v>
      </c>
      <c r="S37" s="113">
        <f>Treasury!G37-'Check Treasury Past'!G37</f>
        <v>0</v>
      </c>
      <c r="T37" s="113">
        <f>Treasury!H37-'Check Treasury Past'!H37</f>
        <v>0</v>
      </c>
      <c r="U37" s="113">
        <f>Treasury!I37-'Check Treasury Past'!I37</f>
        <v>0</v>
      </c>
      <c r="V37" s="113">
        <f>Treasury!J37-'Check Treasury Past'!J37</f>
        <v>0</v>
      </c>
      <c r="W37" s="113">
        <f>Treasury!K37-'Check Treasury Past'!K37</f>
        <v>0</v>
      </c>
      <c r="X37" s="2"/>
      <c r="Y37" s="2"/>
      <c r="Z37" s="2"/>
    </row>
    <row r="38" spans="1:26" s="14" customFormat="1" ht="12.75" customHeight="1" x14ac:dyDescent="0.2">
      <c r="A38" s="110">
        <v>37438</v>
      </c>
      <c r="B38" s="113">
        <v>2184</v>
      </c>
      <c r="C38" s="114">
        <v>224</v>
      </c>
      <c r="D38" s="114">
        <v>2408</v>
      </c>
      <c r="E38" s="114">
        <v>985</v>
      </c>
      <c r="F38" s="114">
        <v>40</v>
      </c>
      <c r="G38" s="114">
        <v>17</v>
      </c>
      <c r="H38" s="114">
        <v>3450</v>
      </c>
      <c r="I38" s="114">
        <v>4623</v>
      </c>
      <c r="J38" s="114">
        <v>8073</v>
      </c>
      <c r="K38" s="120">
        <v>736</v>
      </c>
      <c r="L38" s="70"/>
      <c r="M38" s="110">
        <v>37438</v>
      </c>
      <c r="N38" s="113">
        <f>Treasury!B38-'Check Treasury Past'!B38</f>
        <v>0</v>
      </c>
      <c r="O38" s="113">
        <f>Treasury!C38-'Check Treasury Past'!C38</f>
        <v>0</v>
      </c>
      <c r="P38" s="113">
        <f>Treasury!D38-'Check Treasury Past'!D38</f>
        <v>0</v>
      </c>
      <c r="Q38" s="113">
        <f>Treasury!E38-'Check Treasury Past'!E38</f>
        <v>0</v>
      </c>
      <c r="R38" s="113">
        <f>Treasury!F38-'Check Treasury Past'!F38</f>
        <v>0</v>
      </c>
      <c r="S38" s="113">
        <f>Treasury!G38-'Check Treasury Past'!G38</f>
        <v>0</v>
      </c>
      <c r="T38" s="113">
        <f>Treasury!H38-'Check Treasury Past'!H38</f>
        <v>0</v>
      </c>
      <c r="U38" s="113">
        <f>Treasury!I38-'Check Treasury Past'!I38</f>
        <v>0</v>
      </c>
      <c r="V38" s="113">
        <f>Treasury!J38-'Check Treasury Past'!J38</f>
        <v>0</v>
      </c>
      <c r="W38" s="113">
        <f>Treasury!K38-'Check Treasury Past'!K38</f>
        <v>0</v>
      </c>
      <c r="X38" s="2"/>
      <c r="Y38" s="2"/>
      <c r="Z38" s="2"/>
    </row>
    <row r="39" spans="1:26" s="14" customFormat="1" ht="12.75" customHeight="1" x14ac:dyDescent="0.2">
      <c r="A39" s="110">
        <v>37469</v>
      </c>
      <c r="B39" s="113">
        <v>1868</v>
      </c>
      <c r="C39" s="114">
        <v>441</v>
      </c>
      <c r="D39" s="114">
        <v>2309</v>
      </c>
      <c r="E39" s="114">
        <v>991</v>
      </c>
      <c r="F39" s="114">
        <v>42</v>
      </c>
      <c r="G39" s="114">
        <v>18</v>
      </c>
      <c r="H39" s="114">
        <v>3360</v>
      </c>
      <c r="I39" s="114">
        <v>4241</v>
      </c>
      <c r="J39" s="114">
        <v>7601</v>
      </c>
      <c r="K39" s="120">
        <v>674</v>
      </c>
      <c r="L39" s="20"/>
      <c r="M39" s="110">
        <v>37469</v>
      </c>
      <c r="N39" s="113">
        <f>Treasury!B39-'Check Treasury Past'!B39</f>
        <v>0</v>
      </c>
      <c r="O39" s="113">
        <f>Treasury!C39-'Check Treasury Past'!C39</f>
        <v>0</v>
      </c>
      <c r="P39" s="113">
        <f>Treasury!D39-'Check Treasury Past'!D39</f>
        <v>0</v>
      </c>
      <c r="Q39" s="113">
        <f>Treasury!E39-'Check Treasury Past'!E39</f>
        <v>0</v>
      </c>
      <c r="R39" s="113">
        <f>Treasury!F39-'Check Treasury Past'!F39</f>
        <v>0</v>
      </c>
      <c r="S39" s="113">
        <f>Treasury!G39-'Check Treasury Past'!G39</f>
        <v>0</v>
      </c>
      <c r="T39" s="113">
        <f>Treasury!H39-'Check Treasury Past'!H39</f>
        <v>0</v>
      </c>
      <c r="U39" s="113">
        <f>Treasury!I39-'Check Treasury Past'!I39</f>
        <v>0</v>
      </c>
      <c r="V39" s="113">
        <f>Treasury!J39-'Check Treasury Past'!J39</f>
        <v>0</v>
      </c>
      <c r="W39" s="113">
        <f>Treasury!K39-'Check Treasury Past'!K39</f>
        <v>0</v>
      </c>
      <c r="X39" s="1"/>
      <c r="Y39" s="1"/>
      <c r="Z39" s="1"/>
    </row>
    <row r="40" spans="1:26" s="14" customFormat="1" ht="12.75" customHeight="1" x14ac:dyDescent="0.2">
      <c r="A40" s="110">
        <v>37500</v>
      </c>
      <c r="B40" s="113">
        <v>2060</v>
      </c>
      <c r="C40" s="114">
        <v>504</v>
      </c>
      <c r="D40" s="114">
        <v>2564</v>
      </c>
      <c r="E40" s="114">
        <v>977</v>
      </c>
      <c r="F40" s="114">
        <v>42</v>
      </c>
      <c r="G40" s="114">
        <v>4</v>
      </c>
      <c r="H40" s="114">
        <v>3587</v>
      </c>
      <c r="I40" s="114">
        <v>4438</v>
      </c>
      <c r="J40" s="114">
        <v>8025</v>
      </c>
      <c r="K40" s="120">
        <v>704</v>
      </c>
      <c r="L40" s="20"/>
      <c r="M40" s="110">
        <v>37500</v>
      </c>
      <c r="N40" s="113">
        <f>Treasury!B40-'Check Treasury Past'!B40</f>
        <v>0</v>
      </c>
      <c r="O40" s="113">
        <f>Treasury!C40-'Check Treasury Past'!C40</f>
        <v>0</v>
      </c>
      <c r="P40" s="113">
        <f>Treasury!D40-'Check Treasury Past'!D40</f>
        <v>0</v>
      </c>
      <c r="Q40" s="113">
        <f>Treasury!E40-'Check Treasury Past'!E40</f>
        <v>0</v>
      </c>
      <c r="R40" s="113">
        <f>Treasury!F40-'Check Treasury Past'!F40</f>
        <v>0</v>
      </c>
      <c r="S40" s="113">
        <f>Treasury!G40-'Check Treasury Past'!G40</f>
        <v>0</v>
      </c>
      <c r="T40" s="113">
        <f>Treasury!H40-'Check Treasury Past'!H40</f>
        <v>0</v>
      </c>
      <c r="U40" s="113">
        <f>Treasury!I40-'Check Treasury Past'!I40</f>
        <v>0</v>
      </c>
      <c r="V40" s="113">
        <f>Treasury!J40-'Check Treasury Past'!J40</f>
        <v>0</v>
      </c>
      <c r="W40" s="113">
        <f>Treasury!K40-'Check Treasury Past'!K40</f>
        <v>0</v>
      </c>
      <c r="X40" s="1"/>
      <c r="Y40" s="1"/>
      <c r="Z40" s="1"/>
    </row>
    <row r="41" spans="1:26" s="14" customFormat="1" ht="12.75" customHeight="1" x14ac:dyDescent="0.2">
      <c r="A41" s="110">
        <v>37530</v>
      </c>
      <c r="B41" s="113">
        <v>1810</v>
      </c>
      <c r="C41" s="114">
        <v>275</v>
      </c>
      <c r="D41" s="114">
        <v>2085</v>
      </c>
      <c r="E41" s="114">
        <v>950</v>
      </c>
      <c r="F41" s="114">
        <v>41</v>
      </c>
      <c r="G41" s="114">
        <v>17</v>
      </c>
      <c r="H41" s="114">
        <v>3093</v>
      </c>
      <c r="I41" s="114">
        <v>4295</v>
      </c>
      <c r="J41" s="114">
        <v>7388</v>
      </c>
      <c r="K41" s="120">
        <v>662</v>
      </c>
      <c r="L41" s="20"/>
      <c r="M41" s="110">
        <v>37530</v>
      </c>
      <c r="N41" s="113">
        <f>Treasury!B41-'Check Treasury Past'!B41</f>
        <v>0</v>
      </c>
      <c r="O41" s="113">
        <f>Treasury!C41-'Check Treasury Past'!C41</f>
        <v>0</v>
      </c>
      <c r="P41" s="113">
        <f>Treasury!D41-'Check Treasury Past'!D41</f>
        <v>0</v>
      </c>
      <c r="Q41" s="113">
        <f>Treasury!E41-'Check Treasury Past'!E41</f>
        <v>0</v>
      </c>
      <c r="R41" s="113">
        <f>Treasury!F41-'Check Treasury Past'!F41</f>
        <v>0</v>
      </c>
      <c r="S41" s="113">
        <f>Treasury!G41-'Check Treasury Past'!G41</f>
        <v>0</v>
      </c>
      <c r="T41" s="113">
        <f>Treasury!H41-'Check Treasury Past'!H41</f>
        <v>0</v>
      </c>
      <c r="U41" s="113">
        <f>Treasury!I41-'Check Treasury Past'!I41</f>
        <v>0</v>
      </c>
      <c r="V41" s="113">
        <f>Treasury!J41-'Check Treasury Past'!J41</f>
        <v>0</v>
      </c>
      <c r="W41" s="113">
        <f>Treasury!K41-'Check Treasury Past'!K41</f>
        <v>0</v>
      </c>
      <c r="X41" s="1"/>
      <c r="Y41" s="1"/>
      <c r="Z41" s="1"/>
    </row>
    <row r="42" spans="1:26" s="14" customFormat="1" ht="12.75" customHeight="1" x14ac:dyDescent="0.2">
      <c r="A42" s="110">
        <v>37561</v>
      </c>
      <c r="B42" s="113">
        <v>1762</v>
      </c>
      <c r="C42" s="114">
        <v>294</v>
      </c>
      <c r="D42" s="114">
        <v>2056</v>
      </c>
      <c r="E42" s="114">
        <v>911</v>
      </c>
      <c r="F42" s="114">
        <v>43</v>
      </c>
      <c r="G42" s="114">
        <v>11</v>
      </c>
      <c r="H42" s="114">
        <v>3021</v>
      </c>
      <c r="I42" s="114">
        <v>5581</v>
      </c>
      <c r="J42" s="114">
        <v>8602</v>
      </c>
      <c r="K42" s="120">
        <v>605</v>
      </c>
      <c r="L42" s="20"/>
      <c r="M42" s="110">
        <v>37561</v>
      </c>
      <c r="N42" s="113">
        <f>Treasury!B42-'Check Treasury Past'!B42</f>
        <v>0</v>
      </c>
      <c r="O42" s="113">
        <f>Treasury!C42-'Check Treasury Past'!C42</f>
        <v>0</v>
      </c>
      <c r="P42" s="113">
        <f>Treasury!D42-'Check Treasury Past'!D42</f>
        <v>0</v>
      </c>
      <c r="Q42" s="113">
        <f>Treasury!E42-'Check Treasury Past'!E42</f>
        <v>0</v>
      </c>
      <c r="R42" s="113">
        <f>Treasury!F42-'Check Treasury Past'!F42</f>
        <v>0</v>
      </c>
      <c r="S42" s="113">
        <f>Treasury!G42-'Check Treasury Past'!G42</f>
        <v>0</v>
      </c>
      <c r="T42" s="113">
        <f>Treasury!H42-'Check Treasury Past'!H42</f>
        <v>0</v>
      </c>
      <c r="U42" s="113">
        <f>Treasury!I42-'Check Treasury Past'!I42</f>
        <v>0</v>
      </c>
      <c r="V42" s="113">
        <f>Treasury!J42-'Check Treasury Past'!J42</f>
        <v>0</v>
      </c>
      <c r="W42" s="113">
        <f>Treasury!K42-'Check Treasury Past'!K42</f>
        <v>0</v>
      </c>
      <c r="X42" s="1"/>
      <c r="Y42" s="1"/>
      <c r="Z42" s="1"/>
    </row>
    <row r="43" spans="1:26" s="14" customFormat="1" ht="12.75" customHeight="1" x14ac:dyDescent="0.2">
      <c r="A43" s="110">
        <v>37591</v>
      </c>
      <c r="B43" s="113">
        <v>2611</v>
      </c>
      <c r="C43" s="114">
        <v>283</v>
      </c>
      <c r="D43" s="114">
        <v>2894</v>
      </c>
      <c r="E43" s="114">
        <v>875</v>
      </c>
      <c r="F43" s="114">
        <v>41</v>
      </c>
      <c r="G43" s="114">
        <v>34</v>
      </c>
      <c r="H43" s="114">
        <v>3844</v>
      </c>
      <c r="I43" s="114">
        <v>5585</v>
      </c>
      <c r="J43" s="114">
        <v>9429</v>
      </c>
      <c r="K43" s="120">
        <v>633</v>
      </c>
      <c r="L43" s="20"/>
      <c r="M43" s="110">
        <v>37591</v>
      </c>
      <c r="N43" s="113">
        <f>Treasury!B43-'Check Treasury Past'!B43</f>
        <v>0</v>
      </c>
      <c r="O43" s="113">
        <f>Treasury!C43-'Check Treasury Past'!C43</f>
        <v>0</v>
      </c>
      <c r="P43" s="113">
        <f>Treasury!D43-'Check Treasury Past'!D43</f>
        <v>0</v>
      </c>
      <c r="Q43" s="113">
        <f>Treasury!E43-'Check Treasury Past'!E43</f>
        <v>0</v>
      </c>
      <c r="R43" s="113">
        <f>Treasury!F43-'Check Treasury Past'!F43</f>
        <v>0</v>
      </c>
      <c r="S43" s="113">
        <f>Treasury!G43-'Check Treasury Past'!G43</f>
        <v>0</v>
      </c>
      <c r="T43" s="113">
        <f>Treasury!H43-'Check Treasury Past'!H43</f>
        <v>0</v>
      </c>
      <c r="U43" s="113">
        <f>Treasury!I43-'Check Treasury Past'!I43</f>
        <v>0</v>
      </c>
      <c r="V43" s="113">
        <f>Treasury!J43-'Check Treasury Past'!J43</f>
        <v>0</v>
      </c>
      <c r="W43" s="113">
        <f>Treasury!K43-'Check Treasury Past'!K43</f>
        <v>0</v>
      </c>
      <c r="X43" s="1"/>
      <c r="Y43" s="1"/>
      <c r="Z43" s="1"/>
    </row>
    <row r="44" spans="1:26" s="14" customFormat="1" ht="12.75" customHeight="1" x14ac:dyDescent="0.2">
      <c r="A44" s="110">
        <v>37622</v>
      </c>
      <c r="B44" s="113">
        <v>2329</v>
      </c>
      <c r="C44" s="114">
        <v>283</v>
      </c>
      <c r="D44" s="114">
        <v>2612</v>
      </c>
      <c r="E44" s="114">
        <v>857</v>
      </c>
      <c r="F44" s="114">
        <v>40</v>
      </c>
      <c r="G44" s="114">
        <v>47</v>
      </c>
      <c r="H44" s="114">
        <v>3556</v>
      </c>
      <c r="I44" s="114">
        <v>4368</v>
      </c>
      <c r="J44" s="114">
        <v>7924</v>
      </c>
      <c r="K44" s="120">
        <v>671</v>
      </c>
      <c r="L44" s="20"/>
      <c r="M44" s="110">
        <v>37622</v>
      </c>
      <c r="N44" s="113">
        <f>Treasury!B44-'Check Treasury Past'!B44</f>
        <v>0</v>
      </c>
      <c r="O44" s="113">
        <f>Treasury!C44-'Check Treasury Past'!C44</f>
        <v>0</v>
      </c>
      <c r="P44" s="113">
        <f>Treasury!D44-'Check Treasury Past'!D44</f>
        <v>0</v>
      </c>
      <c r="Q44" s="113">
        <f>Treasury!E44-'Check Treasury Past'!E44</f>
        <v>0</v>
      </c>
      <c r="R44" s="113">
        <f>Treasury!F44-'Check Treasury Past'!F44</f>
        <v>0</v>
      </c>
      <c r="S44" s="113">
        <f>Treasury!G44-'Check Treasury Past'!G44</f>
        <v>0</v>
      </c>
      <c r="T44" s="113">
        <f>Treasury!H44-'Check Treasury Past'!H44</f>
        <v>0</v>
      </c>
      <c r="U44" s="113">
        <f>Treasury!I44-'Check Treasury Past'!I44</f>
        <v>0</v>
      </c>
      <c r="V44" s="113">
        <f>Treasury!J44-'Check Treasury Past'!J44</f>
        <v>0</v>
      </c>
      <c r="W44" s="113">
        <f>Treasury!K44-'Check Treasury Past'!K44</f>
        <v>0</v>
      </c>
      <c r="X44" s="1"/>
      <c r="Y44" s="1"/>
      <c r="Z44" s="1"/>
    </row>
    <row r="45" spans="1:26" s="14" customFormat="1" ht="12.75" customHeight="1" x14ac:dyDescent="0.2">
      <c r="A45" s="110">
        <v>37653</v>
      </c>
      <c r="B45" s="113">
        <v>2165</v>
      </c>
      <c r="C45" s="114">
        <v>429</v>
      </c>
      <c r="D45" s="114">
        <v>2594</v>
      </c>
      <c r="E45" s="114">
        <v>821</v>
      </c>
      <c r="F45" s="114">
        <v>41</v>
      </c>
      <c r="G45" s="114">
        <v>58</v>
      </c>
      <c r="H45" s="114">
        <v>3514</v>
      </c>
      <c r="I45" s="114">
        <v>5035</v>
      </c>
      <c r="J45" s="114">
        <v>8549</v>
      </c>
      <c r="K45" s="120">
        <v>715</v>
      </c>
      <c r="L45" s="20"/>
      <c r="M45" s="110">
        <v>37653</v>
      </c>
      <c r="N45" s="113">
        <f>Treasury!B45-'Check Treasury Past'!B45</f>
        <v>0</v>
      </c>
      <c r="O45" s="113">
        <f>Treasury!C45-'Check Treasury Past'!C45</f>
        <v>0</v>
      </c>
      <c r="P45" s="113">
        <f>Treasury!D45-'Check Treasury Past'!D45</f>
        <v>0</v>
      </c>
      <c r="Q45" s="113">
        <f>Treasury!E45-'Check Treasury Past'!E45</f>
        <v>0</v>
      </c>
      <c r="R45" s="113">
        <f>Treasury!F45-'Check Treasury Past'!F45</f>
        <v>0</v>
      </c>
      <c r="S45" s="113">
        <f>Treasury!G45-'Check Treasury Past'!G45</f>
        <v>0</v>
      </c>
      <c r="T45" s="113">
        <f>Treasury!H45-'Check Treasury Past'!H45</f>
        <v>0</v>
      </c>
      <c r="U45" s="113">
        <f>Treasury!I45-'Check Treasury Past'!I45</f>
        <v>0</v>
      </c>
      <c r="V45" s="113">
        <f>Treasury!J45-'Check Treasury Past'!J45</f>
        <v>0</v>
      </c>
      <c r="W45" s="113">
        <f>Treasury!K45-'Check Treasury Past'!K45</f>
        <v>0</v>
      </c>
      <c r="X45" s="1"/>
      <c r="Y45" s="1"/>
      <c r="Z45" s="1"/>
    </row>
    <row r="46" spans="1:26" s="14" customFormat="1" ht="12.75" customHeight="1" x14ac:dyDescent="0.2">
      <c r="A46" s="110">
        <v>37681</v>
      </c>
      <c r="B46" s="113">
        <v>2122</v>
      </c>
      <c r="C46" s="114">
        <v>353</v>
      </c>
      <c r="D46" s="114">
        <v>2475</v>
      </c>
      <c r="E46" s="114">
        <v>903</v>
      </c>
      <c r="F46" s="114">
        <v>41</v>
      </c>
      <c r="G46" s="114">
        <v>33</v>
      </c>
      <c r="H46" s="114">
        <v>3452</v>
      </c>
      <c r="I46" s="114">
        <v>5662</v>
      </c>
      <c r="J46" s="114">
        <v>9114</v>
      </c>
      <c r="K46" s="120">
        <v>539</v>
      </c>
      <c r="L46" s="20"/>
      <c r="M46" s="110">
        <v>37681</v>
      </c>
      <c r="N46" s="113">
        <f>Treasury!B46-'Check Treasury Past'!B46</f>
        <v>0</v>
      </c>
      <c r="O46" s="113">
        <f>Treasury!C46-'Check Treasury Past'!C46</f>
        <v>0</v>
      </c>
      <c r="P46" s="113">
        <f>Treasury!D46-'Check Treasury Past'!D46</f>
        <v>0</v>
      </c>
      <c r="Q46" s="113">
        <f>Treasury!E46-'Check Treasury Past'!E46</f>
        <v>0</v>
      </c>
      <c r="R46" s="113">
        <f>Treasury!F46-'Check Treasury Past'!F46</f>
        <v>0</v>
      </c>
      <c r="S46" s="113">
        <f>Treasury!G46-'Check Treasury Past'!G46</f>
        <v>0</v>
      </c>
      <c r="T46" s="113">
        <f>Treasury!H46-'Check Treasury Past'!H46</f>
        <v>0</v>
      </c>
      <c r="U46" s="113">
        <f>Treasury!I46-'Check Treasury Past'!I46</f>
        <v>0</v>
      </c>
      <c r="V46" s="113">
        <f>Treasury!J46-'Check Treasury Past'!J46</f>
        <v>0</v>
      </c>
      <c r="W46" s="113">
        <f>Treasury!K46-'Check Treasury Past'!K46</f>
        <v>0</v>
      </c>
      <c r="X46" s="1"/>
      <c r="Y46" s="1"/>
      <c r="Z46" s="1"/>
    </row>
    <row r="47" spans="1:26" s="14" customFormat="1" ht="12.75" customHeight="1" x14ac:dyDescent="0.2">
      <c r="A47" s="110">
        <v>37712</v>
      </c>
      <c r="B47" s="113">
        <v>2192</v>
      </c>
      <c r="C47" s="114">
        <v>415</v>
      </c>
      <c r="D47" s="114">
        <v>2607</v>
      </c>
      <c r="E47" s="114">
        <v>904</v>
      </c>
      <c r="F47" s="114">
        <v>41</v>
      </c>
      <c r="G47" s="114">
        <v>20</v>
      </c>
      <c r="H47" s="114">
        <v>3572</v>
      </c>
      <c r="I47" s="114">
        <v>4941</v>
      </c>
      <c r="J47" s="114">
        <v>8513</v>
      </c>
      <c r="K47" s="120">
        <v>501</v>
      </c>
      <c r="L47" s="20"/>
      <c r="M47" s="110">
        <v>37712</v>
      </c>
      <c r="N47" s="113">
        <f>Treasury!B47-'Check Treasury Past'!B47</f>
        <v>0</v>
      </c>
      <c r="O47" s="113">
        <f>Treasury!C47-'Check Treasury Past'!C47</f>
        <v>0</v>
      </c>
      <c r="P47" s="113">
        <f>Treasury!D47-'Check Treasury Past'!D47</f>
        <v>0</v>
      </c>
      <c r="Q47" s="113">
        <f>Treasury!E47-'Check Treasury Past'!E47</f>
        <v>0</v>
      </c>
      <c r="R47" s="113">
        <f>Treasury!F47-'Check Treasury Past'!F47</f>
        <v>0</v>
      </c>
      <c r="S47" s="113">
        <f>Treasury!G47-'Check Treasury Past'!G47</f>
        <v>0</v>
      </c>
      <c r="T47" s="113">
        <f>Treasury!H47-'Check Treasury Past'!H47</f>
        <v>0</v>
      </c>
      <c r="U47" s="113">
        <f>Treasury!I47-'Check Treasury Past'!I47</f>
        <v>0</v>
      </c>
      <c r="V47" s="113">
        <f>Treasury!J47-'Check Treasury Past'!J47</f>
        <v>0</v>
      </c>
      <c r="W47" s="113">
        <f>Treasury!K47-'Check Treasury Past'!K47</f>
        <v>0</v>
      </c>
      <c r="X47" s="1"/>
      <c r="Y47" s="1"/>
      <c r="Z47" s="1"/>
    </row>
    <row r="48" spans="1:26" s="14" customFormat="1" ht="12.75" customHeight="1" x14ac:dyDescent="0.2">
      <c r="A48" s="110">
        <v>37742</v>
      </c>
      <c r="B48" s="113">
        <v>2560</v>
      </c>
      <c r="C48" s="114">
        <v>391</v>
      </c>
      <c r="D48" s="114">
        <v>2951</v>
      </c>
      <c r="E48" s="114">
        <v>896</v>
      </c>
      <c r="F48" s="114">
        <v>41</v>
      </c>
      <c r="G48" s="114">
        <v>25</v>
      </c>
      <c r="H48" s="114">
        <v>3913</v>
      </c>
      <c r="I48" s="114">
        <v>5097</v>
      </c>
      <c r="J48" s="114">
        <v>9010</v>
      </c>
      <c r="K48" s="120">
        <v>362</v>
      </c>
      <c r="L48" s="20"/>
      <c r="M48" s="110">
        <v>37742</v>
      </c>
      <c r="N48" s="113">
        <f>Treasury!B48-'Check Treasury Past'!B48</f>
        <v>0</v>
      </c>
      <c r="O48" s="113">
        <f>Treasury!C48-'Check Treasury Past'!C48</f>
        <v>0</v>
      </c>
      <c r="P48" s="113">
        <f>Treasury!D48-'Check Treasury Past'!D48</f>
        <v>0</v>
      </c>
      <c r="Q48" s="113">
        <f>Treasury!E48-'Check Treasury Past'!E48</f>
        <v>0</v>
      </c>
      <c r="R48" s="113">
        <f>Treasury!F48-'Check Treasury Past'!F48</f>
        <v>0</v>
      </c>
      <c r="S48" s="113">
        <f>Treasury!G48-'Check Treasury Past'!G48</f>
        <v>0</v>
      </c>
      <c r="T48" s="113">
        <f>Treasury!H48-'Check Treasury Past'!H48</f>
        <v>0</v>
      </c>
      <c r="U48" s="113">
        <f>Treasury!I48-'Check Treasury Past'!I48</f>
        <v>0</v>
      </c>
      <c r="V48" s="113">
        <f>Treasury!J48-'Check Treasury Past'!J48</f>
        <v>0</v>
      </c>
      <c r="W48" s="113">
        <f>Treasury!K48-'Check Treasury Past'!K48</f>
        <v>0</v>
      </c>
      <c r="X48" s="1"/>
      <c r="Y48" s="1"/>
      <c r="Z48" s="1"/>
    </row>
    <row r="49" spans="1:26" s="14" customFormat="1" ht="12.75" customHeight="1" x14ac:dyDescent="0.2">
      <c r="A49" s="110">
        <v>37773</v>
      </c>
      <c r="B49" s="113">
        <v>3214</v>
      </c>
      <c r="C49" s="114">
        <v>373</v>
      </c>
      <c r="D49" s="114">
        <v>3587</v>
      </c>
      <c r="E49" s="114">
        <v>1021</v>
      </c>
      <c r="F49" s="114">
        <v>42</v>
      </c>
      <c r="G49" s="114">
        <v>25</v>
      </c>
      <c r="H49" s="114">
        <v>4675</v>
      </c>
      <c r="I49" s="114">
        <v>5108</v>
      </c>
      <c r="J49" s="114">
        <v>9783</v>
      </c>
      <c r="K49" s="120">
        <v>389</v>
      </c>
      <c r="L49" s="20"/>
      <c r="M49" s="110">
        <v>37773</v>
      </c>
      <c r="N49" s="113">
        <f>Treasury!B49-'Check Treasury Past'!B49</f>
        <v>0</v>
      </c>
      <c r="O49" s="113">
        <f>Treasury!C49-'Check Treasury Past'!C49</f>
        <v>0</v>
      </c>
      <c r="P49" s="113">
        <f>Treasury!D49-'Check Treasury Past'!D49</f>
        <v>0</v>
      </c>
      <c r="Q49" s="113">
        <f>Treasury!E49-'Check Treasury Past'!E49</f>
        <v>0</v>
      </c>
      <c r="R49" s="113">
        <f>Treasury!F49-'Check Treasury Past'!F49</f>
        <v>0</v>
      </c>
      <c r="S49" s="113">
        <f>Treasury!G49-'Check Treasury Past'!G49</f>
        <v>0</v>
      </c>
      <c r="T49" s="113">
        <f>Treasury!H49-'Check Treasury Past'!H49</f>
        <v>0</v>
      </c>
      <c r="U49" s="113">
        <f>Treasury!I49-'Check Treasury Past'!I49</f>
        <v>0</v>
      </c>
      <c r="V49" s="113">
        <f>Treasury!J49-'Check Treasury Past'!J49</f>
        <v>0</v>
      </c>
      <c r="W49" s="113">
        <f>Treasury!K49-'Check Treasury Past'!K49</f>
        <v>0</v>
      </c>
      <c r="X49" s="1"/>
      <c r="Y49" s="1"/>
      <c r="Z49" s="1"/>
    </row>
    <row r="50" spans="1:26" s="14" customFormat="1" ht="12.75" customHeight="1" x14ac:dyDescent="0.2">
      <c r="A50" s="110">
        <v>37803</v>
      </c>
      <c r="B50" s="113">
        <v>3103</v>
      </c>
      <c r="C50" s="114">
        <v>372</v>
      </c>
      <c r="D50" s="114">
        <v>3475</v>
      </c>
      <c r="E50" s="114">
        <v>1016</v>
      </c>
      <c r="F50" s="114">
        <v>42</v>
      </c>
      <c r="G50" s="114">
        <v>28</v>
      </c>
      <c r="H50" s="114">
        <v>4561</v>
      </c>
      <c r="I50" s="114">
        <v>4727</v>
      </c>
      <c r="J50" s="114">
        <v>9288</v>
      </c>
      <c r="K50" s="120">
        <v>549</v>
      </c>
      <c r="L50" s="20"/>
      <c r="M50" s="110">
        <v>37803</v>
      </c>
      <c r="N50" s="113">
        <f>Treasury!B50-'Check Treasury Past'!B50</f>
        <v>0</v>
      </c>
      <c r="O50" s="113">
        <f>Treasury!C50-'Check Treasury Past'!C50</f>
        <v>0</v>
      </c>
      <c r="P50" s="113">
        <f>Treasury!D50-'Check Treasury Past'!D50</f>
        <v>0</v>
      </c>
      <c r="Q50" s="113">
        <f>Treasury!E50-'Check Treasury Past'!E50</f>
        <v>0</v>
      </c>
      <c r="R50" s="113">
        <f>Treasury!F50-'Check Treasury Past'!F50</f>
        <v>0</v>
      </c>
      <c r="S50" s="113">
        <f>Treasury!G50-'Check Treasury Past'!G50</f>
        <v>0</v>
      </c>
      <c r="T50" s="113">
        <f>Treasury!H50-'Check Treasury Past'!H50</f>
        <v>0</v>
      </c>
      <c r="U50" s="113">
        <f>Treasury!I50-'Check Treasury Past'!I50</f>
        <v>0</v>
      </c>
      <c r="V50" s="113">
        <f>Treasury!J50-'Check Treasury Past'!J50</f>
        <v>0</v>
      </c>
      <c r="W50" s="113">
        <f>Treasury!K50-'Check Treasury Past'!K50</f>
        <v>0</v>
      </c>
      <c r="X50" s="1"/>
      <c r="Y50" s="1"/>
      <c r="Z50" s="1"/>
    </row>
    <row r="51" spans="1:26" s="14" customFormat="1" ht="12.75" customHeight="1" x14ac:dyDescent="0.2">
      <c r="A51" s="110">
        <v>37834</v>
      </c>
      <c r="B51" s="113">
        <v>2937</v>
      </c>
      <c r="C51" s="114">
        <v>315</v>
      </c>
      <c r="D51" s="114">
        <v>3252</v>
      </c>
      <c r="E51" s="114">
        <v>971</v>
      </c>
      <c r="F51" s="114">
        <v>44</v>
      </c>
      <c r="G51" s="114">
        <v>8</v>
      </c>
      <c r="H51" s="114">
        <v>4275</v>
      </c>
      <c r="I51" s="114">
        <v>4366</v>
      </c>
      <c r="J51" s="114">
        <v>8641</v>
      </c>
      <c r="K51" s="120">
        <v>534</v>
      </c>
      <c r="L51" s="20"/>
      <c r="M51" s="110">
        <v>37834</v>
      </c>
      <c r="N51" s="113">
        <f>Treasury!B51-'Check Treasury Past'!B51</f>
        <v>0</v>
      </c>
      <c r="O51" s="113">
        <f>Treasury!C51-'Check Treasury Past'!C51</f>
        <v>0</v>
      </c>
      <c r="P51" s="113">
        <f>Treasury!D51-'Check Treasury Past'!D51</f>
        <v>0</v>
      </c>
      <c r="Q51" s="113">
        <f>Treasury!E51-'Check Treasury Past'!E51</f>
        <v>0</v>
      </c>
      <c r="R51" s="113">
        <f>Treasury!F51-'Check Treasury Past'!F51</f>
        <v>0</v>
      </c>
      <c r="S51" s="113">
        <f>Treasury!G51-'Check Treasury Past'!G51</f>
        <v>0</v>
      </c>
      <c r="T51" s="113">
        <f>Treasury!H51-'Check Treasury Past'!H51</f>
        <v>0</v>
      </c>
      <c r="U51" s="113">
        <f>Treasury!I51-'Check Treasury Past'!I51</f>
        <v>0</v>
      </c>
      <c r="V51" s="113">
        <f>Treasury!J51-'Check Treasury Past'!J51</f>
        <v>0</v>
      </c>
      <c r="W51" s="113">
        <f>Treasury!K51-'Check Treasury Past'!K51</f>
        <v>0</v>
      </c>
      <c r="X51" s="1"/>
      <c r="Y51" s="1"/>
      <c r="Z51" s="1"/>
    </row>
    <row r="52" spans="1:26" s="14" customFormat="1" ht="12.75" customHeight="1" x14ac:dyDescent="0.2">
      <c r="A52" s="110">
        <v>37865</v>
      </c>
      <c r="B52" s="113">
        <v>3078</v>
      </c>
      <c r="C52" s="114">
        <v>234</v>
      </c>
      <c r="D52" s="114">
        <v>3312</v>
      </c>
      <c r="E52" s="114">
        <v>969</v>
      </c>
      <c r="F52" s="114">
        <v>44</v>
      </c>
      <c r="G52" s="114">
        <v>16</v>
      </c>
      <c r="H52" s="114">
        <v>4341</v>
      </c>
      <c r="I52" s="114">
        <v>4361</v>
      </c>
      <c r="J52" s="114">
        <v>8702</v>
      </c>
      <c r="K52" s="120">
        <v>482</v>
      </c>
      <c r="L52" s="20"/>
      <c r="M52" s="110">
        <v>37865</v>
      </c>
      <c r="N52" s="113">
        <f>Treasury!B52-'Check Treasury Past'!B52</f>
        <v>0</v>
      </c>
      <c r="O52" s="113">
        <f>Treasury!C52-'Check Treasury Past'!C52</f>
        <v>0</v>
      </c>
      <c r="P52" s="113">
        <f>Treasury!D52-'Check Treasury Past'!D52</f>
        <v>0</v>
      </c>
      <c r="Q52" s="113">
        <f>Treasury!E52-'Check Treasury Past'!E52</f>
        <v>0</v>
      </c>
      <c r="R52" s="113">
        <f>Treasury!F52-'Check Treasury Past'!F52</f>
        <v>0</v>
      </c>
      <c r="S52" s="113">
        <f>Treasury!G52-'Check Treasury Past'!G52</f>
        <v>0</v>
      </c>
      <c r="T52" s="113">
        <f>Treasury!H52-'Check Treasury Past'!H52</f>
        <v>0</v>
      </c>
      <c r="U52" s="113">
        <f>Treasury!I52-'Check Treasury Past'!I52</f>
        <v>0</v>
      </c>
      <c r="V52" s="113">
        <f>Treasury!J52-'Check Treasury Past'!J52</f>
        <v>0</v>
      </c>
      <c r="W52" s="113">
        <f>Treasury!K52-'Check Treasury Past'!K52</f>
        <v>0</v>
      </c>
      <c r="X52" s="1"/>
      <c r="Y52" s="1"/>
      <c r="Z52" s="1"/>
    </row>
    <row r="53" spans="1:26" s="14" customFormat="1" ht="12.75" customHeight="1" x14ac:dyDescent="0.2">
      <c r="A53" s="110">
        <v>37895</v>
      </c>
      <c r="B53" s="113">
        <v>3239</v>
      </c>
      <c r="C53" s="114">
        <v>622</v>
      </c>
      <c r="D53" s="114">
        <v>3861</v>
      </c>
      <c r="E53" s="114">
        <v>1064</v>
      </c>
      <c r="F53" s="114">
        <v>43</v>
      </c>
      <c r="G53" s="114">
        <v>24</v>
      </c>
      <c r="H53" s="114">
        <v>4992</v>
      </c>
      <c r="I53" s="114">
        <v>4298</v>
      </c>
      <c r="J53" s="114">
        <v>9290</v>
      </c>
      <c r="K53" s="120">
        <v>485</v>
      </c>
      <c r="L53" s="20"/>
      <c r="M53" s="110">
        <v>37895</v>
      </c>
      <c r="N53" s="113">
        <f>Treasury!B53-'Check Treasury Past'!B53</f>
        <v>0</v>
      </c>
      <c r="O53" s="113">
        <f>Treasury!C53-'Check Treasury Past'!C53</f>
        <v>0</v>
      </c>
      <c r="P53" s="113">
        <f>Treasury!D53-'Check Treasury Past'!D53</f>
        <v>0</v>
      </c>
      <c r="Q53" s="113">
        <f>Treasury!E53-'Check Treasury Past'!E53</f>
        <v>0</v>
      </c>
      <c r="R53" s="113">
        <f>Treasury!F53-'Check Treasury Past'!F53</f>
        <v>0</v>
      </c>
      <c r="S53" s="113">
        <f>Treasury!G53-'Check Treasury Past'!G53</f>
        <v>0</v>
      </c>
      <c r="T53" s="113">
        <f>Treasury!H53-'Check Treasury Past'!H53</f>
        <v>0</v>
      </c>
      <c r="U53" s="113">
        <f>Treasury!I53-'Check Treasury Past'!I53</f>
        <v>0</v>
      </c>
      <c r="V53" s="113">
        <f>Treasury!J53-'Check Treasury Past'!J53</f>
        <v>0</v>
      </c>
      <c r="W53" s="113">
        <f>Treasury!K53-'Check Treasury Past'!K53</f>
        <v>0</v>
      </c>
      <c r="X53" s="1"/>
      <c r="Y53" s="1"/>
      <c r="Z53" s="1"/>
    </row>
    <row r="54" spans="1:26" s="14" customFormat="1" ht="12.75" customHeight="1" x14ac:dyDescent="0.2">
      <c r="A54" s="110">
        <v>37926</v>
      </c>
      <c r="B54" s="113">
        <v>2951</v>
      </c>
      <c r="C54" s="114">
        <v>288</v>
      </c>
      <c r="D54" s="114">
        <v>3239</v>
      </c>
      <c r="E54" s="114">
        <v>981</v>
      </c>
      <c r="F54" s="114">
        <v>43</v>
      </c>
      <c r="G54" s="114">
        <v>40</v>
      </c>
      <c r="H54" s="114">
        <v>4303</v>
      </c>
      <c r="I54" s="114">
        <v>6307</v>
      </c>
      <c r="J54" s="114">
        <v>10610</v>
      </c>
      <c r="K54" s="120">
        <v>610</v>
      </c>
      <c r="L54" s="20"/>
      <c r="M54" s="110">
        <v>37926</v>
      </c>
      <c r="N54" s="113">
        <f>Treasury!B54-'Check Treasury Past'!B54</f>
        <v>0</v>
      </c>
      <c r="O54" s="113">
        <f>Treasury!C54-'Check Treasury Past'!C54</f>
        <v>0</v>
      </c>
      <c r="P54" s="113">
        <f>Treasury!D54-'Check Treasury Past'!D54</f>
        <v>0</v>
      </c>
      <c r="Q54" s="113">
        <f>Treasury!E54-'Check Treasury Past'!E54</f>
        <v>0</v>
      </c>
      <c r="R54" s="113">
        <f>Treasury!F54-'Check Treasury Past'!F54</f>
        <v>0</v>
      </c>
      <c r="S54" s="113">
        <f>Treasury!G54-'Check Treasury Past'!G54</f>
        <v>0</v>
      </c>
      <c r="T54" s="113">
        <f>Treasury!H54-'Check Treasury Past'!H54</f>
        <v>0</v>
      </c>
      <c r="U54" s="113">
        <f>Treasury!I54-'Check Treasury Past'!I54</f>
        <v>0</v>
      </c>
      <c r="V54" s="113">
        <f>Treasury!J54-'Check Treasury Past'!J54</f>
        <v>0</v>
      </c>
      <c r="W54" s="113">
        <f>Treasury!K54-'Check Treasury Past'!K54</f>
        <v>0</v>
      </c>
      <c r="X54" s="1"/>
      <c r="Y54" s="1"/>
      <c r="Z54" s="1"/>
    </row>
    <row r="55" spans="1:26" s="14" customFormat="1" ht="12.75" customHeight="1" x14ac:dyDescent="0.2">
      <c r="A55" s="110">
        <v>37956</v>
      </c>
      <c r="B55" s="113">
        <v>2668</v>
      </c>
      <c r="C55" s="114">
        <v>188</v>
      </c>
      <c r="D55" s="114">
        <v>2856</v>
      </c>
      <c r="E55" s="114">
        <v>984</v>
      </c>
      <c r="F55" s="114">
        <v>43</v>
      </c>
      <c r="G55" s="114">
        <v>46</v>
      </c>
      <c r="H55" s="114">
        <v>3929</v>
      </c>
      <c r="I55" s="114">
        <v>5371</v>
      </c>
      <c r="J55" s="114">
        <v>9300</v>
      </c>
      <c r="K55" s="120">
        <v>700</v>
      </c>
      <c r="L55" s="20"/>
      <c r="M55" s="110">
        <v>37956</v>
      </c>
      <c r="N55" s="113">
        <f>Treasury!B55-'Check Treasury Past'!B55</f>
        <v>0</v>
      </c>
      <c r="O55" s="113">
        <f>Treasury!C55-'Check Treasury Past'!C55</f>
        <v>0</v>
      </c>
      <c r="P55" s="113">
        <f>Treasury!D55-'Check Treasury Past'!D55</f>
        <v>0</v>
      </c>
      <c r="Q55" s="113">
        <f>Treasury!E55-'Check Treasury Past'!E55</f>
        <v>0</v>
      </c>
      <c r="R55" s="113">
        <f>Treasury!F55-'Check Treasury Past'!F55</f>
        <v>0</v>
      </c>
      <c r="S55" s="113">
        <f>Treasury!G55-'Check Treasury Past'!G55</f>
        <v>0</v>
      </c>
      <c r="T55" s="113">
        <f>Treasury!H55-'Check Treasury Past'!H55</f>
        <v>0</v>
      </c>
      <c r="U55" s="113">
        <f>Treasury!I55-'Check Treasury Past'!I55</f>
        <v>0</v>
      </c>
      <c r="V55" s="113">
        <f>Treasury!J55-'Check Treasury Past'!J55</f>
        <v>0</v>
      </c>
      <c r="W55" s="113">
        <f>Treasury!K55-'Check Treasury Past'!K55</f>
        <v>0</v>
      </c>
      <c r="X55" s="1"/>
      <c r="Y55" s="1"/>
      <c r="Z55" s="1"/>
    </row>
    <row r="56" spans="1:26" s="14" customFormat="1" ht="12.75" customHeight="1" x14ac:dyDescent="0.2">
      <c r="A56" s="110">
        <v>37987</v>
      </c>
      <c r="B56" s="113">
        <v>2229</v>
      </c>
      <c r="C56" s="114">
        <v>323</v>
      </c>
      <c r="D56" s="114">
        <v>2552</v>
      </c>
      <c r="E56" s="114">
        <v>963</v>
      </c>
      <c r="F56" s="114">
        <v>42</v>
      </c>
      <c r="G56" s="114">
        <v>55</v>
      </c>
      <c r="H56" s="114">
        <v>3612</v>
      </c>
      <c r="I56" s="114">
        <v>4833</v>
      </c>
      <c r="J56" s="114">
        <v>8445</v>
      </c>
      <c r="K56" s="120">
        <v>729</v>
      </c>
      <c r="L56" s="20"/>
      <c r="M56" s="110">
        <v>37987</v>
      </c>
      <c r="N56" s="113">
        <f>Treasury!B56-'Check Treasury Past'!B56</f>
        <v>0</v>
      </c>
      <c r="O56" s="113">
        <f>Treasury!C56-'Check Treasury Past'!C56</f>
        <v>0</v>
      </c>
      <c r="P56" s="113">
        <f>Treasury!D56-'Check Treasury Past'!D56</f>
        <v>0</v>
      </c>
      <c r="Q56" s="113">
        <f>Treasury!E56-'Check Treasury Past'!E56</f>
        <v>0</v>
      </c>
      <c r="R56" s="113">
        <f>Treasury!F56-'Check Treasury Past'!F56</f>
        <v>0</v>
      </c>
      <c r="S56" s="113">
        <f>Treasury!G56-'Check Treasury Past'!G56</f>
        <v>0</v>
      </c>
      <c r="T56" s="113">
        <f>Treasury!H56-'Check Treasury Past'!H56</f>
        <v>0</v>
      </c>
      <c r="U56" s="113">
        <f>Treasury!I56-'Check Treasury Past'!I56</f>
        <v>0</v>
      </c>
      <c r="V56" s="113">
        <f>Treasury!J56-'Check Treasury Past'!J56</f>
        <v>0</v>
      </c>
      <c r="W56" s="113">
        <f>Treasury!K56-'Check Treasury Past'!K56</f>
        <v>0</v>
      </c>
      <c r="X56" s="1"/>
      <c r="Y56" s="1"/>
      <c r="Z56" s="1"/>
    </row>
    <row r="57" spans="1:26" s="14" customFormat="1" ht="12.75" customHeight="1" x14ac:dyDescent="0.2">
      <c r="A57" s="110">
        <v>38018</v>
      </c>
      <c r="B57" s="113">
        <v>2173</v>
      </c>
      <c r="C57" s="114">
        <v>475</v>
      </c>
      <c r="D57" s="114">
        <v>2648</v>
      </c>
      <c r="E57" s="114">
        <v>798</v>
      </c>
      <c r="F57" s="114">
        <v>43</v>
      </c>
      <c r="G57" s="114">
        <v>32</v>
      </c>
      <c r="H57" s="114">
        <v>3521</v>
      </c>
      <c r="I57" s="114">
        <v>5675</v>
      </c>
      <c r="J57" s="114">
        <v>9196</v>
      </c>
      <c r="K57" s="120">
        <v>720</v>
      </c>
      <c r="L57" s="20"/>
      <c r="M57" s="110">
        <v>38018</v>
      </c>
      <c r="N57" s="113">
        <f>Treasury!B57-'Check Treasury Past'!B57</f>
        <v>0</v>
      </c>
      <c r="O57" s="113">
        <f>Treasury!C57-'Check Treasury Past'!C57</f>
        <v>0</v>
      </c>
      <c r="P57" s="113">
        <f>Treasury!D57-'Check Treasury Past'!D57</f>
        <v>0</v>
      </c>
      <c r="Q57" s="113">
        <f>Treasury!E57-'Check Treasury Past'!E57</f>
        <v>0</v>
      </c>
      <c r="R57" s="113">
        <f>Treasury!F57-'Check Treasury Past'!F57</f>
        <v>0</v>
      </c>
      <c r="S57" s="113">
        <f>Treasury!G57-'Check Treasury Past'!G57</f>
        <v>0</v>
      </c>
      <c r="T57" s="113">
        <f>Treasury!H57-'Check Treasury Past'!H57</f>
        <v>0</v>
      </c>
      <c r="U57" s="113">
        <f>Treasury!I57-'Check Treasury Past'!I57</f>
        <v>0</v>
      </c>
      <c r="V57" s="113">
        <f>Treasury!J57-'Check Treasury Past'!J57</f>
        <v>0</v>
      </c>
      <c r="W57" s="113">
        <f>Treasury!K57-'Check Treasury Past'!K57</f>
        <v>0</v>
      </c>
      <c r="X57" s="1"/>
      <c r="Y57" s="1"/>
      <c r="Z57" s="1"/>
    </row>
    <row r="58" spans="1:26" s="14" customFormat="1" ht="12.75" customHeight="1" x14ac:dyDescent="0.2">
      <c r="A58" s="110">
        <v>38047</v>
      </c>
      <c r="B58" s="113">
        <v>2042</v>
      </c>
      <c r="C58" s="114">
        <v>475</v>
      </c>
      <c r="D58" s="114">
        <v>2517</v>
      </c>
      <c r="E58" s="114">
        <v>828</v>
      </c>
      <c r="F58" s="114">
        <v>45</v>
      </c>
      <c r="G58" s="114">
        <v>7</v>
      </c>
      <c r="H58" s="114">
        <v>3397</v>
      </c>
      <c r="I58" s="114">
        <v>6696</v>
      </c>
      <c r="J58" s="114">
        <v>10093</v>
      </c>
      <c r="K58" s="120">
        <v>630</v>
      </c>
      <c r="L58" s="20"/>
      <c r="M58" s="110">
        <v>38047</v>
      </c>
      <c r="N58" s="113">
        <f>Treasury!B58-'Check Treasury Past'!B58</f>
        <v>0</v>
      </c>
      <c r="O58" s="113">
        <f>Treasury!C58-'Check Treasury Past'!C58</f>
        <v>0</v>
      </c>
      <c r="P58" s="113">
        <f>Treasury!D58-'Check Treasury Past'!D58</f>
        <v>0</v>
      </c>
      <c r="Q58" s="113">
        <f>Treasury!E58-'Check Treasury Past'!E58</f>
        <v>0</v>
      </c>
      <c r="R58" s="113">
        <f>Treasury!F58-'Check Treasury Past'!F58</f>
        <v>0</v>
      </c>
      <c r="S58" s="113">
        <f>Treasury!G58-'Check Treasury Past'!G58</f>
        <v>0</v>
      </c>
      <c r="T58" s="113">
        <f>Treasury!H58-'Check Treasury Past'!H58</f>
        <v>0</v>
      </c>
      <c r="U58" s="113">
        <f>Treasury!I58-'Check Treasury Past'!I58</f>
        <v>0</v>
      </c>
      <c r="V58" s="113">
        <f>Treasury!J58-'Check Treasury Past'!J58</f>
        <v>0</v>
      </c>
      <c r="W58" s="113">
        <f>Treasury!K58-'Check Treasury Past'!K58</f>
        <v>0</v>
      </c>
      <c r="X58" s="1"/>
      <c r="Y58" s="1"/>
      <c r="Z58" s="1"/>
    </row>
    <row r="59" spans="1:26" s="14" customFormat="1" ht="12.75" customHeight="1" x14ac:dyDescent="0.2">
      <c r="A59" s="110">
        <v>38078</v>
      </c>
      <c r="B59" s="113">
        <v>2807</v>
      </c>
      <c r="C59" s="114">
        <v>469</v>
      </c>
      <c r="D59" s="114">
        <v>3276</v>
      </c>
      <c r="E59" s="114">
        <v>813</v>
      </c>
      <c r="F59" s="114">
        <v>47</v>
      </c>
      <c r="G59" s="114">
        <v>-21</v>
      </c>
      <c r="H59" s="114">
        <v>4115</v>
      </c>
      <c r="I59" s="114">
        <v>5231</v>
      </c>
      <c r="J59" s="114">
        <v>9346</v>
      </c>
      <c r="K59" s="120">
        <v>343</v>
      </c>
      <c r="L59" s="20"/>
      <c r="M59" s="110">
        <v>38078</v>
      </c>
      <c r="N59" s="113">
        <f>Treasury!B59-'Check Treasury Past'!B59</f>
        <v>0</v>
      </c>
      <c r="O59" s="113">
        <f>Treasury!C59-'Check Treasury Past'!C59</f>
        <v>0</v>
      </c>
      <c r="P59" s="113">
        <f>Treasury!D59-'Check Treasury Past'!D59</f>
        <v>0</v>
      </c>
      <c r="Q59" s="113">
        <f>Treasury!E59-'Check Treasury Past'!E59</f>
        <v>0</v>
      </c>
      <c r="R59" s="113">
        <f>Treasury!F59-'Check Treasury Past'!F59</f>
        <v>0</v>
      </c>
      <c r="S59" s="113">
        <f>Treasury!G59-'Check Treasury Past'!G59</f>
        <v>0</v>
      </c>
      <c r="T59" s="113">
        <f>Treasury!H59-'Check Treasury Past'!H59</f>
        <v>0</v>
      </c>
      <c r="U59" s="113">
        <f>Treasury!I59-'Check Treasury Past'!I59</f>
        <v>0</v>
      </c>
      <c r="V59" s="113">
        <f>Treasury!J59-'Check Treasury Past'!J59</f>
        <v>0</v>
      </c>
      <c r="W59" s="113">
        <f>Treasury!K59-'Check Treasury Past'!K59</f>
        <v>0</v>
      </c>
      <c r="X59" s="1"/>
      <c r="Y59" s="1"/>
      <c r="Z59" s="1"/>
    </row>
    <row r="60" spans="1:26" s="14" customFormat="1" ht="12.75" customHeight="1" x14ac:dyDescent="0.2">
      <c r="A60" s="110">
        <v>38108</v>
      </c>
      <c r="B60" s="113">
        <v>2740</v>
      </c>
      <c r="C60" s="114">
        <v>290</v>
      </c>
      <c r="D60" s="114">
        <v>3030</v>
      </c>
      <c r="E60" s="114">
        <v>811</v>
      </c>
      <c r="F60" s="114">
        <v>48</v>
      </c>
      <c r="G60" s="114">
        <v>-1</v>
      </c>
      <c r="H60" s="114">
        <v>3888</v>
      </c>
      <c r="I60" s="114">
        <v>4011</v>
      </c>
      <c r="J60" s="114">
        <v>7899</v>
      </c>
      <c r="K60" s="120">
        <v>308</v>
      </c>
      <c r="L60" s="20"/>
      <c r="M60" s="110">
        <v>38108</v>
      </c>
      <c r="N60" s="113">
        <f>Treasury!B60-'Check Treasury Past'!B60</f>
        <v>0</v>
      </c>
      <c r="O60" s="113">
        <f>Treasury!C60-'Check Treasury Past'!C60</f>
        <v>0</v>
      </c>
      <c r="P60" s="113">
        <f>Treasury!D60-'Check Treasury Past'!D60</f>
        <v>0</v>
      </c>
      <c r="Q60" s="113">
        <f>Treasury!E60-'Check Treasury Past'!E60</f>
        <v>0</v>
      </c>
      <c r="R60" s="113">
        <f>Treasury!F60-'Check Treasury Past'!F60</f>
        <v>0</v>
      </c>
      <c r="S60" s="113">
        <f>Treasury!G60-'Check Treasury Past'!G60</f>
        <v>0</v>
      </c>
      <c r="T60" s="113">
        <f>Treasury!H60-'Check Treasury Past'!H60</f>
        <v>0</v>
      </c>
      <c r="U60" s="113">
        <f>Treasury!I60-'Check Treasury Past'!I60</f>
        <v>0</v>
      </c>
      <c r="V60" s="113">
        <f>Treasury!J60-'Check Treasury Past'!J60</f>
        <v>0</v>
      </c>
      <c r="W60" s="113">
        <f>Treasury!K60-'Check Treasury Past'!K60</f>
        <v>0</v>
      </c>
      <c r="X60" s="1"/>
      <c r="Y60" s="1"/>
      <c r="Z60" s="1"/>
    </row>
    <row r="61" spans="1:26" s="14" customFormat="1" ht="12.75" customHeight="1" x14ac:dyDescent="0.2">
      <c r="A61" s="110">
        <v>38139</v>
      </c>
      <c r="B61" s="113">
        <v>2328</v>
      </c>
      <c r="C61" s="114">
        <v>248</v>
      </c>
      <c r="D61" s="114">
        <v>2576</v>
      </c>
      <c r="E61" s="114">
        <v>813</v>
      </c>
      <c r="F61" s="114">
        <v>48</v>
      </c>
      <c r="G61" s="114">
        <v>14</v>
      </c>
      <c r="H61" s="114">
        <v>3451</v>
      </c>
      <c r="I61" s="114">
        <v>3833</v>
      </c>
      <c r="J61" s="114">
        <v>7284</v>
      </c>
      <c r="K61" s="120">
        <v>273</v>
      </c>
      <c r="L61" s="20"/>
      <c r="M61" s="110">
        <v>38139</v>
      </c>
      <c r="N61" s="113">
        <f>Treasury!B61-'Check Treasury Past'!B61</f>
        <v>0</v>
      </c>
      <c r="O61" s="113">
        <f>Treasury!C61-'Check Treasury Past'!C61</f>
        <v>0</v>
      </c>
      <c r="P61" s="113">
        <f>Treasury!D61-'Check Treasury Past'!D61</f>
        <v>0</v>
      </c>
      <c r="Q61" s="113">
        <f>Treasury!E61-'Check Treasury Past'!E61</f>
        <v>0</v>
      </c>
      <c r="R61" s="113">
        <f>Treasury!F61-'Check Treasury Past'!F61</f>
        <v>0</v>
      </c>
      <c r="S61" s="113">
        <f>Treasury!G61-'Check Treasury Past'!G61</f>
        <v>0</v>
      </c>
      <c r="T61" s="113">
        <f>Treasury!H61-'Check Treasury Past'!H61</f>
        <v>0</v>
      </c>
      <c r="U61" s="113">
        <f>Treasury!I61-'Check Treasury Past'!I61</f>
        <v>0</v>
      </c>
      <c r="V61" s="113">
        <f>Treasury!J61-'Check Treasury Past'!J61</f>
        <v>0</v>
      </c>
      <c r="W61" s="113">
        <f>Treasury!K61-'Check Treasury Past'!K61</f>
        <v>0</v>
      </c>
      <c r="X61" s="1"/>
      <c r="Y61" s="1"/>
      <c r="Z61" s="1"/>
    </row>
    <row r="62" spans="1:26" s="14" customFormat="1" ht="12.75" customHeight="1" x14ac:dyDescent="0.2">
      <c r="A62" s="110">
        <v>38169</v>
      </c>
      <c r="B62" s="113">
        <v>2118</v>
      </c>
      <c r="C62" s="114">
        <v>195</v>
      </c>
      <c r="D62" s="114">
        <v>2313</v>
      </c>
      <c r="E62" s="114">
        <v>762</v>
      </c>
      <c r="F62" s="114">
        <v>48</v>
      </c>
      <c r="G62" s="114">
        <v>12</v>
      </c>
      <c r="H62" s="114">
        <v>3135</v>
      </c>
      <c r="I62" s="114">
        <v>4734</v>
      </c>
      <c r="J62" s="114">
        <v>7869</v>
      </c>
      <c r="K62" s="120">
        <v>354</v>
      </c>
      <c r="L62" s="20"/>
      <c r="M62" s="110">
        <v>38169</v>
      </c>
      <c r="N62" s="113">
        <f>Treasury!B62-'Check Treasury Past'!B62</f>
        <v>0</v>
      </c>
      <c r="O62" s="113">
        <f>Treasury!C62-'Check Treasury Past'!C62</f>
        <v>0</v>
      </c>
      <c r="P62" s="113">
        <f>Treasury!D62-'Check Treasury Past'!D62</f>
        <v>0</v>
      </c>
      <c r="Q62" s="113">
        <f>Treasury!E62-'Check Treasury Past'!E62</f>
        <v>0</v>
      </c>
      <c r="R62" s="113">
        <f>Treasury!F62-'Check Treasury Past'!F62</f>
        <v>0</v>
      </c>
      <c r="S62" s="113">
        <f>Treasury!G62-'Check Treasury Past'!G62</f>
        <v>0</v>
      </c>
      <c r="T62" s="113">
        <f>Treasury!H62-'Check Treasury Past'!H62</f>
        <v>0</v>
      </c>
      <c r="U62" s="113">
        <f>Treasury!I62-'Check Treasury Past'!I62</f>
        <v>0</v>
      </c>
      <c r="V62" s="113">
        <f>Treasury!J62-'Check Treasury Past'!J62</f>
        <v>0</v>
      </c>
      <c r="W62" s="113">
        <f>Treasury!K62-'Check Treasury Past'!K62</f>
        <v>0</v>
      </c>
      <c r="X62" s="1"/>
      <c r="Y62" s="1"/>
      <c r="Z62" s="1"/>
    </row>
    <row r="63" spans="1:26" s="14" customFormat="1" ht="12.75" customHeight="1" x14ac:dyDescent="0.2">
      <c r="A63" s="110">
        <v>38200</v>
      </c>
      <c r="B63" s="113">
        <v>2504</v>
      </c>
      <c r="C63" s="114">
        <v>304</v>
      </c>
      <c r="D63" s="114">
        <v>2808</v>
      </c>
      <c r="E63" s="114">
        <v>721</v>
      </c>
      <c r="F63" s="114">
        <v>48</v>
      </c>
      <c r="G63" s="114">
        <v>25</v>
      </c>
      <c r="H63" s="114">
        <v>3602</v>
      </c>
      <c r="I63" s="114">
        <v>4298</v>
      </c>
      <c r="J63" s="114">
        <v>7900</v>
      </c>
      <c r="K63" s="120">
        <v>339</v>
      </c>
      <c r="L63" s="20"/>
      <c r="M63" s="110">
        <v>38200</v>
      </c>
      <c r="N63" s="113">
        <f>Treasury!B63-'Check Treasury Past'!B63</f>
        <v>0</v>
      </c>
      <c r="O63" s="113">
        <f>Treasury!C63-'Check Treasury Past'!C63</f>
        <v>0</v>
      </c>
      <c r="P63" s="113">
        <f>Treasury!D63-'Check Treasury Past'!D63</f>
        <v>0</v>
      </c>
      <c r="Q63" s="113">
        <f>Treasury!E63-'Check Treasury Past'!E63</f>
        <v>0</v>
      </c>
      <c r="R63" s="113">
        <f>Treasury!F63-'Check Treasury Past'!F63</f>
        <v>0</v>
      </c>
      <c r="S63" s="113">
        <f>Treasury!G63-'Check Treasury Past'!G63</f>
        <v>0</v>
      </c>
      <c r="T63" s="113">
        <f>Treasury!H63-'Check Treasury Past'!H63</f>
        <v>0</v>
      </c>
      <c r="U63" s="113">
        <f>Treasury!I63-'Check Treasury Past'!I63</f>
        <v>0</v>
      </c>
      <c r="V63" s="113">
        <f>Treasury!J63-'Check Treasury Past'!J63</f>
        <v>0</v>
      </c>
      <c r="W63" s="113">
        <f>Treasury!K63-'Check Treasury Past'!K63</f>
        <v>0</v>
      </c>
      <c r="X63" s="1"/>
      <c r="Y63" s="1"/>
      <c r="Z63" s="1"/>
    </row>
    <row r="64" spans="1:26" s="14" customFormat="1" ht="12.75" customHeight="1" x14ac:dyDescent="0.2">
      <c r="A64" s="110">
        <v>38231</v>
      </c>
      <c r="B64" s="113">
        <v>2342</v>
      </c>
      <c r="C64" s="114">
        <v>412</v>
      </c>
      <c r="D64" s="114">
        <v>2754</v>
      </c>
      <c r="E64" s="114">
        <v>672</v>
      </c>
      <c r="F64" s="114">
        <v>47</v>
      </c>
      <c r="G64" s="114">
        <v>50</v>
      </c>
      <c r="H64" s="114">
        <v>3523</v>
      </c>
      <c r="I64" s="114">
        <v>4552</v>
      </c>
      <c r="J64" s="114">
        <v>8075</v>
      </c>
      <c r="K64" s="120">
        <v>480</v>
      </c>
      <c r="L64" s="20"/>
      <c r="M64" s="110">
        <v>38231</v>
      </c>
      <c r="N64" s="113">
        <f>Treasury!B64-'Check Treasury Past'!B64</f>
        <v>0</v>
      </c>
      <c r="O64" s="113">
        <f>Treasury!C64-'Check Treasury Past'!C64</f>
        <v>0</v>
      </c>
      <c r="P64" s="113">
        <f>Treasury!D64-'Check Treasury Past'!D64</f>
        <v>0</v>
      </c>
      <c r="Q64" s="113">
        <f>Treasury!E64-'Check Treasury Past'!E64</f>
        <v>0</v>
      </c>
      <c r="R64" s="113">
        <f>Treasury!F64-'Check Treasury Past'!F64</f>
        <v>0</v>
      </c>
      <c r="S64" s="113">
        <f>Treasury!G64-'Check Treasury Past'!G64</f>
        <v>0</v>
      </c>
      <c r="T64" s="113">
        <f>Treasury!H64-'Check Treasury Past'!H64</f>
        <v>0</v>
      </c>
      <c r="U64" s="113">
        <f>Treasury!I64-'Check Treasury Past'!I64</f>
        <v>0</v>
      </c>
      <c r="V64" s="113">
        <f>Treasury!J64-'Check Treasury Past'!J64</f>
        <v>0</v>
      </c>
      <c r="W64" s="113">
        <f>Treasury!K64-'Check Treasury Past'!K64</f>
        <v>0</v>
      </c>
      <c r="X64" s="1"/>
      <c r="Y64" s="1"/>
      <c r="Z64" s="1"/>
    </row>
    <row r="65" spans="1:26" s="14" customFormat="1" ht="12.75" customHeight="1" x14ac:dyDescent="0.2">
      <c r="A65" s="110">
        <v>38261</v>
      </c>
      <c r="B65" s="113">
        <v>3207</v>
      </c>
      <c r="C65" s="114">
        <v>545</v>
      </c>
      <c r="D65" s="114">
        <v>3752</v>
      </c>
      <c r="E65" s="114">
        <v>673</v>
      </c>
      <c r="F65" s="114">
        <v>47</v>
      </c>
      <c r="G65" s="114">
        <v>58</v>
      </c>
      <c r="H65" s="114">
        <v>4530</v>
      </c>
      <c r="I65" s="114">
        <v>4257</v>
      </c>
      <c r="J65" s="114">
        <v>8787</v>
      </c>
      <c r="K65" s="120">
        <v>547</v>
      </c>
      <c r="L65" s="20"/>
      <c r="M65" s="110">
        <v>38261</v>
      </c>
      <c r="N65" s="113">
        <f>Treasury!B65-'Check Treasury Past'!B65</f>
        <v>0</v>
      </c>
      <c r="O65" s="113">
        <f>Treasury!C65-'Check Treasury Past'!C65</f>
        <v>0</v>
      </c>
      <c r="P65" s="113">
        <f>Treasury!D65-'Check Treasury Past'!D65</f>
        <v>0</v>
      </c>
      <c r="Q65" s="113">
        <f>Treasury!E65-'Check Treasury Past'!E65</f>
        <v>0</v>
      </c>
      <c r="R65" s="113">
        <f>Treasury!F65-'Check Treasury Past'!F65</f>
        <v>0</v>
      </c>
      <c r="S65" s="113">
        <f>Treasury!G65-'Check Treasury Past'!G65</f>
        <v>0</v>
      </c>
      <c r="T65" s="113">
        <f>Treasury!H65-'Check Treasury Past'!H65</f>
        <v>0</v>
      </c>
      <c r="U65" s="113">
        <f>Treasury!I65-'Check Treasury Past'!I65</f>
        <v>0</v>
      </c>
      <c r="V65" s="113">
        <f>Treasury!J65-'Check Treasury Past'!J65</f>
        <v>0</v>
      </c>
      <c r="W65" s="113">
        <f>Treasury!K65-'Check Treasury Past'!K65</f>
        <v>0</v>
      </c>
      <c r="X65" s="1"/>
      <c r="Y65" s="1"/>
      <c r="Z65" s="1"/>
    </row>
    <row r="66" spans="1:26" s="14" customFormat="1" ht="12.75" customHeight="1" x14ac:dyDescent="0.2">
      <c r="A66" s="110">
        <v>38292</v>
      </c>
      <c r="B66" s="113">
        <v>3920</v>
      </c>
      <c r="C66" s="114">
        <v>335</v>
      </c>
      <c r="D66" s="114">
        <v>4255</v>
      </c>
      <c r="E66" s="114">
        <v>657</v>
      </c>
      <c r="F66" s="114">
        <v>47</v>
      </c>
      <c r="G66" s="114">
        <v>88</v>
      </c>
      <c r="H66" s="114">
        <v>5047</v>
      </c>
      <c r="I66" s="114">
        <v>4821</v>
      </c>
      <c r="J66" s="114">
        <v>9868</v>
      </c>
      <c r="K66" s="120">
        <v>540</v>
      </c>
      <c r="L66" s="20"/>
      <c r="M66" s="110">
        <v>38292</v>
      </c>
      <c r="N66" s="113">
        <f>Treasury!B66-'Check Treasury Past'!B66</f>
        <v>0</v>
      </c>
      <c r="O66" s="113">
        <f>Treasury!C66-'Check Treasury Past'!C66</f>
        <v>0</v>
      </c>
      <c r="P66" s="113">
        <f>Treasury!D66-'Check Treasury Past'!D66</f>
        <v>0</v>
      </c>
      <c r="Q66" s="113">
        <f>Treasury!E66-'Check Treasury Past'!E66</f>
        <v>0</v>
      </c>
      <c r="R66" s="113">
        <f>Treasury!F66-'Check Treasury Past'!F66</f>
        <v>0</v>
      </c>
      <c r="S66" s="113">
        <f>Treasury!G66-'Check Treasury Past'!G66</f>
        <v>0</v>
      </c>
      <c r="T66" s="113">
        <f>Treasury!H66-'Check Treasury Past'!H66</f>
        <v>0</v>
      </c>
      <c r="U66" s="113">
        <f>Treasury!I66-'Check Treasury Past'!I66</f>
        <v>0</v>
      </c>
      <c r="V66" s="113">
        <f>Treasury!J66-'Check Treasury Past'!J66</f>
        <v>0</v>
      </c>
      <c r="W66" s="113">
        <f>Treasury!K66-'Check Treasury Past'!K66</f>
        <v>0</v>
      </c>
      <c r="X66" s="1"/>
      <c r="Y66" s="1"/>
      <c r="Z66" s="1"/>
    </row>
    <row r="67" spans="1:26" s="14" customFormat="1" ht="12.75" customHeight="1" x14ac:dyDescent="0.2">
      <c r="A67" s="110">
        <v>38322</v>
      </c>
      <c r="B67" s="113">
        <v>3903</v>
      </c>
      <c r="C67" s="114">
        <v>296</v>
      </c>
      <c r="D67" s="114">
        <v>4199</v>
      </c>
      <c r="E67" s="114">
        <v>657</v>
      </c>
      <c r="F67" s="114">
        <v>47</v>
      </c>
      <c r="G67" s="114">
        <v>39</v>
      </c>
      <c r="H67" s="114">
        <v>4942</v>
      </c>
      <c r="I67" s="114">
        <v>4725</v>
      </c>
      <c r="J67" s="114">
        <v>9667</v>
      </c>
      <c r="K67" s="120">
        <v>630</v>
      </c>
      <c r="L67" s="20"/>
      <c r="M67" s="110">
        <v>38322</v>
      </c>
      <c r="N67" s="113">
        <f>Treasury!B67-'Check Treasury Past'!B67</f>
        <v>0</v>
      </c>
      <c r="O67" s="113">
        <f>Treasury!C67-'Check Treasury Past'!C67</f>
        <v>0</v>
      </c>
      <c r="P67" s="113">
        <f>Treasury!D67-'Check Treasury Past'!D67</f>
        <v>0</v>
      </c>
      <c r="Q67" s="113">
        <f>Treasury!E67-'Check Treasury Past'!E67</f>
        <v>0</v>
      </c>
      <c r="R67" s="113">
        <f>Treasury!F67-'Check Treasury Past'!F67</f>
        <v>0</v>
      </c>
      <c r="S67" s="113">
        <f>Treasury!G67-'Check Treasury Past'!G67</f>
        <v>0</v>
      </c>
      <c r="T67" s="113">
        <f>Treasury!H67-'Check Treasury Past'!H67</f>
        <v>0</v>
      </c>
      <c r="U67" s="113">
        <f>Treasury!I67-'Check Treasury Past'!I67</f>
        <v>0</v>
      </c>
      <c r="V67" s="113">
        <f>Treasury!J67-'Check Treasury Past'!J67</f>
        <v>0</v>
      </c>
      <c r="W67" s="113">
        <f>Treasury!K67-'Check Treasury Past'!K67</f>
        <v>0</v>
      </c>
      <c r="X67" s="1"/>
      <c r="Y67" s="1"/>
      <c r="Z67" s="1"/>
    </row>
    <row r="68" spans="1:26" s="14" customFormat="1" ht="12.75" customHeight="1" x14ac:dyDescent="0.2">
      <c r="A68" s="110">
        <v>38353</v>
      </c>
      <c r="B68" s="113">
        <v>4113</v>
      </c>
      <c r="C68" s="114">
        <v>260</v>
      </c>
      <c r="D68" s="114">
        <v>4373</v>
      </c>
      <c r="E68" s="114">
        <v>628</v>
      </c>
      <c r="F68" s="114">
        <v>47</v>
      </c>
      <c r="G68" s="114">
        <v>68</v>
      </c>
      <c r="H68" s="114">
        <v>5116</v>
      </c>
      <c r="I68" s="114">
        <v>5452</v>
      </c>
      <c r="J68" s="114">
        <v>10568</v>
      </c>
      <c r="K68" s="120">
        <v>613</v>
      </c>
      <c r="L68" s="20"/>
      <c r="M68" s="110">
        <v>38353</v>
      </c>
      <c r="N68" s="113">
        <f>Treasury!B68-'Check Treasury Past'!B68</f>
        <v>0</v>
      </c>
      <c r="O68" s="113">
        <f>Treasury!C68-'Check Treasury Past'!C68</f>
        <v>0</v>
      </c>
      <c r="P68" s="113">
        <f>Treasury!D68-'Check Treasury Past'!D68</f>
        <v>0</v>
      </c>
      <c r="Q68" s="113">
        <f>Treasury!E68-'Check Treasury Past'!E68</f>
        <v>0</v>
      </c>
      <c r="R68" s="113">
        <f>Treasury!F68-'Check Treasury Past'!F68</f>
        <v>0</v>
      </c>
      <c r="S68" s="113">
        <f>Treasury!G68-'Check Treasury Past'!G68</f>
        <v>0</v>
      </c>
      <c r="T68" s="113">
        <f>Treasury!H68-'Check Treasury Past'!H68</f>
        <v>0</v>
      </c>
      <c r="U68" s="113">
        <f>Treasury!I68-'Check Treasury Past'!I68</f>
        <v>0</v>
      </c>
      <c r="V68" s="113">
        <f>Treasury!J68-'Check Treasury Past'!J68</f>
        <v>0</v>
      </c>
      <c r="W68" s="113">
        <f>Treasury!K68-'Check Treasury Past'!K68</f>
        <v>0</v>
      </c>
      <c r="X68" s="1"/>
      <c r="Y68" s="1"/>
      <c r="Z68" s="1"/>
    </row>
    <row r="69" spans="1:26" s="14" customFormat="1" ht="12.75" customHeight="1" x14ac:dyDescent="0.2">
      <c r="A69" s="110">
        <v>38384</v>
      </c>
      <c r="B69" s="113">
        <v>3813</v>
      </c>
      <c r="C69" s="114">
        <v>256</v>
      </c>
      <c r="D69" s="114">
        <v>4069</v>
      </c>
      <c r="E69" s="114">
        <v>611</v>
      </c>
      <c r="F69" s="114">
        <v>48</v>
      </c>
      <c r="G69" s="114">
        <v>59</v>
      </c>
      <c r="H69" s="114">
        <v>4787</v>
      </c>
      <c r="I69" s="114">
        <v>3587</v>
      </c>
      <c r="J69" s="114">
        <v>8374</v>
      </c>
      <c r="K69" s="120">
        <v>647</v>
      </c>
      <c r="L69" s="20"/>
      <c r="M69" s="110">
        <v>38384</v>
      </c>
      <c r="N69" s="113">
        <f>Treasury!B69-'Check Treasury Past'!B69</f>
        <v>0</v>
      </c>
      <c r="O69" s="113">
        <f>Treasury!C69-'Check Treasury Past'!C69</f>
        <v>0</v>
      </c>
      <c r="P69" s="113">
        <f>Treasury!D69-'Check Treasury Past'!D69</f>
        <v>0</v>
      </c>
      <c r="Q69" s="113">
        <f>Treasury!E69-'Check Treasury Past'!E69</f>
        <v>0</v>
      </c>
      <c r="R69" s="113">
        <f>Treasury!F69-'Check Treasury Past'!F69</f>
        <v>0</v>
      </c>
      <c r="S69" s="113">
        <f>Treasury!G69-'Check Treasury Past'!G69</f>
        <v>0</v>
      </c>
      <c r="T69" s="113">
        <f>Treasury!H69-'Check Treasury Past'!H69</f>
        <v>0</v>
      </c>
      <c r="U69" s="113">
        <f>Treasury!I69-'Check Treasury Past'!I69</f>
        <v>0</v>
      </c>
      <c r="V69" s="113">
        <f>Treasury!J69-'Check Treasury Past'!J69</f>
        <v>0</v>
      </c>
      <c r="W69" s="113">
        <f>Treasury!K69-'Check Treasury Past'!K69</f>
        <v>0</v>
      </c>
      <c r="X69" s="1"/>
      <c r="Y69" s="1"/>
      <c r="Z69" s="1"/>
    </row>
    <row r="70" spans="1:26" s="14" customFormat="1" ht="12.75" customHeight="1" x14ac:dyDescent="0.2">
      <c r="A70" s="110">
        <v>38412</v>
      </c>
      <c r="B70" s="113">
        <v>3698</v>
      </c>
      <c r="C70" s="114">
        <v>155</v>
      </c>
      <c r="D70" s="114">
        <v>3853</v>
      </c>
      <c r="E70" s="114">
        <v>570</v>
      </c>
      <c r="F70" s="114">
        <v>48</v>
      </c>
      <c r="G70" s="114">
        <v>11</v>
      </c>
      <c r="H70" s="114">
        <v>4482</v>
      </c>
      <c r="I70" s="114">
        <v>4345</v>
      </c>
      <c r="J70" s="114">
        <v>8827</v>
      </c>
      <c r="K70" s="120">
        <v>589</v>
      </c>
      <c r="L70" s="20"/>
      <c r="M70" s="110">
        <v>38412</v>
      </c>
      <c r="N70" s="113">
        <f>Treasury!B70-'Check Treasury Past'!B70</f>
        <v>0</v>
      </c>
      <c r="O70" s="113">
        <f>Treasury!C70-'Check Treasury Past'!C70</f>
        <v>0</v>
      </c>
      <c r="P70" s="113">
        <f>Treasury!D70-'Check Treasury Past'!D70</f>
        <v>0</v>
      </c>
      <c r="Q70" s="113">
        <f>Treasury!E70-'Check Treasury Past'!E70</f>
        <v>0</v>
      </c>
      <c r="R70" s="113">
        <f>Treasury!F70-'Check Treasury Past'!F70</f>
        <v>0</v>
      </c>
      <c r="S70" s="113">
        <f>Treasury!G70-'Check Treasury Past'!G70</f>
        <v>0</v>
      </c>
      <c r="T70" s="113">
        <f>Treasury!H70-'Check Treasury Past'!H70</f>
        <v>0</v>
      </c>
      <c r="U70" s="113">
        <f>Treasury!I70-'Check Treasury Past'!I70</f>
        <v>0</v>
      </c>
      <c r="V70" s="113">
        <f>Treasury!J70-'Check Treasury Past'!J70</f>
        <v>0</v>
      </c>
      <c r="W70" s="113">
        <f>Treasury!K70-'Check Treasury Past'!K70</f>
        <v>0</v>
      </c>
      <c r="X70" s="1"/>
      <c r="Y70" s="1"/>
      <c r="Z70" s="1"/>
    </row>
    <row r="71" spans="1:26" s="14" customFormat="1" ht="12.75" customHeight="1" x14ac:dyDescent="0.2">
      <c r="A71" s="110">
        <v>38443</v>
      </c>
      <c r="B71" s="113">
        <v>3383</v>
      </c>
      <c r="C71" s="114">
        <v>328</v>
      </c>
      <c r="D71" s="114">
        <v>3711</v>
      </c>
      <c r="E71" s="114">
        <v>555</v>
      </c>
      <c r="F71" s="114">
        <v>47</v>
      </c>
      <c r="G71" s="114">
        <v>68</v>
      </c>
      <c r="H71" s="114">
        <v>4381</v>
      </c>
      <c r="I71" s="114">
        <v>6369</v>
      </c>
      <c r="J71" s="114">
        <v>10750</v>
      </c>
      <c r="K71" s="120">
        <v>690</v>
      </c>
      <c r="L71" s="20"/>
      <c r="M71" s="110">
        <v>38443</v>
      </c>
      <c r="N71" s="113">
        <f>Treasury!B71-'Check Treasury Past'!B71</f>
        <v>0</v>
      </c>
      <c r="O71" s="113">
        <f>Treasury!C71-'Check Treasury Past'!C71</f>
        <v>0</v>
      </c>
      <c r="P71" s="113">
        <f>Treasury!D71-'Check Treasury Past'!D71</f>
        <v>0</v>
      </c>
      <c r="Q71" s="113">
        <f>Treasury!E71-'Check Treasury Past'!E71</f>
        <v>0</v>
      </c>
      <c r="R71" s="113">
        <f>Treasury!F71-'Check Treasury Past'!F71</f>
        <v>0</v>
      </c>
      <c r="S71" s="113">
        <f>Treasury!G71-'Check Treasury Past'!G71</f>
        <v>0</v>
      </c>
      <c r="T71" s="113">
        <f>Treasury!H71-'Check Treasury Past'!H71</f>
        <v>0</v>
      </c>
      <c r="U71" s="113">
        <f>Treasury!I71-'Check Treasury Past'!I71</f>
        <v>0</v>
      </c>
      <c r="V71" s="113">
        <f>Treasury!J71-'Check Treasury Past'!J71</f>
        <v>0</v>
      </c>
      <c r="W71" s="113">
        <f>Treasury!K71-'Check Treasury Past'!K71</f>
        <v>0</v>
      </c>
      <c r="X71" s="1"/>
      <c r="Y71" s="1"/>
      <c r="Z71" s="1"/>
    </row>
    <row r="72" spans="1:26" s="14" customFormat="1" ht="12.75" customHeight="1" x14ac:dyDescent="0.2">
      <c r="A72" s="110">
        <v>38473</v>
      </c>
      <c r="B72" s="113">
        <v>4155</v>
      </c>
      <c r="C72" s="114">
        <v>312</v>
      </c>
      <c r="D72" s="114">
        <v>4467</v>
      </c>
      <c r="E72" s="114">
        <v>555</v>
      </c>
      <c r="F72" s="114">
        <v>49</v>
      </c>
      <c r="G72" s="114">
        <v>-29</v>
      </c>
      <c r="H72" s="114">
        <v>5042</v>
      </c>
      <c r="I72" s="114">
        <v>5416</v>
      </c>
      <c r="J72" s="114">
        <v>10458</v>
      </c>
      <c r="K72" s="120">
        <v>568</v>
      </c>
      <c r="L72" s="20"/>
      <c r="M72" s="110">
        <v>38473</v>
      </c>
      <c r="N72" s="113">
        <f>Treasury!B72-'Check Treasury Past'!B72</f>
        <v>0</v>
      </c>
      <c r="O72" s="113">
        <f>Treasury!C72-'Check Treasury Past'!C72</f>
        <v>0</v>
      </c>
      <c r="P72" s="113">
        <f>Treasury!D72-'Check Treasury Past'!D72</f>
        <v>0</v>
      </c>
      <c r="Q72" s="113">
        <f>Treasury!E72-'Check Treasury Past'!E72</f>
        <v>0</v>
      </c>
      <c r="R72" s="113">
        <f>Treasury!F72-'Check Treasury Past'!F72</f>
        <v>0</v>
      </c>
      <c r="S72" s="113">
        <f>Treasury!G72-'Check Treasury Past'!G72</f>
        <v>0</v>
      </c>
      <c r="T72" s="113">
        <f>Treasury!H72-'Check Treasury Past'!H72</f>
        <v>0</v>
      </c>
      <c r="U72" s="113">
        <f>Treasury!I72-'Check Treasury Past'!I72</f>
        <v>0</v>
      </c>
      <c r="V72" s="113">
        <f>Treasury!J72-'Check Treasury Past'!J72</f>
        <v>0</v>
      </c>
      <c r="W72" s="113">
        <f>Treasury!K72-'Check Treasury Past'!K72</f>
        <v>0</v>
      </c>
      <c r="X72" s="1"/>
      <c r="Y72" s="1"/>
      <c r="Z72" s="1"/>
    </row>
    <row r="73" spans="1:26" s="14" customFormat="1" ht="12.75" customHeight="1" x14ac:dyDescent="0.2">
      <c r="A73" s="110">
        <v>38504</v>
      </c>
      <c r="B73" s="113">
        <v>4853</v>
      </c>
      <c r="C73" s="114">
        <v>289</v>
      </c>
      <c r="D73" s="114">
        <v>5142</v>
      </c>
      <c r="E73" s="114">
        <v>513</v>
      </c>
      <c r="F73" s="114">
        <v>49</v>
      </c>
      <c r="G73" s="114">
        <v>-36</v>
      </c>
      <c r="H73" s="114">
        <v>5668</v>
      </c>
      <c r="I73" s="114">
        <v>4732</v>
      </c>
      <c r="J73" s="114">
        <v>10400</v>
      </c>
      <c r="K73" s="120">
        <v>608</v>
      </c>
      <c r="L73" s="20"/>
      <c r="M73" s="110">
        <v>38504</v>
      </c>
      <c r="N73" s="113">
        <f>Treasury!B73-'Check Treasury Past'!B73</f>
        <v>0</v>
      </c>
      <c r="O73" s="113">
        <f>Treasury!C73-'Check Treasury Past'!C73</f>
        <v>0</v>
      </c>
      <c r="P73" s="113">
        <f>Treasury!D73-'Check Treasury Past'!D73</f>
        <v>0</v>
      </c>
      <c r="Q73" s="113">
        <f>Treasury!E73-'Check Treasury Past'!E73</f>
        <v>0</v>
      </c>
      <c r="R73" s="113">
        <f>Treasury!F73-'Check Treasury Past'!F73</f>
        <v>0</v>
      </c>
      <c r="S73" s="113">
        <f>Treasury!G73-'Check Treasury Past'!G73</f>
        <v>0</v>
      </c>
      <c r="T73" s="113">
        <f>Treasury!H73-'Check Treasury Past'!H73</f>
        <v>0</v>
      </c>
      <c r="U73" s="113">
        <f>Treasury!I73-'Check Treasury Past'!I73</f>
        <v>0</v>
      </c>
      <c r="V73" s="113">
        <f>Treasury!J73-'Check Treasury Past'!J73</f>
        <v>0</v>
      </c>
      <c r="W73" s="113">
        <f>Treasury!K73-'Check Treasury Past'!K73</f>
        <v>0</v>
      </c>
      <c r="X73" s="1"/>
      <c r="Y73" s="1"/>
      <c r="Z73" s="1"/>
    </row>
    <row r="74" spans="1:26" s="14" customFormat="1" ht="12.75" customHeight="1" x14ac:dyDescent="0.2">
      <c r="A74" s="110">
        <v>38534</v>
      </c>
      <c r="B74" s="113">
        <v>4731</v>
      </c>
      <c r="C74" s="114">
        <v>232</v>
      </c>
      <c r="D74" s="114">
        <v>4963</v>
      </c>
      <c r="E74" s="114">
        <v>524</v>
      </c>
      <c r="F74" s="114">
        <v>50</v>
      </c>
      <c r="G74" s="114">
        <v>-86</v>
      </c>
      <c r="H74" s="114">
        <v>5451</v>
      </c>
      <c r="I74" s="114">
        <v>5713</v>
      </c>
      <c r="J74" s="114">
        <v>11164</v>
      </c>
      <c r="K74" s="120">
        <v>508</v>
      </c>
      <c r="L74" s="20"/>
      <c r="M74" s="110">
        <v>38534</v>
      </c>
      <c r="N74" s="113">
        <f>Treasury!B74-'Check Treasury Past'!B74</f>
        <v>0</v>
      </c>
      <c r="O74" s="113">
        <f>Treasury!C74-'Check Treasury Past'!C74</f>
        <v>0</v>
      </c>
      <c r="P74" s="113">
        <f>Treasury!D74-'Check Treasury Past'!D74</f>
        <v>0</v>
      </c>
      <c r="Q74" s="113">
        <f>Treasury!E74-'Check Treasury Past'!E74</f>
        <v>0</v>
      </c>
      <c r="R74" s="113">
        <f>Treasury!F74-'Check Treasury Past'!F74</f>
        <v>0</v>
      </c>
      <c r="S74" s="113">
        <f>Treasury!G74-'Check Treasury Past'!G74</f>
        <v>0</v>
      </c>
      <c r="T74" s="113">
        <f>Treasury!H74-'Check Treasury Past'!H74</f>
        <v>0</v>
      </c>
      <c r="U74" s="113">
        <f>Treasury!I74-'Check Treasury Past'!I74</f>
        <v>0</v>
      </c>
      <c r="V74" s="113">
        <f>Treasury!J74-'Check Treasury Past'!J74</f>
        <v>0</v>
      </c>
      <c r="W74" s="113">
        <f>Treasury!K74-'Check Treasury Past'!K74</f>
        <v>0</v>
      </c>
      <c r="X74" s="1"/>
      <c r="Y74" s="1"/>
      <c r="Z74" s="1"/>
    </row>
    <row r="75" spans="1:26" s="14" customFormat="1" ht="12.75" customHeight="1" x14ac:dyDescent="0.2">
      <c r="A75" s="110">
        <v>38565</v>
      </c>
      <c r="B75" s="113">
        <v>4916</v>
      </c>
      <c r="C75" s="114">
        <v>313</v>
      </c>
      <c r="D75" s="114">
        <v>5229</v>
      </c>
      <c r="E75" s="114">
        <v>505</v>
      </c>
      <c r="F75" s="114">
        <v>50</v>
      </c>
      <c r="G75" s="114">
        <v>-37</v>
      </c>
      <c r="H75" s="114">
        <v>5747</v>
      </c>
      <c r="I75" s="114">
        <v>5584</v>
      </c>
      <c r="J75" s="114">
        <v>11331</v>
      </c>
      <c r="K75" s="120">
        <v>515</v>
      </c>
      <c r="L75" s="20"/>
      <c r="M75" s="110">
        <v>38565</v>
      </c>
      <c r="N75" s="113">
        <f>Treasury!B75-'Check Treasury Past'!B75</f>
        <v>0</v>
      </c>
      <c r="O75" s="113">
        <f>Treasury!C75-'Check Treasury Past'!C75</f>
        <v>0</v>
      </c>
      <c r="P75" s="113">
        <f>Treasury!D75-'Check Treasury Past'!D75</f>
        <v>0</v>
      </c>
      <c r="Q75" s="113">
        <f>Treasury!E75-'Check Treasury Past'!E75</f>
        <v>0</v>
      </c>
      <c r="R75" s="113">
        <f>Treasury!F75-'Check Treasury Past'!F75</f>
        <v>0</v>
      </c>
      <c r="S75" s="113">
        <f>Treasury!G75-'Check Treasury Past'!G75</f>
        <v>0</v>
      </c>
      <c r="T75" s="113">
        <f>Treasury!H75-'Check Treasury Past'!H75</f>
        <v>0</v>
      </c>
      <c r="U75" s="113">
        <f>Treasury!I75-'Check Treasury Past'!I75</f>
        <v>0</v>
      </c>
      <c r="V75" s="113">
        <f>Treasury!J75-'Check Treasury Past'!J75</f>
        <v>0</v>
      </c>
      <c r="W75" s="113">
        <f>Treasury!K75-'Check Treasury Past'!K75</f>
        <v>0</v>
      </c>
      <c r="X75" s="1"/>
      <c r="Y75" s="1"/>
      <c r="Z75" s="1"/>
    </row>
    <row r="76" spans="1:26" s="14" customFormat="1" ht="12.75" customHeight="1" x14ac:dyDescent="0.2">
      <c r="A76" s="110">
        <v>38596</v>
      </c>
      <c r="B76" s="115">
        <v>4902</v>
      </c>
      <c r="C76" s="118">
        <v>246</v>
      </c>
      <c r="D76" s="119">
        <v>5148</v>
      </c>
      <c r="E76" s="119">
        <v>491</v>
      </c>
      <c r="F76" s="119">
        <v>50</v>
      </c>
      <c r="G76" s="119">
        <v>14</v>
      </c>
      <c r="H76" s="119">
        <v>5703</v>
      </c>
      <c r="I76" s="119">
        <v>5012</v>
      </c>
      <c r="J76" s="119">
        <v>10715</v>
      </c>
      <c r="K76" s="119">
        <v>713</v>
      </c>
      <c r="L76" s="20"/>
      <c r="M76" s="110">
        <v>38596</v>
      </c>
      <c r="N76" s="113">
        <f>Treasury!B76-'Check Treasury Past'!B76</f>
        <v>0</v>
      </c>
      <c r="O76" s="113">
        <f>Treasury!C76-'Check Treasury Past'!C76</f>
        <v>0</v>
      </c>
      <c r="P76" s="113">
        <f>Treasury!D76-'Check Treasury Past'!D76</f>
        <v>0</v>
      </c>
      <c r="Q76" s="113">
        <f>Treasury!E76-'Check Treasury Past'!E76</f>
        <v>0</v>
      </c>
      <c r="R76" s="113">
        <f>Treasury!F76-'Check Treasury Past'!F76</f>
        <v>0</v>
      </c>
      <c r="S76" s="113">
        <f>Treasury!G76-'Check Treasury Past'!G76</f>
        <v>0</v>
      </c>
      <c r="T76" s="113">
        <f>Treasury!H76-'Check Treasury Past'!H76</f>
        <v>0</v>
      </c>
      <c r="U76" s="113">
        <f>Treasury!I76-'Check Treasury Past'!I76</f>
        <v>0</v>
      </c>
      <c r="V76" s="113">
        <f>Treasury!J76-'Check Treasury Past'!J76</f>
        <v>0</v>
      </c>
      <c r="W76" s="113">
        <f>Treasury!K76-'Check Treasury Past'!K76</f>
        <v>0</v>
      </c>
      <c r="X76" s="1"/>
      <c r="Y76" s="1"/>
      <c r="Z76" s="1"/>
    </row>
    <row r="77" spans="1:26" s="14" customFormat="1" ht="12.75" customHeight="1" x14ac:dyDescent="0.2">
      <c r="A77" s="110">
        <v>38626</v>
      </c>
      <c r="B77" s="115">
        <v>5189</v>
      </c>
      <c r="C77" s="118">
        <v>186</v>
      </c>
      <c r="D77" s="119">
        <v>5375</v>
      </c>
      <c r="E77" s="119">
        <v>484</v>
      </c>
      <c r="F77" s="119">
        <v>49</v>
      </c>
      <c r="G77" s="119">
        <v>77</v>
      </c>
      <c r="H77" s="119">
        <v>5985</v>
      </c>
      <c r="I77" s="119">
        <v>5824</v>
      </c>
      <c r="J77" s="119">
        <v>11809</v>
      </c>
      <c r="K77" s="119">
        <v>836</v>
      </c>
      <c r="L77" s="20"/>
      <c r="M77" s="110">
        <v>38626</v>
      </c>
      <c r="N77" s="113">
        <f>Treasury!B77-'Check Treasury Past'!B77</f>
        <v>0</v>
      </c>
      <c r="O77" s="113">
        <f>Treasury!C77-'Check Treasury Past'!C77</f>
        <v>0</v>
      </c>
      <c r="P77" s="113">
        <f>Treasury!D77-'Check Treasury Past'!D77</f>
        <v>0</v>
      </c>
      <c r="Q77" s="113">
        <f>Treasury!E77-'Check Treasury Past'!E77</f>
        <v>0</v>
      </c>
      <c r="R77" s="113">
        <f>Treasury!F77-'Check Treasury Past'!F77</f>
        <v>0</v>
      </c>
      <c r="S77" s="113">
        <f>Treasury!G77-'Check Treasury Past'!G77</f>
        <v>0</v>
      </c>
      <c r="T77" s="113">
        <f>Treasury!H77-'Check Treasury Past'!H77</f>
        <v>0</v>
      </c>
      <c r="U77" s="113">
        <f>Treasury!I77-'Check Treasury Past'!I77</f>
        <v>0</v>
      </c>
      <c r="V77" s="113">
        <f>Treasury!J77-'Check Treasury Past'!J77</f>
        <v>0</v>
      </c>
      <c r="W77" s="113">
        <f>Treasury!K77-'Check Treasury Past'!K77</f>
        <v>0</v>
      </c>
      <c r="X77" s="1"/>
      <c r="Y77" s="1"/>
      <c r="Z77" s="1"/>
    </row>
    <row r="78" spans="1:26" s="14" customFormat="1" ht="12.75" customHeight="1" x14ac:dyDescent="0.2">
      <c r="A78" s="110">
        <v>38657</v>
      </c>
      <c r="B78" s="115">
        <v>5139</v>
      </c>
      <c r="C78" s="118">
        <v>358</v>
      </c>
      <c r="D78" s="119">
        <v>5497</v>
      </c>
      <c r="E78" s="119">
        <v>422</v>
      </c>
      <c r="F78" s="119">
        <v>50</v>
      </c>
      <c r="G78" s="119">
        <v>124</v>
      </c>
      <c r="H78" s="119">
        <v>6093</v>
      </c>
      <c r="I78" s="119">
        <v>7026</v>
      </c>
      <c r="J78" s="119">
        <v>13119</v>
      </c>
      <c r="K78" s="119">
        <v>913</v>
      </c>
      <c r="L78" s="20"/>
      <c r="M78" s="110">
        <v>38657</v>
      </c>
      <c r="N78" s="113">
        <f>Treasury!B78-'Check Treasury Past'!B78</f>
        <v>0</v>
      </c>
      <c r="O78" s="113">
        <f>Treasury!C78-'Check Treasury Past'!C78</f>
        <v>0</v>
      </c>
      <c r="P78" s="113">
        <f>Treasury!D78-'Check Treasury Past'!D78</f>
        <v>0</v>
      </c>
      <c r="Q78" s="113">
        <f>Treasury!E78-'Check Treasury Past'!E78</f>
        <v>0</v>
      </c>
      <c r="R78" s="113">
        <f>Treasury!F78-'Check Treasury Past'!F78</f>
        <v>0</v>
      </c>
      <c r="S78" s="113">
        <f>Treasury!G78-'Check Treasury Past'!G78</f>
        <v>0</v>
      </c>
      <c r="T78" s="113">
        <f>Treasury!H78-'Check Treasury Past'!H78</f>
        <v>0</v>
      </c>
      <c r="U78" s="113">
        <f>Treasury!I78-'Check Treasury Past'!I78</f>
        <v>0</v>
      </c>
      <c r="V78" s="113">
        <f>Treasury!J78-'Check Treasury Past'!J78</f>
        <v>0</v>
      </c>
      <c r="W78" s="113">
        <f>Treasury!K78-'Check Treasury Past'!K78</f>
        <v>0</v>
      </c>
      <c r="X78" s="1"/>
      <c r="Y78" s="1"/>
      <c r="Z78" s="1"/>
    </row>
    <row r="79" spans="1:26" s="14" customFormat="1" ht="12.75" customHeight="1" x14ac:dyDescent="0.2">
      <c r="A79" s="110">
        <v>38687</v>
      </c>
      <c r="B79" s="115">
        <v>5815</v>
      </c>
      <c r="C79" s="118">
        <v>174</v>
      </c>
      <c r="D79" s="119">
        <v>5989</v>
      </c>
      <c r="E79" s="119">
        <v>242</v>
      </c>
      <c r="F79" s="119">
        <v>52</v>
      </c>
      <c r="G79" s="119">
        <v>-20</v>
      </c>
      <c r="H79" s="119">
        <v>6263</v>
      </c>
      <c r="I79" s="119">
        <v>6795</v>
      </c>
      <c r="J79" s="119">
        <v>13058</v>
      </c>
      <c r="K79" s="119">
        <v>522</v>
      </c>
      <c r="L79" s="20"/>
      <c r="M79" s="110">
        <v>38687</v>
      </c>
      <c r="N79" s="113">
        <f>Treasury!B79-'Check Treasury Past'!B79</f>
        <v>0</v>
      </c>
      <c r="O79" s="113">
        <f>Treasury!C79-'Check Treasury Past'!C79</f>
        <v>0</v>
      </c>
      <c r="P79" s="113">
        <f>Treasury!D79-'Check Treasury Past'!D79</f>
        <v>0</v>
      </c>
      <c r="Q79" s="113">
        <f>Treasury!E79-'Check Treasury Past'!E79</f>
        <v>0</v>
      </c>
      <c r="R79" s="113">
        <f>Treasury!F79-'Check Treasury Past'!F79</f>
        <v>0</v>
      </c>
      <c r="S79" s="113">
        <f>Treasury!G79-'Check Treasury Past'!G79</f>
        <v>0</v>
      </c>
      <c r="T79" s="113">
        <f>Treasury!H79-'Check Treasury Past'!H79</f>
        <v>0</v>
      </c>
      <c r="U79" s="113">
        <f>Treasury!I79-'Check Treasury Past'!I79</f>
        <v>0</v>
      </c>
      <c r="V79" s="113">
        <f>Treasury!J79-'Check Treasury Past'!J79</f>
        <v>0</v>
      </c>
      <c r="W79" s="113">
        <f>Treasury!K79-'Check Treasury Past'!K79</f>
        <v>0</v>
      </c>
      <c r="X79" s="1"/>
      <c r="Y79" s="1"/>
      <c r="Z79" s="1"/>
    </row>
    <row r="80" spans="1:26" s="14" customFormat="1" ht="12.75" customHeight="1" x14ac:dyDescent="0.2">
      <c r="A80" s="110">
        <v>38718</v>
      </c>
      <c r="B80" s="115">
        <v>5156</v>
      </c>
      <c r="C80" s="118">
        <v>174</v>
      </c>
      <c r="D80" s="119">
        <v>5330</v>
      </c>
      <c r="E80" s="119">
        <v>244</v>
      </c>
      <c r="F80" s="119">
        <v>52</v>
      </c>
      <c r="G80" s="119">
        <v>-46</v>
      </c>
      <c r="H80" s="119">
        <v>5580</v>
      </c>
      <c r="I80" s="119">
        <v>7406</v>
      </c>
      <c r="J80" s="119">
        <v>12986</v>
      </c>
      <c r="K80" s="119">
        <v>722</v>
      </c>
      <c r="L80" s="20"/>
      <c r="M80" s="110">
        <v>38718</v>
      </c>
      <c r="N80" s="113">
        <f>Treasury!B80-'Check Treasury Past'!B80</f>
        <v>0</v>
      </c>
      <c r="O80" s="113">
        <f>Treasury!C80-'Check Treasury Past'!C80</f>
        <v>0</v>
      </c>
      <c r="P80" s="113">
        <f>Treasury!D80-'Check Treasury Past'!D80</f>
        <v>0</v>
      </c>
      <c r="Q80" s="113">
        <f>Treasury!E80-'Check Treasury Past'!E80</f>
        <v>0</v>
      </c>
      <c r="R80" s="113">
        <f>Treasury!F80-'Check Treasury Past'!F80</f>
        <v>0</v>
      </c>
      <c r="S80" s="113">
        <f>Treasury!G80-'Check Treasury Past'!G80</f>
        <v>0</v>
      </c>
      <c r="T80" s="113">
        <f>Treasury!H80-'Check Treasury Past'!H80</f>
        <v>0</v>
      </c>
      <c r="U80" s="113">
        <f>Treasury!I80-'Check Treasury Past'!I80</f>
        <v>0</v>
      </c>
      <c r="V80" s="113">
        <f>Treasury!J80-'Check Treasury Past'!J80</f>
        <v>0</v>
      </c>
      <c r="W80" s="113">
        <f>Treasury!K80-'Check Treasury Past'!K80</f>
        <v>0</v>
      </c>
      <c r="X80" s="1"/>
      <c r="Y80" s="1"/>
      <c r="Z80" s="1"/>
    </row>
    <row r="81" spans="1:26" s="14" customFormat="1" ht="12.75" customHeight="1" x14ac:dyDescent="0.2">
      <c r="A81" s="110">
        <v>38749</v>
      </c>
      <c r="B81" s="115">
        <v>5045</v>
      </c>
      <c r="C81" s="118">
        <v>380</v>
      </c>
      <c r="D81" s="119">
        <v>5425</v>
      </c>
      <c r="E81" s="119">
        <v>240</v>
      </c>
      <c r="F81" s="119">
        <v>53</v>
      </c>
      <c r="G81" s="119">
        <v>-153</v>
      </c>
      <c r="H81" s="119">
        <v>5565</v>
      </c>
      <c r="I81" s="119">
        <v>8219</v>
      </c>
      <c r="J81" s="119">
        <v>13784</v>
      </c>
      <c r="K81" s="119">
        <v>219</v>
      </c>
      <c r="L81" s="20"/>
      <c r="M81" s="110">
        <v>38749</v>
      </c>
      <c r="N81" s="113">
        <f>Treasury!B81-'Check Treasury Past'!B81</f>
        <v>0</v>
      </c>
      <c r="O81" s="113">
        <f>Treasury!C81-'Check Treasury Past'!C81</f>
        <v>0</v>
      </c>
      <c r="P81" s="113">
        <f>Treasury!D81-'Check Treasury Past'!D81</f>
        <v>0</v>
      </c>
      <c r="Q81" s="113">
        <f>Treasury!E81-'Check Treasury Past'!E81</f>
        <v>0</v>
      </c>
      <c r="R81" s="113">
        <f>Treasury!F81-'Check Treasury Past'!F81</f>
        <v>0</v>
      </c>
      <c r="S81" s="113">
        <f>Treasury!G81-'Check Treasury Past'!G81</f>
        <v>0</v>
      </c>
      <c r="T81" s="113">
        <f>Treasury!H81-'Check Treasury Past'!H81</f>
        <v>0</v>
      </c>
      <c r="U81" s="113">
        <f>Treasury!I81-'Check Treasury Past'!I81</f>
        <v>0</v>
      </c>
      <c r="V81" s="113">
        <f>Treasury!J81-'Check Treasury Past'!J81</f>
        <v>0</v>
      </c>
      <c r="W81" s="113">
        <f>Treasury!K81-'Check Treasury Past'!K81</f>
        <v>0</v>
      </c>
      <c r="X81" s="1"/>
      <c r="Y81" s="1"/>
      <c r="Z81" s="1"/>
    </row>
    <row r="82" spans="1:26" s="14" customFormat="1" ht="12.75" customHeight="1" x14ac:dyDescent="0.2">
      <c r="A82" s="110">
        <v>38777</v>
      </c>
      <c r="B82" s="115">
        <v>5566</v>
      </c>
      <c r="C82" s="118">
        <v>392</v>
      </c>
      <c r="D82" s="119">
        <v>5958</v>
      </c>
      <c r="E82" s="119">
        <v>243</v>
      </c>
      <c r="F82" s="119">
        <v>58</v>
      </c>
      <c r="G82" s="119">
        <v>-548</v>
      </c>
      <c r="H82" s="119">
        <v>5711</v>
      </c>
      <c r="I82" s="119">
        <v>8886</v>
      </c>
      <c r="J82" s="119">
        <v>14597</v>
      </c>
      <c r="K82" s="119">
        <v>-266</v>
      </c>
      <c r="L82" s="20"/>
      <c r="M82" s="110">
        <v>38777</v>
      </c>
      <c r="N82" s="113">
        <f>Treasury!B82-'Check Treasury Past'!B82</f>
        <v>0</v>
      </c>
      <c r="O82" s="113">
        <f>Treasury!C82-'Check Treasury Past'!C82</f>
        <v>0</v>
      </c>
      <c r="P82" s="113">
        <f>Treasury!D82-'Check Treasury Past'!D82</f>
        <v>0</v>
      </c>
      <c r="Q82" s="113">
        <f>Treasury!E82-'Check Treasury Past'!E82</f>
        <v>0</v>
      </c>
      <c r="R82" s="113">
        <f>Treasury!F82-'Check Treasury Past'!F82</f>
        <v>0</v>
      </c>
      <c r="S82" s="113">
        <f>Treasury!G82-'Check Treasury Past'!G82</f>
        <v>0</v>
      </c>
      <c r="T82" s="113">
        <f>Treasury!H82-'Check Treasury Past'!H82</f>
        <v>0</v>
      </c>
      <c r="U82" s="113">
        <f>Treasury!I82-'Check Treasury Past'!I82</f>
        <v>0</v>
      </c>
      <c r="V82" s="113">
        <f>Treasury!J82-'Check Treasury Past'!J82</f>
        <v>0</v>
      </c>
      <c r="W82" s="113">
        <f>Treasury!K82-'Check Treasury Past'!K82</f>
        <v>0</v>
      </c>
      <c r="X82" s="1"/>
      <c r="Y82" s="1"/>
      <c r="Z82" s="1"/>
    </row>
    <row r="83" spans="1:26" s="12" customFormat="1" ht="12.75" customHeight="1" x14ac:dyDescent="0.2">
      <c r="A83" s="110">
        <v>38808</v>
      </c>
      <c r="B83" s="115">
        <v>5395</v>
      </c>
      <c r="C83" s="118">
        <v>421</v>
      </c>
      <c r="D83" s="119">
        <v>5816</v>
      </c>
      <c r="E83" s="119">
        <v>239</v>
      </c>
      <c r="F83" s="119">
        <v>57</v>
      </c>
      <c r="G83" s="119">
        <v>-258</v>
      </c>
      <c r="H83" s="119">
        <v>5854</v>
      </c>
      <c r="I83" s="119">
        <v>9846</v>
      </c>
      <c r="J83" s="119">
        <v>15700</v>
      </c>
      <c r="K83" s="119">
        <v>227</v>
      </c>
      <c r="L83" s="107"/>
      <c r="M83" s="110">
        <v>38808</v>
      </c>
      <c r="N83" s="113">
        <f>Treasury!B83-'Check Treasury Past'!B83</f>
        <v>0</v>
      </c>
      <c r="O83" s="113">
        <f>Treasury!C83-'Check Treasury Past'!C83</f>
        <v>0</v>
      </c>
      <c r="P83" s="113">
        <f>Treasury!D83-'Check Treasury Past'!D83</f>
        <v>0</v>
      </c>
      <c r="Q83" s="113">
        <f>Treasury!E83-'Check Treasury Past'!E83</f>
        <v>0</v>
      </c>
      <c r="R83" s="113">
        <f>Treasury!F83-'Check Treasury Past'!F83</f>
        <v>0</v>
      </c>
      <c r="S83" s="113">
        <f>Treasury!G83-'Check Treasury Past'!G83</f>
        <v>0</v>
      </c>
      <c r="T83" s="113">
        <f>Treasury!H83-'Check Treasury Past'!H83</f>
        <v>0</v>
      </c>
      <c r="U83" s="113">
        <f>Treasury!I83-'Check Treasury Past'!I83</f>
        <v>0</v>
      </c>
      <c r="V83" s="113">
        <f>Treasury!J83-'Check Treasury Past'!J83</f>
        <v>0</v>
      </c>
      <c r="W83" s="113">
        <f>Treasury!K83-'Check Treasury Past'!K83</f>
        <v>0</v>
      </c>
      <c r="X83" s="13"/>
      <c r="Y83" s="13"/>
      <c r="Z83" s="13"/>
    </row>
    <row r="84" spans="1:26" s="14" customFormat="1" ht="12.75" customHeight="1" x14ac:dyDescent="0.2">
      <c r="A84" s="110">
        <v>38838</v>
      </c>
      <c r="B84" s="115">
        <v>5680</v>
      </c>
      <c r="C84" s="118">
        <v>296</v>
      </c>
      <c r="D84" s="119">
        <v>5976</v>
      </c>
      <c r="E84" s="119">
        <v>240</v>
      </c>
      <c r="F84" s="119">
        <v>55</v>
      </c>
      <c r="G84" s="119">
        <v>-89</v>
      </c>
      <c r="H84" s="119">
        <v>6182</v>
      </c>
      <c r="I84" s="119">
        <v>10695</v>
      </c>
      <c r="J84" s="119">
        <v>16877</v>
      </c>
      <c r="K84" s="119">
        <v>305</v>
      </c>
      <c r="L84" s="20"/>
      <c r="M84" s="110">
        <v>38838</v>
      </c>
      <c r="N84" s="113">
        <f>Treasury!B84-'Check Treasury Past'!B84</f>
        <v>0</v>
      </c>
      <c r="O84" s="113">
        <f>Treasury!C84-'Check Treasury Past'!C84</f>
        <v>0</v>
      </c>
      <c r="P84" s="113">
        <f>Treasury!D84-'Check Treasury Past'!D84</f>
        <v>0</v>
      </c>
      <c r="Q84" s="113">
        <f>Treasury!E84-'Check Treasury Past'!E84</f>
        <v>0</v>
      </c>
      <c r="R84" s="113">
        <f>Treasury!F84-'Check Treasury Past'!F84</f>
        <v>0</v>
      </c>
      <c r="S84" s="113">
        <f>Treasury!G84-'Check Treasury Past'!G84</f>
        <v>0</v>
      </c>
      <c r="T84" s="113">
        <f>Treasury!H84-'Check Treasury Past'!H84</f>
        <v>0</v>
      </c>
      <c r="U84" s="113">
        <f>Treasury!I84-'Check Treasury Past'!I84</f>
        <v>0</v>
      </c>
      <c r="V84" s="113">
        <f>Treasury!J84-'Check Treasury Past'!J84</f>
        <v>0</v>
      </c>
      <c r="W84" s="113">
        <f>Treasury!K84-'Check Treasury Past'!K84</f>
        <v>0</v>
      </c>
      <c r="X84" s="1"/>
      <c r="Y84" s="1"/>
      <c r="Z84" s="1"/>
    </row>
    <row r="85" spans="1:26" s="14" customFormat="1" ht="12.75" customHeight="1" x14ac:dyDescent="0.2">
      <c r="A85" s="110">
        <v>38869</v>
      </c>
      <c r="B85" s="115">
        <v>5960</v>
      </c>
      <c r="C85" s="118">
        <v>385</v>
      </c>
      <c r="D85" s="119">
        <v>6345</v>
      </c>
      <c r="E85" s="119">
        <v>251</v>
      </c>
      <c r="F85" s="119">
        <v>58</v>
      </c>
      <c r="G85" s="119">
        <v>-265</v>
      </c>
      <c r="H85" s="119">
        <v>6389</v>
      </c>
      <c r="I85" s="119">
        <v>9877</v>
      </c>
      <c r="J85" s="119">
        <v>16266</v>
      </c>
      <c r="K85" s="119">
        <v>-129</v>
      </c>
      <c r="L85" s="20"/>
      <c r="M85" s="110">
        <v>38869</v>
      </c>
      <c r="N85" s="113">
        <f>Treasury!B85-'Check Treasury Past'!B85</f>
        <v>0</v>
      </c>
      <c r="O85" s="113">
        <f>Treasury!C85-'Check Treasury Past'!C85</f>
        <v>0</v>
      </c>
      <c r="P85" s="113">
        <f>Treasury!D85-'Check Treasury Past'!D85</f>
        <v>0</v>
      </c>
      <c r="Q85" s="113">
        <f>Treasury!E85-'Check Treasury Past'!E85</f>
        <v>0</v>
      </c>
      <c r="R85" s="113">
        <f>Treasury!F85-'Check Treasury Past'!F85</f>
        <v>0</v>
      </c>
      <c r="S85" s="113">
        <f>Treasury!G85-'Check Treasury Past'!G85</f>
        <v>0</v>
      </c>
      <c r="T85" s="113">
        <f>Treasury!H85-'Check Treasury Past'!H85</f>
        <v>0</v>
      </c>
      <c r="U85" s="113">
        <f>Treasury!I85-'Check Treasury Past'!I85</f>
        <v>0</v>
      </c>
      <c r="V85" s="113">
        <f>Treasury!J85-'Check Treasury Past'!J85</f>
        <v>0</v>
      </c>
      <c r="W85" s="113">
        <f>Treasury!K85-'Check Treasury Past'!K85</f>
        <v>0</v>
      </c>
      <c r="X85" s="1"/>
      <c r="Y85" s="1"/>
      <c r="Z85" s="1"/>
    </row>
    <row r="86" spans="1:26" s="14" customFormat="1" ht="12.75" customHeight="1" x14ac:dyDescent="0.2">
      <c r="A86" s="110">
        <v>38899</v>
      </c>
      <c r="B86" s="115">
        <v>6165</v>
      </c>
      <c r="C86" s="118">
        <v>484</v>
      </c>
      <c r="D86" s="119">
        <v>6649</v>
      </c>
      <c r="E86" s="119">
        <v>247</v>
      </c>
      <c r="F86" s="119">
        <v>57</v>
      </c>
      <c r="G86" s="119">
        <v>-165</v>
      </c>
      <c r="H86" s="119">
        <v>6788</v>
      </c>
      <c r="I86" s="119">
        <v>11519</v>
      </c>
      <c r="J86" s="119">
        <v>18307</v>
      </c>
      <c r="K86" s="119">
        <v>151</v>
      </c>
      <c r="L86" s="20"/>
      <c r="M86" s="110">
        <v>38899</v>
      </c>
      <c r="N86" s="113">
        <f>Treasury!B86-'Check Treasury Past'!B86</f>
        <v>0</v>
      </c>
      <c r="O86" s="113">
        <f>Treasury!C86-'Check Treasury Past'!C86</f>
        <v>0</v>
      </c>
      <c r="P86" s="113">
        <f>Treasury!D86-'Check Treasury Past'!D86</f>
        <v>0</v>
      </c>
      <c r="Q86" s="113">
        <f>Treasury!E86-'Check Treasury Past'!E86</f>
        <v>0</v>
      </c>
      <c r="R86" s="113">
        <f>Treasury!F86-'Check Treasury Past'!F86</f>
        <v>0</v>
      </c>
      <c r="S86" s="113">
        <f>Treasury!G86-'Check Treasury Past'!G86</f>
        <v>0</v>
      </c>
      <c r="T86" s="113">
        <f>Treasury!H86-'Check Treasury Past'!H86</f>
        <v>0</v>
      </c>
      <c r="U86" s="113">
        <f>Treasury!I86-'Check Treasury Past'!I86</f>
        <v>0</v>
      </c>
      <c r="V86" s="113">
        <f>Treasury!J86-'Check Treasury Past'!J86</f>
        <v>0</v>
      </c>
      <c r="W86" s="113">
        <f>Treasury!K86-'Check Treasury Past'!K86</f>
        <v>0</v>
      </c>
      <c r="X86" s="1"/>
      <c r="Y86" s="1"/>
      <c r="Z86" s="1"/>
    </row>
    <row r="87" spans="1:26" s="14" customFormat="1" ht="12.75" customHeight="1" x14ac:dyDescent="0.2">
      <c r="A87" s="110">
        <v>38930</v>
      </c>
      <c r="B87" s="115">
        <v>5397</v>
      </c>
      <c r="C87" s="118">
        <v>514</v>
      </c>
      <c r="D87" s="119">
        <v>5911</v>
      </c>
      <c r="E87" s="119">
        <v>234</v>
      </c>
      <c r="F87" s="119">
        <v>52</v>
      </c>
      <c r="G87" s="119">
        <v>214</v>
      </c>
      <c r="H87" s="119">
        <v>6411</v>
      </c>
      <c r="I87" s="119">
        <v>11470</v>
      </c>
      <c r="J87" s="119">
        <v>17881</v>
      </c>
      <c r="K87" s="119">
        <v>562</v>
      </c>
      <c r="L87" s="20"/>
      <c r="M87" s="110">
        <v>38930</v>
      </c>
      <c r="N87" s="113">
        <f>Treasury!B87-'Check Treasury Past'!B87</f>
        <v>0</v>
      </c>
      <c r="O87" s="113">
        <f>Treasury!C87-'Check Treasury Past'!C87</f>
        <v>0</v>
      </c>
      <c r="P87" s="113">
        <f>Treasury!D87-'Check Treasury Past'!D87</f>
        <v>0</v>
      </c>
      <c r="Q87" s="113">
        <f>Treasury!E87-'Check Treasury Past'!E87</f>
        <v>0</v>
      </c>
      <c r="R87" s="113">
        <f>Treasury!F87-'Check Treasury Past'!F87</f>
        <v>0</v>
      </c>
      <c r="S87" s="113">
        <f>Treasury!G87-'Check Treasury Past'!G87</f>
        <v>0</v>
      </c>
      <c r="T87" s="113">
        <f>Treasury!H87-'Check Treasury Past'!H87</f>
        <v>0</v>
      </c>
      <c r="U87" s="113">
        <f>Treasury!I87-'Check Treasury Past'!I87</f>
        <v>0</v>
      </c>
      <c r="V87" s="113">
        <f>Treasury!J87-'Check Treasury Past'!J87</f>
        <v>0</v>
      </c>
      <c r="W87" s="113">
        <f>Treasury!K87-'Check Treasury Past'!K87</f>
        <v>0</v>
      </c>
      <c r="X87" s="1"/>
      <c r="Y87" s="1"/>
      <c r="Z87" s="1"/>
    </row>
    <row r="88" spans="1:26" s="14" customFormat="1" ht="12.75" customHeight="1" x14ac:dyDescent="0.2">
      <c r="A88" s="110">
        <v>38961</v>
      </c>
      <c r="B88" s="115">
        <v>5208</v>
      </c>
      <c r="C88" s="118">
        <v>660</v>
      </c>
      <c r="D88" s="119">
        <v>5868</v>
      </c>
      <c r="E88" s="119">
        <v>233</v>
      </c>
      <c r="F88" s="119">
        <v>52</v>
      </c>
      <c r="G88" s="119">
        <v>176</v>
      </c>
      <c r="H88" s="119">
        <v>6329</v>
      </c>
      <c r="I88" s="119">
        <v>12078</v>
      </c>
      <c r="J88" s="119">
        <v>18407</v>
      </c>
      <c r="K88" s="119">
        <v>402</v>
      </c>
      <c r="L88" s="20"/>
      <c r="M88" s="110">
        <v>38961</v>
      </c>
      <c r="N88" s="113">
        <f>Treasury!B88-'Check Treasury Past'!B88</f>
        <v>0</v>
      </c>
      <c r="O88" s="113">
        <f>Treasury!C88-'Check Treasury Past'!C88</f>
        <v>0</v>
      </c>
      <c r="P88" s="113">
        <f>Treasury!D88-'Check Treasury Past'!D88</f>
        <v>0</v>
      </c>
      <c r="Q88" s="113">
        <f>Treasury!E88-'Check Treasury Past'!E88</f>
        <v>0</v>
      </c>
      <c r="R88" s="113">
        <f>Treasury!F88-'Check Treasury Past'!F88</f>
        <v>0</v>
      </c>
      <c r="S88" s="113">
        <f>Treasury!G88-'Check Treasury Past'!G88</f>
        <v>0</v>
      </c>
      <c r="T88" s="113">
        <f>Treasury!H88-'Check Treasury Past'!H88</f>
        <v>0</v>
      </c>
      <c r="U88" s="113">
        <f>Treasury!I88-'Check Treasury Past'!I88</f>
        <v>0</v>
      </c>
      <c r="V88" s="113">
        <f>Treasury!J88-'Check Treasury Past'!J88</f>
        <v>0</v>
      </c>
      <c r="W88" s="113">
        <f>Treasury!K88-'Check Treasury Past'!K88</f>
        <v>0</v>
      </c>
      <c r="X88" s="1"/>
      <c r="Y88" s="1"/>
      <c r="Z88" s="1"/>
    </row>
    <row r="89" spans="1:26" s="14" customFormat="1" ht="12.75" customHeight="1" x14ac:dyDescent="0.2">
      <c r="A89" s="110">
        <v>38991</v>
      </c>
      <c r="B89" s="115">
        <v>4348</v>
      </c>
      <c r="C89" s="118">
        <v>483</v>
      </c>
      <c r="D89" s="119">
        <v>4831</v>
      </c>
      <c r="E89" s="119">
        <v>196</v>
      </c>
      <c r="F89" s="119">
        <v>51</v>
      </c>
      <c r="G89" s="119">
        <v>93</v>
      </c>
      <c r="H89" s="119">
        <v>5171</v>
      </c>
      <c r="I89" s="119">
        <v>14209</v>
      </c>
      <c r="J89" s="119">
        <v>19380</v>
      </c>
      <c r="K89" s="119">
        <v>584</v>
      </c>
      <c r="L89" s="20"/>
      <c r="M89" s="110">
        <v>38991</v>
      </c>
      <c r="N89" s="113">
        <f>Treasury!B89-'Check Treasury Past'!B89</f>
        <v>0</v>
      </c>
      <c r="O89" s="113">
        <f>Treasury!C89-'Check Treasury Past'!C89</f>
        <v>0</v>
      </c>
      <c r="P89" s="113">
        <f>Treasury!D89-'Check Treasury Past'!D89</f>
        <v>0</v>
      </c>
      <c r="Q89" s="113">
        <f>Treasury!E89-'Check Treasury Past'!E89</f>
        <v>0</v>
      </c>
      <c r="R89" s="113">
        <f>Treasury!F89-'Check Treasury Past'!F89</f>
        <v>0</v>
      </c>
      <c r="S89" s="113">
        <f>Treasury!G89-'Check Treasury Past'!G89</f>
        <v>0</v>
      </c>
      <c r="T89" s="113">
        <f>Treasury!H89-'Check Treasury Past'!H89</f>
        <v>0</v>
      </c>
      <c r="U89" s="113">
        <f>Treasury!I89-'Check Treasury Past'!I89</f>
        <v>0</v>
      </c>
      <c r="V89" s="113">
        <f>Treasury!J89-'Check Treasury Past'!J89</f>
        <v>0</v>
      </c>
      <c r="W89" s="113">
        <f>Treasury!K89-'Check Treasury Past'!K89</f>
        <v>0</v>
      </c>
      <c r="X89" s="1"/>
      <c r="Y89" s="1"/>
      <c r="Z89" s="1"/>
    </row>
    <row r="90" spans="1:26" s="14" customFormat="1" ht="12.75" customHeight="1" x14ac:dyDescent="0.2">
      <c r="A90" s="110">
        <v>39022</v>
      </c>
      <c r="B90" s="115">
        <v>4467</v>
      </c>
      <c r="C90" s="118">
        <v>336</v>
      </c>
      <c r="D90" s="119">
        <v>4803</v>
      </c>
      <c r="E90" s="119">
        <v>160</v>
      </c>
      <c r="F90" s="119">
        <v>49</v>
      </c>
      <c r="G90" s="119">
        <v>122</v>
      </c>
      <c r="H90" s="119">
        <v>5134</v>
      </c>
      <c r="I90" s="119">
        <v>14144</v>
      </c>
      <c r="J90" s="119">
        <v>19278</v>
      </c>
      <c r="K90" s="119">
        <v>652</v>
      </c>
      <c r="L90" s="20"/>
      <c r="M90" s="110">
        <v>39022</v>
      </c>
      <c r="N90" s="113">
        <f>Treasury!B90-'Check Treasury Past'!B90</f>
        <v>0</v>
      </c>
      <c r="O90" s="113">
        <f>Treasury!C90-'Check Treasury Past'!C90</f>
        <v>0</v>
      </c>
      <c r="P90" s="113">
        <f>Treasury!D90-'Check Treasury Past'!D90</f>
        <v>0</v>
      </c>
      <c r="Q90" s="113">
        <f>Treasury!E90-'Check Treasury Past'!E90</f>
        <v>0</v>
      </c>
      <c r="R90" s="113">
        <f>Treasury!F90-'Check Treasury Past'!F90</f>
        <v>0</v>
      </c>
      <c r="S90" s="113">
        <f>Treasury!G90-'Check Treasury Past'!G90</f>
        <v>0</v>
      </c>
      <c r="T90" s="113">
        <f>Treasury!H90-'Check Treasury Past'!H90</f>
        <v>0</v>
      </c>
      <c r="U90" s="113">
        <f>Treasury!I90-'Check Treasury Past'!I90</f>
        <v>0</v>
      </c>
      <c r="V90" s="113">
        <f>Treasury!J90-'Check Treasury Past'!J90</f>
        <v>0</v>
      </c>
      <c r="W90" s="113">
        <f>Treasury!K90-'Check Treasury Past'!K90</f>
        <v>0</v>
      </c>
      <c r="X90" s="1"/>
      <c r="Y90" s="1"/>
      <c r="Z90" s="1"/>
    </row>
    <row r="91" spans="1:26" s="14" customFormat="1" ht="12.75" customHeight="1" x14ac:dyDescent="0.2">
      <c r="A91" s="110">
        <v>39052</v>
      </c>
      <c r="B91" s="115">
        <v>4242</v>
      </c>
      <c r="C91" s="118">
        <v>713</v>
      </c>
      <c r="D91" s="119">
        <v>4955</v>
      </c>
      <c r="E91" s="119">
        <v>154</v>
      </c>
      <c r="F91" s="119">
        <v>48</v>
      </c>
      <c r="G91" s="119">
        <v>226</v>
      </c>
      <c r="H91" s="119">
        <v>5383</v>
      </c>
      <c r="I91" s="119">
        <v>14534</v>
      </c>
      <c r="J91" s="119">
        <v>19917</v>
      </c>
      <c r="K91" s="119">
        <v>959</v>
      </c>
      <c r="L91" s="20"/>
      <c r="M91" s="110">
        <v>39052</v>
      </c>
      <c r="N91" s="113">
        <f>Treasury!B91-'Check Treasury Past'!B91</f>
        <v>0</v>
      </c>
      <c r="O91" s="113">
        <f>Treasury!C91-'Check Treasury Past'!C91</f>
        <v>0</v>
      </c>
      <c r="P91" s="113">
        <f>Treasury!D91-'Check Treasury Past'!D91</f>
        <v>0</v>
      </c>
      <c r="Q91" s="113">
        <f>Treasury!E91-'Check Treasury Past'!E91</f>
        <v>0</v>
      </c>
      <c r="R91" s="113">
        <f>Treasury!F91-'Check Treasury Past'!F91</f>
        <v>0</v>
      </c>
      <c r="S91" s="113">
        <f>Treasury!G91-'Check Treasury Past'!G91</f>
        <v>0</v>
      </c>
      <c r="T91" s="113">
        <f>Treasury!H91-'Check Treasury Past'!H91</f>
        <v>0</v>
      </c>
      <c r="U91" s="113">
        <f>Treasury!I91-'Check Treasury Past'!I91</f>
        <v>0</v>
      </c>
      <c r="V91" s="113">
        <f>Treasury!J91-'Check Treasury Past'!J91</f>
        <v>0</v>
      </c>
      <c r="W91" s="113">
        <f>Treasury!K91-'Check Treasury Past'!K91</f>
        <v>0</v>
      </c>
      <c r="X91" s="1"/>
      <c r="Y91" s="1"/>
      <c r="Z91" s="1"/>
    </row>
    <row r="92" spans="1:26" s="14" customFormat="1" ht="12.75" customHeight="1" x14ac:dyDescent="0.2">
      <c r="A92" s="110">
        <v>39083</v>
      </c>
      <c r="B92" s="115">
        <v>3834</v>
      </c>
      <c r="C92" s="118">
        <v>537</v>
      </c>
      <c r="D92" s="119">
        <v>4371</v>
      </c>
      <c r="E92" s="119">
        <v>157</v>
      </c>
      <c r="F92" s="119">
        <v>49</v>
      </c>
      <c r="G92" s="119">
        <v>24</v>
      </c>
      <c r="H92" s="119">
        <v>4601</v>
      </c>
      <c r="I92" s="119">
        <v>14493</v>
      </c>
      <c r="J92" s="119">
        <v>19094</v>
      </c>
      <c r="K92" s="119">
        <v>469</v>
      </c>
      <c r="L92" s="20"/>
      <c r="M92" s="110">
        <v>39083</v>
      </c>
      <c r="N92" s="113">
        <f>Treasury!B92-'Check Treasury Past'!B92</f>
        <v>0</v>
      </c>
      <c r="O92" s="113">
        <f>Treasury!C92-'Check Treasury Past'!C92</f>
        <v>0</v>
      </c>
      <c r="P92" s="113">
        <f>Treasury!D92-'Check Treasury Past'!D92</f>
        <v>0</v>
      </c>
      <c r="Q92" s="113">
        <f>Treasury!E92-'Check Treasury Past'!E92</f>
        <v>0</v>
      </c>
      <c r="R92" s="113">
        <f>Treasury!F92-'Check Treasury Past'!F92</f>
        <v>0</v>
      </c>
      <c r="S92" s="113">
        <f>Treasury!G92-'Check Treasury Past'!G92</f>
        <v>0</v>
      </c>
      <c r="T92" s="113">
        <f>Treasury!H92-'Check Treasury Past'!H92</f>
        <v>0</v>
      </c>
      <c r="U92" s="113">
        <f>Treasury!I92-'Check Treasury Past'!I92</f>
        <v>0</v>
      </c>
      <c r="V92" s="113">
        <f>Treasury!J92-'Check Treasury Past'!J92</f>
        <v>0</v>
      </c>
      <c r="W92" s="113">
        <f>Treasury!K92-'Check Treasury Past'!K92</f>
        <v>0</v>
      </c>
      <c r="X92" s="1"/>
      <c r="Y92" s="1"/>
      <c r="Z92" s="1"/>
    </row>
    <row r="93" spans="1:26" s="14" customFormat="1" ht="12.75" customHeight="1" x14ac:dyDescent="0.2">
      <c r="A93" s="110">
        <v>39114</v>
      </c>
      <c r="B93" s="115">
        <v>3977</v>
      </c>
      <c r="C93" s="118">
        <v>519</v>
      </c>
      <c r="D93" s="119">
        <v>4496</v>
      </c>
      <c r="E93" s="119">
        <v>155</v>
      </c>
      <c r="F93" s="119">
        <v>46</v>
      </c>
      <c r="G93" s="119">
        <v>51</v>
      </c>
      <c r="H93" s="119">
        <v>4748</v>
      </c>
      <c r="I93" s="119">
        <v>14738</v>
      </c>
      <c r="J93" s="119">
        <v>19486</v>
      </c>
      <c r="K93" s="119">
        <v>751</v>
      </c>
      <c r="L93" s="20"/>
      <c r="M93" s="110">
        <v>39114</v>
      </c>
      <c r="N93" s="113">
        <f>Treasury!B93-'Check Treasury Past'!B93</f>
        <v>0</v>
      </c>
      <c r="O93" s="113">
        <f>Treasury!C93-'Check Treasury Past'!C93</f>
        <v>0</v>
      </c>
      <c r="P93" s="113">
        <f>Treasury!D93-'Check Treasury Past'!D93</f>
        <v>0</v>
      </c>
      <c r="Q93" s="113">
        <f>Treasury!E93-'Check Treasury Past'!E93</f>
        <v>0</v>
      </c>
      <c r="R93" s="113">
        <f>Treasury!F93-'Check Treasury Past'!F93</f>
        <v>0</v>
      </c>
      <c r="S93" s="113">
        <f>Treasury!G93-'Check Treasury Past'!G93</f>
        <v>0</v>
      </c>
      <c r="T93" s="113">
        <f>Treasury!H93-'Check Treasury Past'!H93</f>
        <v>0</v>
      </c>
      <c r="U93" s="113">
        <f>Treasury!I93-'Check Treasury Past'!I93</f>
        <v>0</v>
      </c>
      <c r="V93" s="113">
        <f>Treasury!J93-'Check Treasury Past'!J93</f>
        <v>0</v>
      </c>
      <c r="W93" s="113">
        <f>Treasury!K93-'Check Treasury Past'!K93</f>
        <v>0</v>
      </c>
      <c r="X93" s="1"/>
      <c r="Y93" s="1"/>
      <c r="Z93" s="1"/>
    </row>
    <row r="94" spans="1:26" s="14" customFormat="1" ht="12.75" customHeight="1" x14ac:dyDescent="0.2">
      <c r="A94" s="110">
        <v>39142</v>
      </c>
      <c r="B94" s="115">
        <v>4503</v>
      </c>
      <c r="C94" s="118">
        <v>483</v>
      </c>
      <c r="D94" s="119">
        <v>4986</v>
      </c>
      <c r="E94" s="119">
        <v>153</v>
      </c>
      <c r="F94" s="119">
        <v>45</v>
      </c>
      <c r="G94" s="119">
        <v>115</v>
      </c>
      <c r="H94" s="119">
        <v>5299</v>
      </c>
      <c r="I94" s="119">
        <v>15081</v>
      </c>
      <c r="J94" s="119">
        <v>20380</v>
      </c>
      <c r="K94" s="119">
        <v>966</v>
      </c>
      <c r="L94" s="20"/>
      <c r="M94" s="110">
        <v>39142</v>
      </c>
      <c r="N94" s="113">
        <f>Treasury!B94-'Check Treasury Past'!B94</f>
        <v>0</v>
      </c>
      <c r="O94" s="113">
        <f>Treasury!C94-'Check Treasury Past'!C94</f>
        <v>0</v>
      </c>
      <c r="P94" s="113">
        <f>Treasury!D94-'Check Treasury Past'!D94</f>
        <v>0</v>
      </c>
      <c r="Q94" s="113">
        <f>Treasury!E94-'Check Treasury Past'!E94</f>
        <v>0</v>
      </c>
      <c r="R94" s="113">
        <f>Treasury!F94-'Check Treasury Past'!F94</f>
        <v>0</v>
      </c>
      <c r="S94" s="113">
        <f>Treasury!G94-'Check Treasury Past'!G94</f>
        <v>0</v>
      </c>
      <c r="T94" s="113">
        <f>Treasury!H94-'Check Treasury Past'!H94</f>
        <v>0</v>
      </c>
      <c r="U94" s="113">
        <f>Treasury!I94-'Check Treasury Past'!I94</f>
        <v>0</v>
      </c>
      <c r="V94" s="113">
        <f>Treasury!J94-'Check Treasury Past'!J94</f>
        <v>0</v>
      </c>
      <c r="W94" s="113">
        <f>Treasury!K94-'Check Treasury Past'!K94</f>
        <v>0</v>
      </c>
      <c r="X94" s="1"/>
      <c r="Y94" s="1"/>
      <c r="Z94" s="1"/>
    </row>
    <row r="95" spans="1:26" s="14" customFormat="1" ht="12.75" customHeight="1" x14ac:dyDescent="0.2">
      <c r="A95" s="110">
        <v>39173</v>
      </c>
      <c r="B95" s="115">
        <v>4830</v>
      </c>
      <c r="C95" s="118">
        <v>858</v>
      </c>
      <c r="D95" s="119">
        <v>5688</v>
      </c>
      <c r="E95" s="119">
        <v>128</v>
      </c>
      <c r="F95" s="119">
        <v>44</v>
      </c>
      <c r="G95" s="119">
        <v>210</v>
      </c>
      <c r="H95" s="119">
        <v>6070</v>
      </c>
      <c r="I95" s="119">
        <v>15522</v>
      </c>
      <c r="J95" s="119">
        <v>21592</v>
      </c>
      <c r="K95" s="119">
        <v>1109</v>
      </c>
      <c r="L95" s="20"/>
      <c r="M95" s="110">
        <v>39173</v>
      </c>
      <c r="N95" s="113">
        <f>Treasury!B95-'Check Treasury Past'!B95</f>
        <v>0</v>
      </c>
      <c r="O95" s="113">
        <f>Treasury!C95-'Check Treasury Past'!C95</f>
        <v>0</v>
      </c>
      <c r="P95" s="113">
        <f>Treasury!D95-'Check Treasury Past'!D95</f>
        <v>0</v>
      </c>
      <c r="Q95" s="113">
        <f>Treasury!E95-'Check Treasury Past'!E95</f>
        <v>0</v>
      </c>
      <c r="R95" s="113">
        <f>Treasury!F95-'Check Treasury Past'!F95</f>
        <v>0</v>
      </c>
      <c r="S95" s="113">
        <f>Treasury!G95-'Check Treasury Past'!G95</f>
        <v>0</v>
      </c>
      <c r="T95" s="113">
        <f>Treasury!H95-'Check Treasury Past'!H95</f>
        <v>0</v>
      </c>
      <c r="U95" s="113">
        <f>Treasury!I95-'Check Treasury Past'!I95</f>
        <v>0</v>
      </c>
      <c r="V95" s="113">
        <f>Treasury!J95-'Check Treasury Past'!J95</f>
        <v>0</v>
      </c>
      <c r="W95" s="113">
        <f>Treasury!K95-'Check Treasury Past'!K95</f>
        <v>0</v>
      </c>
      <c r="X95" s="1"/>
      <c r="Y95" s="1"/>
      <c r="Z95" s="1"/>
    </row>
    <row r="96" spans="1:26" s="14" customFormat="1" ht="12.75" customHeight="1" x14ac:dyDescent="0.2">
      <c r="A96" s="110">
        <v>39203</v>
      </c>
      <c r="B96" s="115">
        <v>4573</v>
      </c>
      <c r="C96" s="118">
        <v>341</v>
      </c>
      <c r="D96" s="119">
        <v>4914</v>
      </c>
      <c r="E96" s="119">
        <v>127</v>
      </c>
      <c r="F96" s="119">
        <v>42</v>
      </c>
      <c r="G96" s="119">
        <v>92</v>
      </c>
      <c r="H96" s="119">
        <v>5175</v>
      </c>
      <c r="I96" s="119">
        <v>16134</v>
      </c>
      <c r="J96" s="119">
        <v>21309</v>
      </c>
      <c r="K96" s="119">
        <v>779</v>
      </c>
      <c r="L96" s="20"/>
      <c r="M96" s="110">
        <v>39203</v>
      </c>
      <c r="N96" s="113">
        <f>Treasury!B96-'Check Treasury Past'!B96</f>
        <v>0</v>
      </c>
      <c r="O96" s="113">
        <f>Treasury!C96-'Check Treasury Past'!C96</f>
        <v>0</v>
      </c>
      <c r="P96" s="113">
        <f>Treasury!D96-'Check Treasury Past'!D96</f>
        <v>0</v>
      </c>
      <c r="Q96" s="113">
        <f>Treasury!E96-'Check Treasury Past'!E96</f>
        <v>0</v>
      </c>
      <c r="R96" s="113">
        <f>Treasury!F96-'Check Treasury Past'!F96</f>
        <v>0</v>
      </c>
      <c r="S96" s="113">
        <f>Treasury!G96-'Check Treasury Past'!G96</f>
        <v>0</v>
      </c>
      <c r="T96" s="113">
        <f>Treasury!H96-'Check Treasury Past'!H96</f>
        <v>0</v>
      </c>
      <c r="U96" s="113">
        <f>Treasury!I96-'Check Treasury Past'!I96</f>
        <v>0</v>
      </c>
      <c r="V96" s="113">
        <f>Treasury!J96-'Check Treasury Past'!J96</f>
        <v>0</v>
      </c>
      <c r="W96" s="113">
        <f>Treasury!K96-'Check Treasury Past'!K96</f>
        <v>0</v>
      </c>
      <c r="X96" s="1"/>
      <c r="Y96" s="1"/>
      <c r="Z96" s="1"/>
    </row>
    <row r="97" spans="1:26" s="14" customFormat="1" ht="12.75" customHeight="1" x14ac:dyDescent="0.2">
      <c r="A97" s="110">
        <v>39234</v>
      </c>
      <c r="B97" s="115">
        <v>4449</v>
      </c>
      <c r="C97" s="118">
        <v>674</v>
      </c>
      <c r="D97" s="119">
        <v>5123</v>
      </c>
      <c r="E97" s="119">
        <v>108</v>
      </c>
      <c r="F97" s="119">
        <v>40</v>
      </c>
      <c r="G97" s="119">
        <v>175</v>
      </c>
      <c r="H97" s="119">
        <v>5446</v>
      </c>
      <c r="I97" s="119">
        <v>15502</v>
      </c>
      <c r="J97" s="118">
        <v>20948</v>
      </c>
      <c r="K97" s="119">
        <v>1151</v>
      </c>
      <c r="L97" s="20"/>
      <c r="M97" s="110">
        <v>39234</v>
      </c>
      <c r="N97" s="113">
        <f>Treasury!B97-'Check Treasury Past'!B97</f>
        <v>0</v>
      </c>
      <c r="O97" s="113">
        <f>Treasury!C97-'Check Treasury Past'!C97</f>
        <v>0</v>
      </c>
      <c r="P97" s="113">
        <f>Treasury!D97-'Check Treasury Past'!D97</f>
        <v>0</v>
      </c>
      <c r="Q97" s="113">
        <f>Treasury!E97-'Check Treasury Past'!E97</f>
        <v>0</v>
      </c>
      <c r="R97" s="113">
        <f>Treasury!F97-'Check Treasury Past'!F97</f>
        <v>0</v>
      </c>
      <c r="S97" s="113">
        <f>Treasury!G97-'Check Treasury Past'!G97</f>
        <v>0</v>
      </c>
      <c r="T97" s="113">
        <f>Treasury!H97-'Check Treasury Past'!H97</f>
        <v>0</v>
      </c>
      <c r="U97" s="113">
        <f>Treasury!I97-'Check Treasury Past'!I97</f>
        <v>0</v>
      </c>
      <c r="V97" s="113">
        <f>Treasury!J97-'Check Treasury Past'!J97</f>
        <v>0</v>
      </c>
      <c r="W97" s="113">
        <f>Treasury!K97-'Check Treasury Past'!K97</f>
        <v>0</v>
      </c>
      <c r="X97" s="1"/>
      <c r="Y97" s="1"/>
      <c r="Z97" s="1"/>
    </row>
    <row r="98" spans="1:26" s="14" customFormat="1" ht="12.75" customHeight="1" x14ac:dyDescent="0.2">
      <c r="A98" s="110">
        <v>39264</v>
      </c>
      <c r="B98" s="115">
        <v>4801</v>
      </c>
      <c r="C98" s="118">
        <v>662</v>
      </c>
      <c r="D98" s="119">
        <v>5463</v>
      </c>
      <c r="E98" s="119">
        <v>109</v>
      </c>
      <c r="F98" s="118">
        <v>41</v>
      </c>
      <c r="G98" s="119">
        <v>21</v>
      </c>
      <c r="H98" s="119">
        <v>5634</v>
      </c>
      <c r="I98" s="119">
        <v>16635</v>
      </c>
      <c r="J98" s="118">
        <v>22269</v>
      </c>
      <c r="K98" s="119">
        <v>1011</v>
      </c>
      <c r="L98" s="20"/>
      <c r="M98" s="110">
        <v>39264</v>
      </c>
      <c r="N98" s="113">
        <f>Treasury!B98-'Check Treasury Past'!B98</f>
        <v>0</v>
      </c>
      <c r="O98" s="113">
        <f>Treasury!C98-'Check Treasury Past'!C98</f>
        <v>0</v>
      </c>
      <c r="P98" s="113">
        <f>Treasury!D98-'Check Treasury Past'!D98</f>
        <v>0</v>
      </c>
      <c r="Q98" s="113">
        <f>Treasury!E98-'Check Treasury Past'!E98</f>
        <v>0</v>
      </c>
      <c r="R98" s="113">
        <f>Treasury!F98-'Check Treasury Past'!F98</f>
        <v>0</v>
      </c>
      <c r="S98" s="113">
        <f>Treasury!G98-'Check Treasury Past'!G98</f>
        <v>0</v>
      </c>
      <c r="T98" s="113">
        <f>Treasury!H98-'Check Treasury Past'!H98</f>
        <v>0</v>
      </c>
      <c r="U98" s="113">
        <f>Treasury!I98-'Check Treasury Past'!I98</f>
        <v>0</v>
      </c>
      <c r="V98" s="113">
        <f>Treasury!J98-'Check Treasury Past'!J98</f>
        <v>0</v>
      </c>
      <c r="W98" s="113">
        <f>Treasury!K98-'Check Treasury Past'!K98</f>
        <v>0</v>
      </c>
      <c r="X98" s="1"/>
      <c r="Y98" s="1"/>
      <c r="Z98" s="1"/>
    </row>
    <row r="99" spans="1:26" s="14" customFormat="1" ht="12.75" customHeight="1" x14ac:dyDescent="0.2">
      <c r="A99" s="110">
        <v>39295</v>
      </c>
      <c r="B99" s="115">
        <v>5400</v>
      </c>
      <c r="C99" s="118">
        <v>608</v>
      </c>
      <c r="D99" s="119">
        <v>6008</v>
      </c>
      <c r="E99" s="119">
        <v>120</v>
      </c>
      <c r="F99" s="118">
        <v>42</v>
      </c>
      <c r="G99" s="119">
        <v>-47</v>
      </c>
      <c r="H99" s="119">
        <v>6123</v>
      </c>
      <c r="I99" s="119">
        <v>17795</v>
      </c>
      <c r="J99" s="118">
        <v>23918</v>
      </c>
      <c r="K99" s="119">
        <v>-254</v>
      </c>
      <c r="L99" s="20"/>
      <c r="M99" s="110">
        <v>39295</v>
      </c>
      <c r="N99" s="113">
        <f>Treasury!B99-'Check Treasury Past'!B99</f>
        <v>0</v>
      </c>
      <c r="O99" s="113">
        <f>Treasury!C99-'Check Treasury Past'!C99</f>
        <v>0</v>
      </c>
      <c r="P99" s="113">
        <f>Treasury!D99-'Check Treasury Past'!D99</f>
        <v>0</v>
      </c>
      <c r="Q99" s="113">
        <f>Treasury!E99-'Check Treasury Past'!E99</f>
        <v>0</v>
      </c>
      <c r="R99" s="113">
        <f>Treasury!F99-'Check Treasury Past'!F99</f>
        <v>0</v>
      </c>
      <c r="S99" s="113">
        <f>Treasury!G99-'Check Treasury Past'!G99</f>
        <v>0</v>
      </c>
      <c r="T99" s="113">
        <f>Treasury!H99-'Check Treasury Past'!H99</f>
        <v>0</v>
      </c>
      <c r="U99" s="113">
        <f>Treasury!I99-'Check Treasury Past'!I99</f>
        <v>0</v>
      </c>
      <c r="V99" s="113">
        <f>Treasury!J99-'Check Treasury Past'!J99</f>
        <v>0</v>
      </c>
      <c r="W99" s="113">
        <f>Treasury!K99-'Check Treasury Past'!K99</f>
        <v>0</v>
      </c>
      <c r="X99" s="1"/>
      <c r="Y99" s="1"/>
      <c r="Z99" s="1"/>
    </row>
    <row r="100" spans="1:26" s="14" customFormat="1" ht="12.75" customHeight="1" x14ac:dyDescent="0.2">
      <c r="A100" s="110">
        <v>39326</v>
      </c>
      <c r="B100" s="115">
        <v>5051</v>
      </c>
      <c r="C100" s="118">
        <v>669</v>
      </c>
      <c r="D100" s="118">
        <v>5720</v>
      </c>
      <c r="E100" s="118">
        <v>113</v>
      </c>
      <c r="F100" s="118">
        <v>40</v>
      </c>
      <c r="G100" s="118">
        <v>11</v>
      </c>
      <c r="H100" s="118">
        <v>5884</v>
      </c>
      <c r="I100" s="119">
        <v>16441</v>
      </c>
      <c r="J100" s="118">
        <v>22325</v>
      </c>
      <c r="K100" s="119">
        <v>1020</v>
      </c>
      <c r="L100" s="20"/>
      <c r="M100" s="110">
        <v>39326</v>
      </c>
      <c r="N100" s="113">
        <f>Treasury!B100-'Check Treasury Past'!B100</f>
        <v>0</v>
      </c>
      <c r="O100" s="113">
        <f>Treasury!C100-'Check Treasury Past'!C100</f>
        <v>0</v>
      </c>
      <c r="P100" s="113">
        <f>Treasury!D100-'Check Treasury Past'!D100</f>
        <v>0</v>
      </c>
      <c r="Q100" s="113">
        <f>Treasury!E100-'Check Treasury Past'!E100</f>
        <v>0</v>
      </c>
      <c r="R100" s="113">
        <f>Treasury!F100-'Check Treasury Past'!F100</f>
        <v>0</v>
      </c>
      <c r="S100" s="113">
        <f>Treasury!G100-'Check Treasury Past'!G100</f>
        <v>0</v>
      </c>
      <c r="T100" s="113">
        <f>Treasury!H100-'Check Treasury Past'!H100</f>
        <v>0</v>
      </c>
      <c r="U100" s="113">
        <f>Treasury!I100-'Check Treasury Past'!I100</f>
        <v>0</v>
      </c>
      <c r="V100" s="113">
        <f>Treasury!J100-'Check Treasury Past'!J100</f>
        <v>0</v>
      </c>
      <c r="W100" s="113">
        <f>Treasury!K100-'Check Treasury Past'!K100</f>
        <v>0</v>
      </c>
      <c r="X100" s="1"/>
      <c r="Y100" s="1"/>
      <c r="Z100" s="1"/>
    </row>
    <row r="101" spans="1:26" s="14" customFormat="1" ht="12.75" customHeight="1" x14ac:dyDescent="0.2">
      <c r="A101" s="110">
        <v>39356</v>
      </c>
      <c r="B101" s="115">
        <v>5231</v>
      </c>
      <c r="C101" s="118">
        <v>667</v>
      </c>
      <c r="D101" s="118">
        <v>5898</v>
      </c>
      <c r="E101" s="118">
        <v>109</v>
      </c>
      <c r="F101" s="118">
        <v>40</v>
      </c>
      <c r="G101" s="118">
        <v>27</v>
      </c>
      <c r="H101" s="118">
        <v>6074</v>
      </c>
      <c r="I101" s="118">
        <v>16216</v>
      </c>
      <c r="J101" s="118">
        <v>22290</v>
      </c>
      <c r="K101" s="119">
        <v>1147</v>
      </c>
      <c r="L101" s="20"/>
      <c r="M101" s="110">
        <v>39356</v>
      </c>
      <c r="N101" s="113">
        <f>Treasury!B101-'Check Treasury Past'!B101</f>
        <v>0</v>
      </c>
      <c r="O101" s="113">
        <f>Treasury!C101-'Check Treasury Past'!C101</f>
        <v>0</v>
      </c>
      <c r="P101" s="113">
        <f>Treasury!D101-'Check Treasury Past'!D101</f>
        <v>0</v>
      </c>
      <c r="Q101" s="113">
        <f>Treasury!E101-'Check Treasury Past'!E101</f>
        <v>0</v>
      </c>
      <c r="R101" s="113">
        <f>Treasury!F101-'Check Treasury Past'!F101</f>
        <v>0</v>
      </c>
      <c r="S101" s="113">
        <f>Treasury!G101-'Check Treasury Past'!G101</f>
        <v>0</v>
      </c>
      <c r="T101" s="113">
        <f>Treasury!H101-'Check Treasury Past'!H101</f>
        <v>0</v>
      </c>
      <c r="U101" s="113">
        <f>Treasury!I101-'Check Treasury Past'!I101</f>
        <v>0</v>
      </c>
      <c r="V101" s="113">
        <f>Treasury!J101-'Check Treasury Past'!J101</f>
        <v>0</v>
      </c>
      <c r="W101" s="113">
        <f>Treasury!K101-'Check Treasury Past'!K101</f>
        <v>0</v>
      </c>
      <c r="X101" s="1"/>
      <c r="Y101" s="1"/>
      <c r="Z101" s="1"/>
    </row>
    <row r="102" spans="1:26" s="14" customFormat="1" ht="12.75" customHeight="1" x14ac:dyDescent="0.2">
      <c r="A102" s="110">
        <v>39387</v>
      </c>
      <c r="B102" s="115">
        <v>5561</v>
      </c>
      <c r="C102" s="118">
        <v>408</v>
      </c>
      <c r="D102" s="118">
        <v>5969</v>
      </c>
      <c r="E102" s="118">
        <v>109</v>
      </c>
      <c r="F102" s="118">
        <v>37</v>
      </c>
      <c r="G102" s="118">
        <v>9</v>
      </c>
      <c r="H102" s="118">
        <v>6124</v>
      </c>
      <c r="I102" s="118">
        <v>15865</v>
      </c>
      <c r="J102" s="118">
        <v>21989</v>
      </c>
      <c r="K102" s="119">
        <v>1169</v>
      </c>
      <c r="L102" s="20"/>
      <c r="M102" s="110">
        <v>39387</v>
      </c>
      <c r="N102" s="113">
        <f>Treasury!B102-'Check Treasury Past'!B102</f>
        <v>0</v>
      </c>
      <c r="O102" s="113">
        <f>Treasury!C102-'Check Treasury Past'!C102</f>
        <v>0</v>
      </c>
      <c r="P102" s="113">
        <f>Treasury!D102-'Check Treasury Past'!D102</f>
        <v>0</v>
      </c>
      <c r="Q102" s="113">
        <f>Treasury!E102-'Check Treasury Past'!E102</f>
        <v>0</v>
      </c>
      <c r="R102" s="113">
        <f>Treasury!F102-'Check Treasury Past'!F102</f>
        <v>0</v>
      </c>
      <c r="S102" s="113">
        <f>Treasury!G102-'Check Treasury Past'!G102</f>
        <v>0</v>
      </c>
      <c r="T102" s="113">
        <f>Treasury!H102-'Check Treasury Past'!H102</f>
        <v>0</v>
      </c>
      <c r="U102" s="113">
        <f>Treasury!I102-'Check Treasury Past'!I102</f>
        <v>0</v>
      </c>
      <c r="V102" s="113">
        <f>Treasury!J102-'Check Treasury Past'!J102</f>
        <v>0</v>
      </c>
      <c r="W102" s="113">
        <f>Treasury!K102-'Check Treasury Past'!K102</f>
        <v>0</v>
      </c>
      <c r="X102" s="1"/>
      <c r="Y102" s="1"/>
      <c r="Z102" s="1"/>
    </row>
    <row r="103" spans="1:26" s="14" customFormat="1" ht="12.75" customHeight="1" x14ac:dyDescent="0.2">
      <c r="A103" s="110">
        <v>39417</v>
      </c>
      <c r="B103" s="115">
        <v>5049</v>
      </c>
      <c r="C103" s="118">
        <v>470</v>
      </c>
      <c r="D103" s="118">
        <v>5519</v>
      </c>
      <c r="E103" s="118">
        <v>108</v>
      </c>
      <c r="F103" s="118">
        <v>37</v>
      </c>
      <c r="G103" s="118">
        <v>0</v>
      </c>
      <c r="H103" s="118">
        <v>5664</v>
      </c>
      <c r="I103" s="118">
        <v>16605</v>
      </c>
      <c r="J103" s="118">
        <v>22269</v>
      </c>
      <c r="K103" s="119">
        <v>932</v>
      </c>
      <c r="L103" s="20"/>
      <c r="M103" s="110">
        <v>39417</v>
      </c>
      <c r="N103" s="113">
        <f>Treasury!B103-'Check Treasury Past'!B103</f>
        <v>0</v>
      </c>
      <c r="O103" s="113">
        <f>Treasury!C103-'Check Treasury Past'!C103</f>
        <v>0</v>
      </c>
      <c r="P103" s="113">
        <f>Treasury!D103-'Check Treasury Past'!D103</f>
        <v>0</v>
      </c>
      <c r="Q103" s="113">
        <f>Treasury!E103-'Check Treasury Past'!E103</f>
        <v>0</v>
      </c>
      <c r="R103" s="113">
        <f>Treasury!F103-'Check Treasury Past'!F103</f>
        <v>0</v>
      </c>
      <c r="S103" s="113">
        <f>Treasury!G103-'Check Treasury Past'!G103</f>
        <v>0</v>
      </c>
      <c r="T103" s="113">
        <f>Treasury!H103-'Check Treasury Past'!H103</f>
        <v>0</v>
      </c>
      <c r="U103" s="113">
        <f>Treasury!I103-'Check Treasury Past'!I103</f>
        <v>0</v>
      </c>
      <c r="V103" s="113">
        <f>Treasury!J103-'Check Treasury Past'!J103</f>
        <v>0</v>
      </c>
      <c r="W103" s="113">
        <f>Treasury!K103-'Check Treasury Past'!K103</f>
        <v>0</v>
      </c>
      <c r="X103" s="1"/>
      <c r="Y103" s="1"/>
      <c r="Z103" s="1"/>
    </row>
    <row r="104" spans="1:26" s="14" customFormat="1" ht="12.75" customHeight="1" x14ac:dyDescent="0.2">
      <c r="A104" s="110">
        <v>39448</v>
      </c>
      <c r="B104" s="115">
        <v>5280</v>
      </c>
      <c r="C104" s="118">
        <v>592</v>
      </c>
      <c r="D104" s="118">
        <v>5872</v>
      </c>
      <c r="E104" s="118">
        <v>106</v>
      </c>
      <c r="F104" s="118">
        <v>37</v>
      </c>
      <c r="G104" s="118">
        <v>0</v>
      </c>
      <c r="H104" s="118">
        <v>6015</v>
      </c>
      <c r="I104" s="118">
        <v>16651</v>
      </c>
      <c r="J104" s="118">
        <v>22666</v>
      </c>
      <c r="K104" s="119">
        <v>993</v>
      </c>
      <c r="L104" s="20"/>
      <c r="M104" s="110">
        <v>39448</v>
      </c>
      <c r="N104" s="113">
        <f>Treasury!B104-'Check Treasury Past'!B104</f>
        <v>0</v>
      </c>
      <c r="O104" s="113">
        <f>Treasury!C104-'Check Treasury Past'!C104</f>
        <v>0</v>
      </c>
      <c r="P104" s="113">
        <f>Treasury!D104-'Check Treasury Past'!D104</f>
        <v>0</v>
      </c>
      <c r="Q104" s="113">
        <f>Treasury!E104-'Check Treasury Past'!E104</f>
        <v>0</v>
      </c>
      <c r="R104" s="113">
        <f>Treasury!F104-'Check Treasury Past'!F104</f>
        <v>0</v>
      </c>
      <c r="S104" s="113">
        <f>Treasury!G104-'Check Treasury Past'!G104</f>
        <v>0</v>
      </c>
      <c r="T104" s="113">
        <f>Treasury!H104-'Check Treasury Past'!H104</f>
        <v>0</v>
      </c>
      <c r="U104" s="113">
        <f>Treasury!I104-'Check Treasury Past'!I104</f>
        <v>0</v>
      </c>
      <c r="V104" s="113">
        <f>Treasury!J104-'Check Treasury Past'!J104</f>
        <v>0</v>
      </c>
      <c r="W104" s="113">
        <f>Treasury!K104-'Check Treasury Past'!K104</f>
        <v>0</v>
      </c>
      <c r="X104" s="1"/>
      <c r="Y104" s="1"/>
      <c r="Z104" s="1"/>
    </row>
    <row r="105" spans="1:26" s="14" customFormat="1" ht="12.75" customHeight="1" x14ac:dyDescent="0.2">
      <c r="A105" s="110">
        <v>39479</v>
      </c>
      <c r="B105" s="115">
        <v>4411</v>
      </c>
      <c r="C105" s="118">
        <v>936</v>
      </c>
      <c r="D105" s="118">
        <v>5347</v>
      </c>
      <c r="E105" s="118">
        <v>99</v>
      </c>
      <c r="F105" s="118">
        <v>34</v>
      </c>
      <c r="G105" s="118">
        <v>0</v>
      </c>
      <c r="H105" s="118">
        <v>5480</v>
      </c>
      <c r="I105" s="118">
        <v>16600</v>
      </c>
      <c r="J105" s="118">
        <v>22080</v>
      </c>
      <c r="K105" s="119">
        <v>1350</v>
      </c>
      <c r="L105" s="20"/>
      <c r="M105" s="110">
        <v>39479</v>
      </c>
      <c r="N105" s="113">
        <f>Treasury!B105-'Check Treasury Past'!B105</f>
        <v>0</v>
      </c>
      <c r="O105" s="113">
        <f>Treasury!C105-'Check Treasury Past'!C105</f>
        <v>0</v>
      </c>
      <c r="P105" s="113">
        <f>Treasury!D105-'Check Treasury Past'!D105</f>
        <v>0</v>
      </c>
      <c r="Q105" s="113">
        <f>Treasury!E105-'Check Treasury Past'!E105</f>
        <v>0</v>
      </c>
      <c r="R105" s="113">
        <f>Treasury!F105-'Check Treasury Past'!F105</f>
        <v>0</v>
      </c>
      <c r="S105" s="113">
        <f>Treasury!G105-'Check Treasury Past'!G105</f>
        <v>0</v>
      </c>
      <c r="T105" s="113">
        <f>Treasury!H105-'Check Treasury Past'!H105</f>
        <v>0</v>
      </c>
      <c r="U105" s="113">
        <f>Treasury!I105-'Check Treasury Past'!I105</f>
        <v>0</v>
      </c>
      <c r="V105" s="113">
        <f>Treasury!J105-'Check Treasury Past'!J105</f>
        <v>0</v>
      </c>
      <c r="W105" s="113">
        <f>Treasury!K105-'Check Treasury Past'!K105</f>
        <v>0</v>
      </c>
      <c r="X105" s="1"/>
      <c r="Y105" s="1"/>
      <c r="Z105" s="1"/>
    </row>
    <row r="106" spans="1:26" s="14" customFormat="1" ht="12.75" customHeight="1" x14ac:dyDescent="0.2">
      <c r="A106" s="110">
        <v>39508</v>
      </c>
      <c r="B106" s="115">
        <v>4680</v>
      </c>
      <c r="C106" s="118">
        <v>508</v>
      </c>
      <c r="D106" s="118">
        <v>5188</v>
      </c>
      <c r="E106" s="118">
        <v>119</v>
      </c>
      <c r="F106" s="118">
        <v>35</v>
      </c>
      <c r="G106" s="118">
        <v>0</v>
      </c>
      <c r="H106" s="118">
        <v>5342</v>
      </c>
      <c r="I106" s="118">
        <v>19197</v>
      </c>
      <c r="J106" s="118">
        <v>24539</v>
      </c>
      <c r="K106" s="119">
        <v>804</v>
      </c>
      <c r="L106" s="20"/>
      <c r="M106" s="110">
        <v>39508</v>
      </c>
      <c r="N106" s="113">
        <f>Treasury!B106-'Check Treasury Past'!B106</f>
        <v>0</v>
      </c>
      <c r="O106" s="113">
        <f>Treasury!C106-'Check Treasury Past'!C106</f>
        <v>0</v>
      </c>
      <c r="P106" s="113">
        <f>Treasury!D106-'Check Treasury Past'!D106</f>
        <v>0</v>
      </c>
      <c r="Q106" s="113">
        <f>Treasury!E106-'Check Treasury Past'!E106</f>
        <v>0</v>
      </c>
      <c r="R106" s="113">
        <f>Treasury!F106-'Check Treasury Past'!F106</f>
        <v>0</v>
      </c>
      <c r="S106" s="113">
        <f>Treasury!G106-'Check Treasury Past'!G106</f>
        <v>0</v>
      </c>
      <c r="T106" s="113">
        <f>Treasury!H106-'Check Treasury Past'!H106</f>
        <v>0</v>
      </c>
      <c r="U106" s="113">
        <f>Treasury!I106-'Check Treasury Past'!I106</f>
        <v>0</v>
      </c>
      <c r="V106" s="113">
        <f>Treasury!J106-'Check Treasury Past'!J106</f>
        <v>0</v>
      </c>
      <c r="W106" s="113">
        <f>Treasury!K106-'Check Treasury Past'!K106</f>
        <v>0</v>
      </c>
      <c r="X106" s="1"/>
      <c r="Y106" s="1"/>
      <c r="Z106" s="1"/>
    </row>
    <row r="107" spans="1:26" s="14" customFormat="1" ht="12.75" customHeight="1" x14ac:dyDescent="0.2">
      <c r="A107" s="110">
        <v>39539</v>
      </c>
      <c r="B107" s="115">
        <v>4971</v>
      </c>
      <c r="C107" s="118">
        <v>469</v>
      </c>
      <c r="D107" s="118">
        <v>5440</v>
      </c>
      <c r="E107" s="118">
        <v>120</v>
      </c>
      <c r="F107" s="118">
        <v>36</v>
      </c>
      <c r="G107" s="118">
        <v>0</v>
      </c>
      <c r="H107" s="118">
        <v>5596</v>
      </c>
      <c r="I107" s="118">
        <v>19148</v>
      </c>
      <c r="J107" s="118">
        <v>24744</v>
      </c>
      <c r="K107" s="119">
        <v>502</v>
      </c>
      <c r="L107" s="20"/>
      <c r="M107" s="110">
        <v>39539</v>
      </c>
      <c r="N107" s="113">
        <f>Treasury!B107-'Check Treasury Past'!B107</f>
        <v>0</v>
      </c>
      <c r="O107" s="113">
        <f>Treasury!C107-'Check Treasury Past'!C107</f>
        <v>0</v>
      </c>
      <c r="P107" s="113">
        <f>Treasury!D107-'Check Treasury Past'!D107</f>
        <v>0</v>
      </c>
      <c r="Q107" s="113">
        <f>Treasury!E107-'Check Treasury Past'!E107</f>
        <v>0</v>
      </c>
      <c r="R107" s="113">
        <f>Treasury!F107-'Check Treasury Past'!F107</f>
        <v>0</v>
      </c>
      <c r="S107" s="113">
        <f>Treasury!G107-'Check Treasury Past'!G107</f>
        <v>0</v>
      </c>
      <c r="T107" s="113">
        <f>Treasury!H107-'Check Treasury Past'!H107</f>
        <v>0</v>
      </c>
      <c r="U107" s="113">
        <f>Treasury!I107-'Check Treasury Past'!I107</f>
        <v>0</v>
      </c>
      <c r="V107" s="113">
        <f>Treasury!J107-'Check Treasury Past'!J107</f>
        <v>0</v>
      </c>
      <c r="W107" s="113">
        <f>Treasury!K107-'Check Treasury Past'!K107</f>
        <v>0</v>
      </c>
      <c r="X107" s="1"/>
      <c r="Y107" s="1"/>
      <c r="Z107" s="1"/>
    </row>
    <row r="108" spans="1:26" s="14" customFormat="1" ht="12.75" customHeight="1" x14ac:dyDescent="0.2">
      <c r="A108" s="110">
        <v>39569</v>
      </c>
      <c r="B108" s="115">
        <v>4892</v>
      </c>
      <c r="C108" s="118">
        <v>614</v>
      </c>
      <c r="D108" s="118">
        <v>5506</v>
      </c>
      <c r="E108" s="118">
        <v>138</v>
      </c>
      <c r="F108" s="118">
        <v>34</v>
      </c>
      <c r="G108" s="118">
        <v>0</v>
      </c>
      <c r="H108" s="118">
        <v>5678</v>
      </c>
      <c r="I108" s="118">
        <v>20344</v>
      </c>
      <c r="J108" s="118">
        <v>26022</v>
      </c>
      <c r="K108" s="119">
        <v>750</v>
      </c>
      <c r="L108" s="20"/>
      <c r="M108" s="110">
        <v>39569</v>
      </c>
      <c r="N108" s="113">
        <f>Treasury!B108-'Check Treasury Past'!B108</f>
        <v>0</v>
      </c>
      <c r="O108" s="113">
        <f>Treasury!C108-'Check Treasury Past'!C108</f>
        <v>0</v>
      </c>
      <c r="P108" s="113">
        <f>Treasury!D108-'Check Treasury Past'!D108</f>
        <v>0</v>
      </c>
      <c r="Q108" s="113">
        <f>Treasury!E108-'Check Treasury Past'!E108</f>
        <v>0</v>
      </c>
      <c r="R108" s="113">
        <f>Treasury!F108-'Check Treasury Past'!F108</f>
        <v>0</v>
      </c>
      <c r="S108" s="113">
        <f>Treasury!G108-'Check Treasury Past'!G108</f>
        <v>0</v>
      </c>
      <c r="T108" s="113">
        <f>Treasury!H108-'Check Treasury Past'!H108</f>
        <v>0</v>
      </c>
      <c r="U108" s="113">
        <f>Treasury!I108-'Check Treasury Past'!I108</f>
        <v>0</v>
      </c>
      <c r="V108" s="113">
        <f>Treasury!J108-'Check Treasury Past'!J108</f>
        <v>0</v>
      </c>
      <c r="W108" s="113">
        <f>Treasury!K108-'Check Treasury Past'!K108</f>
        <v>0</v>
      </c>
      <c r="X108" s="1"/>
      <c r="Y108" s="1"/>
      <c r="Z108" s="1"/>
    </row>
    <row r="109" spans="1:26" s="14" customFormat="1" ht="12.75" customHeight="1" x14ac:dyDescent="0.2">
      <c r="A109" s="110">
        <v>39600</v>
      </c>
      <c r="B109" s="115">
        <v>5004</v>
      </c>
      <c r="C109" s="118">
        <v>507</v>
      </c>
      <c r="D109" s="118">
        <v>5511</v>
      </c>
      <c r="E109" s="118">
        <v>142</v>
      </c>
      <c r="F109" s="118">
        <v>35</v>
      </c>
      <c r="G109" s="118">
        <v>0</v>
      </c>
      <c r="H109" s="118">
        <v>5688</v>
      </c>
      <c r="I109" s="118">
        <v>19936</v>
      </c>
      <c r="J109" s="118">
        <v>25624</v>
      </c>
      <c r="K109" s="119">
        <v>122</v>
      </c>
      <c r="L109" s="20"/>
      <c r="M109" s="110">
        <v>39600</v>
      </c>
      <c r="N109" s="113">
        <f>Treasury!B109-'Check Treasury Past'!B109</f>
        <v>0</v>
      </c>
      <c r="O109" s="113">
        <f>Treasury!C109-'Check Treasury Past'!C109</f>
        <v>0</v>
      </c>
      <c r="P109" s="113">
        <f>Treasury!D109-'Check Treasury Past'!D109</f>
        <v>0</v>
      </c>
      <c r="Q109" s="113">
        <f>Treasury!E109-'Check Treasury Past'!E109</f>
        <v>0</v>
      </c>
      <c r="R109" s="113">
        <f>Treasury!F109-'Check Treasury Past'!F109</f>
        <v>0</v>
      </c>
      <c r="S109" s="113">
        <f>Treasury!G109-'Check Treasury Past'!G109</f>
        <v>0</v>
      </c>
      <c r="T109" s="113">
        <f>Treasury!H109-'Check Treasury Past'!H109</f>
        <v>0</v>
      </c>
      <c r="U109" s="113">
        <f>Treasury!I109-'Check Treasury Past'!I109</f>
        <v>0</v>
      </c>
      <c r="V109" s="113">
        <f>Treasury!J109-'Check Treasury Past'!J109</f>
        <v>0</v>
      </c>
      <c r="W109" s="113">
        <f>Treasury!K109-'Check Treasury Past'!K109</f>
        <v>0</v>
      </c>
      <c r="X109" s="1"/>
      <c r="Y109" s="1"/>
      <c r="Z109" s="1"/>
    </row>
    <row r="110" spans="1:26" s="14" customFormat="1" ht="12.75" customHeight="1" x14ac:dyDescent="0.2">
      <c r="A110" s="110">
        <v>39630</v>
      </c>
      <c r="B110" s="115">
        <v>4052</v>
      </c>
      <c r="C110" s="118">
        <v>264</v>
      </c>
      <c r="D110" s="118">
        <v>4316</v>
      </c>
      <c r="E110" s="118">
        <v>146</v>
      </c>
      <c r="F110" s="118">
        <v>36</v>
      </c>
      <c r="G110" s="118">
        <v>0</v>
      </c>
      <c r="H110" s="118">
        <v>4498</v>
      </c>
      <c r="I110" s="118">
        <v>16082</v>
      </c>
      <c r="J110" s="118">
        <v>20580</v>
      </c>
      <c r="K110" s="119">
        <v>24</v>
      </c>
      <c r="L110" s="20"/>
      <c r="M110" s="110">
        <v>39630</v>
      </c>
      <c r="N110" s="113">
        <f>Treasury!B110-'Check Treasury Past'!B110</f>
        <v>0</v>
      </c>
      <c r="O110" s="113">
        <f>Treasury!C110-'Check Treasury Past'!C110</f>
        <v>0</v>
      </c>
      <c r="P110" s="113">
        <f>Treasury!D110-'Check Treasury Past'!D110</f>
        <v>0</v>
      </c>
      <c r="Q110" s="113">
        <f>Treasury!E110-'Check Treasury Past'!E110</f>
        <v>0</v>
      </c>
      <c r="R110" s="113">
        <f>Treasury!F110-'Check Treasury Past'!F110</f>
        <v>0</v>
      </c>
      <c r="S110" s="113">
        <f>Treasury!G110-'Check Treasury Past'!G110</f>
        <v>0</v>
      </c>
      <c r="T110" s="113">
        <f>Treasury!H110-'Check Treasury Past'!H110</f>
        <v>0</v>
      </c>
      <c r="U110" s="113">
        <f>Treasury!I110-'Check Treasury Past'!I110</f>
        <v>0</v>
      </c>
      <c r="V110" s="113">
        <f>Treasury!J110-'Check Treasury Past'!J110</f>
        <v>0</v>
      </c>
      <c r="W110" s="113">
        <f>Treasury!K110-'Check Treasury Past'!K110</f>
        <v>0</v>
      </c>
      <c r="X110" s="1"/>
      <c r="Y110" s="1"/>
      <c r="Z110" s="1"/>
    </row>
    <row r="111" spans="1:26" s="14" customFormat="1" ht="12.75" customHeight="1" x14ac:dyDescent="0.2">
      <c r="A111" s="110">
        <v>39661</v>
      </c>
      <c r="B111" s="115">
        <v>4091</v>
      </c>
      <c r="C111" s="118">
        <v>293</v>
      </c>
      <c r="D111" s="118">
        <v>4384</v>
      </c>
      <c r="E111" s="118">
        <v>148</v>
      </c>
      <c r="F111" s="118">
        <v>34</v>
      </c>
      <c r="G111" s="118">
        <v>0</v>
      </c>
      <c r="H111" s="118">
        <v>4566</v>
      </c>
      <c r="I111" s="118">
        <v>15542</v>
      </c>
      <c r="J111" s="118">
        <v>20108</v>
      </c>
      <c r="K111" s="118">
        <v>-64</v>
      </c>
      <c r="L111" s="20"/>
      <c r="M111" s="110">
        <v>39661</v>
      </c>
      <c r="N111" s="113">
        <f>Treasury!B111-'Check Treasury Past'!B111</f>
        <v>0</v>
      </c>
      <c r="O111" s="113">
        <f>Treasury!C111-'Check Treasury Past'!C111</f>
        <v>0</v>
      </c>
      <c r="P111" s="113">
        <f>Treasury!D111-'Check Treasury Past'!D111</f>
        <v>0</v>
      </c>
      <c r="Q111" s="113">
        <f>Treasury!E111-'Check Treasury Past'!E111</f>
        <v>0</v>
      </c>
      <c r="R111" s="113">
        <f>Treasury!F111-'Check Treasury Past'!F111</f>
        <v>0</v>
      </c>
      <c r="S111" s="113">
        <f>Treasury!G111-'Check Treasury Past'!G111</f>
        <v>0</v>
      </c>
      <c r="T111" s="113">
        <f>Treasury!H111-'Check Treasury Past'!H111</f>
        <v>0</v>
      </c>
      <c r="U111" s="113">
        <f>Treasury!I111-'Check Treasury Past'!I111</f>
        <v>0</v>
      </c>
      <c r="V111" s="113">
        <f>Treasury!J111-'Check Treasury Past'!J111</f>
        <v>0</v>
      </c>
      <c r="W111" s="113">
        <f>Treasury!K111-'Check Treasury Past'!K111</f>
        <v>0</v>
      </c>
      <c r="X111" s="1"/>
      <c r="Y111" s="1"/>
      <c r="Z111" s="1"/>
    </row>
    <row r="112" spans="1:26" s="14" customFormat="1" ht="12.75" customHeight="1" x14ac:dyDescent="0.2">
      <c r="A112" s="110">
        <v>39692</v>
      </c>
      <c r="B112" s="115">
        <v>4450</v>
      </c>
      <c r="C112" s="118">
        <v>242</v>
      </c>
      <c r="D112" s="118">
        <v>4692</v>
      </c>
      <c r="E112" s="118">
        <v>149</v>
      </c>
      <c r="F112" s="118">
        <v>36</v>
      </c>
      <c r="G112" s="118">
        <v>-2</v>
      </c>
      <c r="H112" s="118">
        <v>4875</v>
      </c>
      <c r="I112" s="118">
        <v>16542</v>
      </c>
      <c r="J112" s="118">
        <v>21417</v>
      </c>
      <c r="K112" s="118">
        <v>-375</v>
      </c>
      <c r="L112" s="20"/>
      <c r="M112" s="110">
        <v>39692</v>
      </c>
      <c r="N112" s="113">
        <f>Treasury!B112-'Check Treasury Past'!B112</f>
        <v>0</v>
      </c>
      <c r="O112" s="113">
        <f>Treasury!C112-'Check Treasury Past'!C112</f>
        <v>0</v>
      </c>
      <c r="P112" s="113">
        <f>Treasury!D112-'Check Treasury Past'!D112</f>
        <v>0</v>
      </c>
      <c r="Q112" s="113">
        <f>Treasury!E112-'Check Treasury Past'!E112</f>
        <v>0</v>
      </c>
      <c r="R112" s="113">
        <f>Treasury!F112-'Check Treasury Past'!F112</f>
        <v>0</v>
      </c>
      <c r="S112" s="113">
        <f>Treasury!G112-'Check Treasury Past'!G112</f>
        <v>0</v>
      </c>
      <c r="T112" s="113">
        <f>Treasury!H112-'Check Treasury Past'!H112</f>
        <v>0</v>
      </c>
      <c r="U112" s="113">
        <f>Treasury!I112-'Check Treasury Past'!I112</f>
        <v>0</v>
      </c>
      <c r="V112" s="113">
        <f>Treasury!J112-'Check Treasury Past'!J112</f>
        <v>0</v>
      </c>
      <c r="W112" s="113">
        <f>Treasury!K112-'Check Treasury Past'!K112</f>
        <v>0</v>
      </c>
      <c r="X112" s="1"/>
      <c r="Y112" s="1"/>
      <c r="Z112" s="1"/>
    </row>
    <row r="113" spans="1:26" s="14" customFormat="1" ht="12.75" customHeight="1" x14ac:dyDescent="0.2">
      <c r="A113" s="110">
        <v>39722</v>
      </c>
      <c r="B113" s="115">
        <v>5628</v>
      </c>
      <c r="C113" s="118">
        <v>682</v>
      </c>
      <c r="D113" s="118">
        <v>6310</v>
      </c>
      <c r="E113" s="118">
        <v>162</v>
      </c>
      <c r="F113" s="118">
        <v>39</v>
      </c>
      <c r="G113" s="118">
        <v>-16</v>
      </c>
      <c r="H113" s="118">
        <v>6495</v>
      </c>
      <c r="I113" s="118">
        <v>15432</v>
      </c>
      <c r="J113" s="118">
        <v>21927</v>
      </c>
      <c r="K113" s="118">
        <v>-992</v>
      </c>
      <c r="L113" s="20"/>
      <c r="M113" s="110">
        <v>39722</v>
      </c>
      <c r="N113" s="113">
        <f>Treasury!B113-'Check Treasury Past'!B113</f>
        <v>0</v>
      </c>
      <c r="O113" s="113">
        <f>Treasury!C113-'Check Treasury Past'!C113</f>
        <v>0</v>
      </c>
      <c r="P113" s="113">
        <f>Treasury!D113-'Check Treasury Past'!D113</f>
        <v>0</v>
      </c>
      <c r="Q113" s="113">
        <f>Treasury!E113-'Check Treasury Past'!E113</f>
        <v>0</v>
      </c>
      <c r="R113" s="113">
        <f>Treasury!F113-'Check Treasury Past'!F113</f>
        <v>0</v>
      </c>
      <c r="S113" s="113">
        <f>Treasury!G113-'Check Treasury Past'!G113</f>
        <v>0</v>
      </c>
      <c r="T113" s="113">
        <f>Treasury!H113-'Check Treasury Past'!H113</f>
        <v>0</v>
      </c>
      <c r="U113" s="113">
        <f>Treasury!I113-'Check Treasury Past'!I113</f>
        <v>0</v>
      </c>
      <c r="V113" s="113">
        <f>Treasury!J113-'Check Treasury Past'!J113</f>
        <v>0</v>
      </c>
      <c r="W113" s="113">
        <f>Treasury!K113-'Check Treasury Past'!K113</f>
        <v>0</v>
      </c>
      <c r="X113" s="1"/>
      <c r="Y113" s="1"/>
      <c r="Z113" s="1"/>
    </row>
    <row r="114" spans="1:26" s="14" customFormat="1" ht="12.75" customHeight="1" x14ac:dyDescent="0.2">
      <c r="A114" s="110">
        <v>39753</v>
      </c>
      <c r="B114" s="115">
        <v>5519</v>
      </c>
      <c r="C114" s="118">
        <v>477</v>
      </c>
      <c r="D114" s="118">
        <v>5996</v>
      </c>
      <c r="E114" s="118">
        <v>308</v>
      </c>
      <c r="F114" s="118">
        <v>40</v>
      </c>
      <c r="G114" s="118">
        <v>-5</v>
      </c>
      <c r="H114" s="118">
        <v>6339</v>
      </c>
      <c r="I114" s="118">
        <v>15259</v>
      </c>
      <c r="J114" s="118">
        <v>21598</v>
      </c>
      <c r="K114" s="118">
        <v>-874</v>
      </c>
      <c r="L114" s="20"/>
      <c r="M114" s="110">
        <v>39753</v>
      </c>
      <c r="N114" s="113">
        <f>Treasury!B114-'Check Treasury Past'!B114</f>
        <v>0</v>
      </c>
      <c r="O114" s="113">
        <f>Treasury!C114-'Check Treasury Past'!C114</f>
        <v>0</v>
      </c>
      <c r="P114" s="113">
        <f>Treasury!D114-'Check Treasury Past'!D114</f>
        <v>0</v>
      </c>
      <c r="Q114" s="113">
        <f>Treasury!E114-'Check Treasury Past'!E114</f>
        <v>0</v>
      </c>
      <c r="R114" s="113">
        <f>Treasury!F114-'Check Treasury Past'!F114</f>
        <v>0</v>
      </c>
      <c r="S114" s="113">
        <f>Treasury!G114-'Check Treasury Past'!G114</f>
        <v>0</v>
      </c>
      <c r="T114" s="113">
        <f>Treasury!H114-'Check Treasury Past'!H114</f>
        <v>0</v>
      </c>
      <c r="U114" s="113">
        <f>Treasury!I114-'Check Treasury Past'!I114</f>
        <v>0</v>
      </c>
      <c r="V114" s="113">
        <f>Treasury!J114-'Check Treasury Past'!J114</f>
        <v>0</v>
      </c>
      <c r="W114" s="113">
        <f>Treasury!K114-'Check Treasury Past'!K114</f>
        <v>0</v>
      </c>
      <c r="X114" s="1"/>
      <c r="Y114" s="1"/>
      <c r="Z114" s="1"/>
    </row>
    <row r="115" spans="1:26" s="14" customFormat="1" ht="12.75" customHeight="1" x14ac:dyDescent="0.2">
      <c r="A115" s="110">
        <v>39783</v>
      </c>
      <c r="B115" s="115">
        <v>3722</v>
      </c>
      <c r="C115" s="118">
        <v>249</v>
      </c>
      <c r="D115" s="118">
        <v>3971</v>
      </c>
      <c r="E115" s="118">
        <v>304</v>
      </c>
      <c r="F115" s="118">
        <v>39</v>
      </c>
      <c r="G115" s="118">
        <v>-6</v>
      </c>
      <c r="H115" s="118">
        <v>4308</v>
      </c>
      <c r="I115" s="118">
        <v>14797</v>
      </c>
      <c r="J115" s="118">
        <v>19105</v>
      </c>
      <c r="K115" s="118">
        <v>-273</v>
      </c>
      <c r="L115" s="20"/>
      <c r="M115" s="110">
        <v>39783</v>
      </c>
      <c r="N115" s="113">
        <f>Treasury!B115-'Check Treasury Past'!B115</f>
        <v>0</v>
      </c>
      <c r="O115" s="113">
        <f>Treasury!C115-'Check Treasury Past'!C115</f>
        <v>0</v>
      </c>
      <c r="P115" s="113">
        <f>Treasury!D115-'Check Treasury Past'!D115</f>
        <v>0</v>
      </c>
      <c r="Q115" s="113">
        <f>Treasury!E115-'Check Treasury Past'!E115</f>
        <v>0</v>
      </c>
      <c r="R115" s="113">
        <f>Treasury!F115-'Check Treasury Past'!F115</f>
        <v>0</v>
      </c>
      <c r="S115" s="113">
        <f>Treasury!G115-'Check Treasury Past'!G115</f>
        <v>0</v>
      </c>
      <c r="T115" s="113">
        <f>Treasury!H115-'Check Treasury Past'!H115</f>
        <v>0</v>
      </c>
      <c r="U115" s="113">
        <f>Treasury!I115-'Check Treasury Past'!I115</f>
        <v>0</v>
      </c>
      <c r="V115" s="113">
        <f>Treasury!J115-'Check Treasury Past'!J115</f>
        <v>0</v>
      </c>
      <c r="W115" s="113">
        <f>Treasury!K115-'Check Treasury Past'!K115</f>
        <v>0</v>
      </c>
      <c r="X115" s="1"/>
      <c r="Y115" s="1"/>
      <c r="Z115" s="1"/>
    </row>
    <row r="116" spans="1:26" s="14" customFormat="1" ht="12.75" customHeight="1" x14ac:dyDescent="0.2">
      <c r="A116" s="110">
        <v>39814</v>
      </c>
      <c r="B116" s="116">
        <v>2426</v>
      </c>
      <c r="C116" s="117">
        <v>687</v>
      </c>
      <c r="D116" s="117">
        <v>3113</v>
      </c>
      <c r="E116" s="117">
        <v>334</v>
      </c>
      <c r="F116" s="117">
        <v>43</v>
      </c>
      <c r="G116" s="117">
        <v>-37</v>
      </c>
      <c r="H116" s="117">
        <v>3453</v>
      </c>
      <c r="I116" s="117">
        <v>20688</v>
      </c>
      <c r="J116" s="117">
        <v>24141</v>
      </c>
      <c r="K116" s="117">
        <v>-776</v>
      </c>
      <c r="L116" s="20"/>
      <c r="M116" s="110">
        <v>39814</v>
      </c>
      <c r="N116" s="113">
        <f>Treasury!B116-'Check Treasury Past'!B116</f>
        <v>0</v>
      </c>
      <c r="O116" s="113">
        <f>Treasury!C116-'Check Treasury Past'!C116</f>
        <v>0</v>
      </c>
      <c r="P116" s="113">
        <f>Treasury!D116-'Check Treasury Past'!D116</f>
        <v>0</v>
      </c>
      <c r="Q116" s="113">
        <f>Treasury!E116-'Check Treasury Past'!E116</f>
        <v>0</v>
      </c>
      <c r="R116" s="113">
        <f>Treasury!F116-'Check Treasury Past'!F116</f>
        <v>0</v>
      </c>
      <c r="S116" s="113">
        <f>Treasury!G116-'Check Treasury Past'!G116</f>
        <v>0</v>
      </c>
      <c r="T116" s="113">
        <f>Treasury!H116-'Check Treasury Past'!H116</f>
        <v>0</v>
      </c>
      <c r="U116" s="113">
        <f>Treasury!I116-'Check Treasury Past'!I116</f>
        <v>0</v>
      </c>
      <c r="V116" s="113">
        <f>Treasury!J116-'Check Treasury Past'!J116</f>
        <v>0</v>
      </c>
      <c r="W116" s="113">
        <f>Treasury!K116-'Check Treasury Past'!K116</f>
        <v>0</v>
      </c>
      <c r="X116" s="1"/>
      <c r="Y116" s="1"/>
      <c r="Z116" s="1"/>
    </row>
    <row r="117" spans="1:26" s="14" customFormat="1" ht="12.75" customHeight="1" x14ac:dyDescent="0.2">
      <c r="A117" s="110">
        <v>39845</v>
      </c>
      <c r="B117" s="116">
        <v>2388</v>
      </c>
      <c r="C117" s="117">
        <v>507</v>
      </c>
      <c r="D117" s="117">
        <v>2895</v>
      </c>
      <c r="E117" s="117">
        <v>331</v>
      </c>
      <c r="F117" s="117">
        <v>42</v>
      </c>
      <c r="G117" s="117">
        <v>-33</v>
      </c>
      <c r="H117" s="117">
        <v>3235</v>
      </c>
      <c r="I117" s="117">
        <v>20966</v>
      </c>
      <c r="J117" s="117">
        <v>24201</v>
      </c>
      <c r="K117" s="117">
        <v>-947</v>
      </c>
      <c r="L117" s="20"/>
      <c r="M117" s="110">
        <v>39845</v>
      </c>
      <c r="N117" s="113">
        <f>Treasury!B117-'Check Treasury Past'!B117</f>
        <v>0</v>
      </c>
      <c r="O117" s="113">
        <f>Treasury!C117-'Check Treasury Past'!C117</f>
        <v>0</v>
      </c>
      <c r="P117" s="113">
        <f>Treasury!D117-'Check Treasury Past'!D117</f>
        <v>0</v>
      </c>
      <c r="Q117" s="113">
        <f>Treasury!E117-'Check Treasury Past'!E117</f>
        <v>0</v>
      </c>
      <c r="R117" s="113">
        <f>Treasury!F117-'Check Treasury Past'!F117</f>
        <v>0</v>
      </c>
      <c r="S117" s="113">
        <f>Treasury!G117-'Check Treasury Past'!G117</f>
        <v>0</v>
      </c>
      <c r="T117" s="113">
        <f>Treasury!H117-'Check Treasury Past'!H117</f>
        <v>0</v>
      </c>
      <c r="U117" s="113">
        <f>Treasury!I117-'Check Treasury Past'!I117</f>
        <v>0</v>
      </c>
      <c r="V117" s="113">
        <f>Treasury!J117-'Check Treasury Past'!J117</f>
        <v>0</v>
      </c>
      <c r="W117" s="113">
        <f>Treasury!K117-'Check Treasury Past'!K117</f>
        <v>0</v>
      </c>
      <c r="X117" s="1"/>
      <c r="Y117" s="1"/>
      <c r="Z117" s="1"/>
    </row>
    <row r="118" spans="1:26" s="14" customFormat="1" ht="12.75" customHeight="1" x14ac:dyDescent="0.2">
      <c r="A118" s="110">
        <v>39873</v>
      </c>
      <c r="B118" s="116">
        <v>2145</v>
      </c>
      <c r="C118" s="117">
        <v>874</v>
      </c>
      <c r="D118" s="117">
        <v>3019</v>
      </c>
      <c r="E118" s="117">
        <v>301</v>
      </c>
      <c r="F118" s="117">
        <v>38</v>
      </c>
      <c r="G118" s="117">
        <v>16</v>
      </c>
      <c r="H118" s="117">
        <v>3374</v>
      </c>
      <c r="I118" s="117">
        <v>17090</v>
      </c>
      <c r="J118" s="117">
        <v>20464</v>
      </c>
      <c r="K118" s="117">
        <v>264</v>
      </c>
      <c r="L118" s="20"/>
      <c r="M118" s="110">
        <v>39873</v>
      </c>
      <c r="N118" s="113">
        <f>Treasury!B118-'Check Treasury Past'!B118</f>
        <v>0</v>
      </c>
      <c r="O118" s="113">
        <f>Treasury!C118-'Check Treasury Past'!C118</f>
        <v>0</v>
      </c>
      <c r="P118" s="113">
        <f>Treasury!D118-'Check Treasury Past'!D118</f>
        <v>0</v>
      </c>
      <c r="Q118" s="113">
        <f>Treasury!E118-'Check Treasury Past'!E118</f>
        <v>0</v>
      </c>
      <c r="R118" s="113">
        <f>Treasury!F118-'Check Treasury Past'!F118</f>
        <v>0</v>
      </c>
      <c r="S118" s="113">
        <f>Treasury!G118-'Check Treasury Past'!G118</f>
        <v>0</v>
      </c>
      <c r="T118" s="113">
        <f>Treasury!H118-'Check Treasury Past'!H118</f>
        <v>0</v>
      </c>
      <c r="U118" s="113">
        <f>Treasury!I118-'Check Treasury Past'!I118</f>
        <v>0</v>
      </c>
      <c r="V118" s="113">
        <f>Treasury!J118-'Check Treasury Past'!J118</f>
        <v>0</v>
      </c>
      <c r="W118" s="113">
        <f>Treasury!K118-'Check Treasury Past'!K118</f>
        <v>0</v>
      </c>
      <c r="X118" s="1"/>
      <c r="Y118" s="1"/>
      <c r="Z118" s="1"/>
    </row>
    <row r="119" spans="1:26" s="12" customFormat="1" ht="12.75" customHeight="1" x14ac:dyDescent="0.2">
      <c r="A119" s="110">
        <v>39904</v>
      </c>
      <c r="B119" s="116">
        <v>2173</v>
      </c>
      <c r="C119" s="117">
        <v>692</v>
      </c>
      <c r="D119" s="117">
        <v>2865</v>
      </c>
      <c r="E119" s="117">
        <v>302</v>
      </c>
      <c r="F119" s="117">
        <v>38</v>
      </c>
      <c r="G119" s="117">
        <v>-9</v>
      </c>
      <c r="H119" s="117">
        <v>3196</v>
      </c>
      <c r="I119" s="117">
        <v>16024</v>
      </c>
      <c r="J119" s="117">
        <v>19220</v>
      </c>
      <c r="K119" s="117">
        <v>162</v>
      </c>
      <c r="L119" s="20"/>
      <c r="M119" s="110">
        <v>39904</v>
      </c>
      <c r="N119" s="113">
        <f>Treasury!B119-'Check Treasury Past'!B119</f>
        <v>0</v>
      </c>
      <c r="O119" s="113">
        <f>Treasury!C119-'Check Treasury Past'!C119</f>
        <v>0</v>
      </c>
      <c r="P119" s="113">
        <f>Treasury!D119-'Check Treasury Past'!D119</f>
        <v>0</v>
      </c>
      <c r="Q119" s="113">
        <f>Treasury!E119-'Check Treasury Past'!E119</f>
        <v>0</v>
      </c>
      <c r="R119" s="113">
        <f>Treasury!F119-'Check Treasury Past'!F119</f>
        <v>0</v>
      </c>
      <c r="S119" s="113">
        <f>Treasury!G119-'Check Treasury Past'!G119</f>
        <v>0</v>
      </c>
      <c r="T119" s="113">
        <f>Treasury!H119-'Check Treasury Past'!H119</f>
        <v>0</v>
      </c>
      <c r="U119" s="113">
        <f>Treasury!I119-'Check Treasury Past'!I119</f>
        <v>0</v>
      </c>
      <c r="V119" s="113">
        <f>Treasury!J119-'Check Treasury Past'!J119</f>
        <v>0</v>
      </c>
      <c r="W119" s="113">
        <f>Treasury!K119-'Check Treasury Past'!K119</f>
        <v>0</v>
      </c>
      <c r="X119" s="13"/>
      <c r="Y119" s="13"/>
      <c r="Z119" s="13"/>
    </row>
    <row r="120" spans="1:26" s="12" customFormat="1" ht="12.75" customHeight="1" x14ac:dyDescent="0.2">
      <c r="A120" s="110">
        <v>39934</v>
      </c>
      <c r="B120" s="116">
        <v>1801</v>
      </c>
      <c r="C120" s="117">
        <v>1303</v>
      </c>
      <c r="D120" s="117">
        <v>3104</v>
      </c>
      <c r="E120" s="117">
        <v>280</v>
      </c>
      <c r="F120" s="117">
        <v>35</v>
      </c>
      <c r="G120" s="117">
        <v>-8</v>
      </c>
      <c r="H120" s="117">
        <v>3411</v>
      </c>
      <c r="I120" s="117">
        <v>17150</v>
      </c>
      <c r="J120" s="117">
        <v>20561</v>
      </c>
      <c r="K120" s="117">
        <v>1345</v>
      </c>
      <c r="L120" s="20"/>
      <c r="M120" s="110">
        <v>39934</v>
      </c>
      <c r="N120" s="113">
        <f>Treasury!B120-'Check Treasury Past'!B120</f>
        <v>0</v>
      </c>
      <c r="O120" s="113">
        <f>Treasury!C120-'Check Treasury Past'!C120</f>
        <v>0</v>
      </c>
      <c r="P120" s="113">
        <f>Treasury!D120-'Check Treasury Past'!D120</f>
        <v>0</v>
      </c>
      <c r="Q120" s="113">
        <f>Treasury!E120-'Check Treasury Past'!E120</f>
        <v>0</v>
      </c>
      <c r="R120" s="113">
        <f>Treasury!F120-'Check Treasury Past'!F120</f>
        <v>0</v>
      </c>
      <c r="S120" s="113">
        <f>Treasury!G120-'Check Treasury Past'!G120</f>
        <v>0</v>
      </c>
      <c r="T120" s="113">
        <f>Treasury!H120-'Check Treasury Past'!H120</f>
        <v>0</v>
      </c>
      <c r="U120" s="113">
        <f>Treasury!I120-'Check Treasury Past'!I120</f>
        <v>0</v>
      </c>
      <c r="V120" s="113">
        <f>Treasury!J120-'Check Treasury Past'!J120</f>
        <v>0</v>
      </c>
      <c r="W120" s="113">
        <f>Treasury!K120-'Check Treasury Past'!K120</f>
        <v>0</v>
      </c>
      <c r="X120" s="13"/>
      <c r="Y120" s="13"/>
      <c r="Z120" s="13"/>
    </row>
    <row r="121" spans="1:26" s="12" customFormat="1" ht="12.75" customHeight="1" x14ac:dyDescent="0.2">
      <c r="A121" s="110">
        <v>39965</v>
      </c>
      <c r="B121" s="116">
        <v>1783</v>
      </c>
      <c r="C121" s="117">
        <v>1047</v>
      </c>
      <c r="D121" s="117">
        <v>2830</v>
      </c>
      <c r="E121" s="117">
        <v>413</v>
      </c>
      <c r="F121" s="117">
        <v>34</v>
      </c>
      <c r="G121" s="117">
        <v>-7</v>
      </c>
      <c r="H121" s="117">
        <v>3270</v>
      </c>
      <c r="I121" s="117">
        <v>16997</v>
      </c>
      <c r="J121" s="117">
        <v>20267</v>
      </c>
      <c r="K121" s="117">
        <v>1334</v>
      </c>
      <c r="L121" s="20"/>
      <c r="M121" s="110">
        <v>39965</v>
      </c>
      <c r="N121" s="113">
        <f>Treasury!B121-'Check Treasury Past'!B121</f>
        <v>0</v>
      </c>
      <c r="O121" s="113">
        <f>Treasury!C121-'Check Treasury Past'!C121</f>
        <v>0</v>
      </c>
      <c r="P121" s="113">
        <f>Treasury!D121-'Check Treasury Past'!D121</f>
        <v>0</v>
      </c>
      <c r="Q121" s="113">
        <f>Treasury!E121-'Check Treasury Past'!E121</f>
        <v>0</v>
      </c>
      <c r="R121" s="113">
        <f>Treasury!F121-'Check Treasury Past'!F121</f>
        <v>0</v>
      </c>
      <c r="S121" s="113">
        <f>Treasury!G121-'Check Treasury Past'!G121</f>
        <v>0</v>
      </c>
      <c r="T121" s="113">
        <f>Treasury!H121-'Check Treasury Past'!H121</f>
        <v>0</v>
      </c>
      <c r="U121" s="113">
        <f>Treasury!I121-'Check Treasury Past'!I121</f>
        <v>0</v>
      </c>
      <c r="V121" s="113">
        <f>Treasury!J121-'Check Treasury Past'!J121</f>
        <v>0</v>
      </c>
      <c r="W121" s="113">
        <f>Treasury!K121-'Check Treasury Past'!K121</f>
        <v>0</v>
      </c>
      <c r="X121" s="13"/>
      <c r="Y121" s="13"/>
      <c r="Z121" s="13"/>
    </row>
    <row r="122" spans="1:26" s="12" customFormat="1" ht="12.75" customHeight="1" x14ac:dyDescent="0.2">
      <c r="A122" s="110">
        <v>39995</v>
      </c>
      <c r="B122" s="116">
        <v>1066</v>
      </c>
      <c r="C122" s="117">
        <v>1289</v>
      </c>
      <c r="D122" s="117">
        <v>2355</v>
      </c>
      <c r="E122" s="117">
        <v>412</v>
      </c>
      <c r="F122" s="117">
        <v>34</v>
      </c>
      <c r="G122" s="117">
        <v>-8</v>
      </c>
      <c r="H122" s="117">
        <v>2793</v>
      </c>
      <c r="I122" s="117">
        <v>14882</v>
      </c>
      <c r="J122" s="117">
        <v>17675</v>
      </c>
      <c r="K122" s="117">
        <v>1296</v>
      </c>
      <c r="L122" s="20"/>
      <c r="M122" s="110">
        <v>39995</v>
      </c>
      <c r="N122" s="113">
        <f>Treasury!B122-'Check Treasury Past'!B122</f>
        <v>0</v>
      </c>
      <c r="O122" s="113">
        <f>Treasury!C122-'Check Treasury Past'!C122</f>
        <v>0</v>
      </c>
      <c r="P122" s="113">
        <f>Treasury!D122-'Check Treasury Past'!D122</f>
        <v>0</v>
      </c>
      <c r="Q122" s="113">
        <f>Treasury!E122-'Check Treasury Past'!E122</f>
        <v>0</v>
      </c>
      <c r="R122" s="113">
        <f>Treasury!F122-'Check Treasury Past'!F122</f>
        <v>0</v>
      </c>
      <c r="S122" s="113">
        <f>Treasury!G122-'Check Treasury Past'!G122</f>
        <v>0</v>
      </c>
      <c r="T122" s="113">
        <f>Treasury!H122-'Check Treasury Past'!H122</f>
        <v>0</v>
      </c>
      <c r="U122" s="113">
        <f>Treasury!I122-'Check Treasury Past'!I122</f>
        <v>0</v>
      </c>
      <c r="V122" s="113">
        <f>Treasury!J122-'Check Treasury Past'!J122</f>
        <v>0</v>
      </c>
      <c r="W122" s="113">
        <f>Treasury!K122-'Check Treasury Past'!K122</f>
        <v>0</v>
      </c>
      <c r="X122" s="13"/>
      <c r="Y122" s="13"/>
      <c r="Z122" s="13"/>
    </row>
    <row r="123" spans="1:26" s="12" customFormat="1" ht="12.75" customHeight="1" x14ac:dyDescent="0.2">
      <c r="A123" s="110">
        <v>40026</v>
      </c>
      <c r="B123" s="117">
        <v>1032</v>
      </c>
      <c r="C123" s="117">
        <v>1452</v>
      </c>
      <c r="D123" s="117">
        <v>2484</v>
      </c>
      <c r="E123" s="117">
        <v>398</v>
      </c>
      <c r="F123" s="117">
        <v>1551</v>
      </c>
      <c r="G123" s="117">
        <v>-4</v>
      </c>
      <c r="H123" s="117">
        <v>4429</v>
      </c>
      <c r="I123" s="117">
        <v>14770</v>
      </c>
      <c r="J123" s="117">
        <v>19199</v>
      </c>
      <c r="K123" s="117">
        <v>1638</v>
      </c>
      <c r="L123" s="20"/>
      <c r="M123" s="110">
        <v>40026</v>
      </c>
      <c r="N123" s="113">
        <f>Treasury!B123-'Check Treasury Past'!B123</f>
        <v>0</v>
      </c>
      <c r="O123" s="113">
        <f>Treasury!C123-'Check Treasury Past'!C123</f>
        <v>0</v>
      </c>
      <c r="P123" s="113">
        <f>Treasury!D123-'Check Treasury Past'!D123</f>
        <v>0</v>
      </c>
      <c r="Q123" s="113">
        <f>Treasury!E123-'Check Treasury Past'!E123</f>
        <v>0</v>
      </c>
      <c r="R123" s="113">
        <f>Treasury!F123-'Check Treasury Past'!F123</f>
        <v>0</v>
      </c>
      <c r="S123" s="113">
        <f>Treasury!G123-'Check Treasury Past'!G123</f>
        <v>0</v>
      </c>
      <c r="T123" s="113">
        <f>Treasury!H123-'Check Treasury Past'!H123</f>
        <v>0</v>
      </c>
      <c r="U123" s="113">
        <f>Treasury!I123-'Check Treasury Past'!I123</f>
        <v>0</v>
      </c>
      <c r="V123" s="113">
        <f>Treasury!J123-'Check Treasury Past'!J123</f>
        <v>0</v>
      </c>
      <c r="W123" s="113">
        <f>Treasury!K123-'Check Treasury Past'!K123</f>
        <v>0</v>
      </c>
      <c r="X123" s="13"/>
      <c r="Y123" s="13"/>
      <c r="Z123" s="13"/>
    </row>
    <row r="124" spans="1:26" s="12" customFormat="1" ht="12.75" customHeight="1" x14ac:dyDescent="0.2">
      <c r="A124" s="110">
        <v>40057</v>
      </c>
      <c r="B124" s="117">
        <v>976</v>
      </c>
      <c r="C124" s="117">
        <v>1795</v>
      </c>
      <c r="D124" s="117">
        <v>2771</v>
      </c>
      <c r="E124" s="117">
        <v>383</v>
      </c>
      <c r="F124" s="117">
        <v>1599</v>
      </c>
      <c r="G124" s="117">
        <v>-4</v>
      </c>
      <c r="H124" s="117">
        <v>4749</v>
      </c>
      <c r="I124" s="117">
        <v>15247</v>
      </c>
      <c r="J124" s="117">
        <v>19996</v>
      </c>
      <c r="K124" s="117">
        <v>2208</v>
      </c>
      <c r="L124" s="20"/>
      <c r="M124" s="110">
        <v>40057</v>
      </c>
      <c r="N124" s="113">
        <f>Treasury!B124-'Check Treasury Past'!B124</f>
        <v>0</v>
      </c>
      <c r="O124" s="113">
        <f>Treasury!C124-'Check Treasury Past'!C124</f>
        <v>0</v>
      </c>
      <c r="P124" s="113">
        <f>Treasury!D124-'Check Treasury Past'!D124</f>
        <v>0</v>
      </c>
      <c r="Q124" s="113">
        <f>Treasury!E124-'Check Treasury Past'!E124</f>
        <v>0</v>
      </c>
      <c r="R124" s="113">
        <f>Treasury!F124-'Check Treasury Past'!F124</f>
        <v>0</v>
      </c>
      <c r="S124" s="113">
        <f>Treasury!G124-'Check Treasury Past'!G124</f>
        <v>0</v>
      </c>
      <c r="T124" s="113">
        <f>Treasury!H124-'Check Treasury Past'!H124</f>
        <v>0</v>
      </c>
      <c r="U124" s="113">
        <f>Treasury!I124-'Check Treasury Past'!I124</f>
        <v>0</v>
      </c>
      <c r="V124" s="113">
        <f>Treasury!J124-'Check Treasury Past'!J124</f>
        <v>0</v>
      </c>
      <c r="W124" s="113">
        <f>Treasury!K124-'Check Treasury Past'!K124</f>
        <v>0</v>
      </c>
      <c r="X124" s="13"/>
      <c r="Y124" s="13"/>
      <c r="Z124" s="13"/>
    </row>
    <row r="125" spans="1:26" s="12" customFormat="1" ht="12.75" customHeight="1" x14ac:dyDescent="0.2">
      <c r="A125" s="110">
        <v>40087</v>
      </c>
      <c r="B125" s="117">
        <v>1000</v>
      </c>
      <c r="C125" s="117">
        <v>1910</v>
      </c>
      <c r="D125" s="117">
        <v>2910</v>
      </c>
      <c r="E125" s="117">
        <v>378</v>
      </c>
      <c r="F125" s="117">
        <v>1580</v>
      </c>
      <c r="G125" s="117">
        <v>-6</v>
      </c>
      <c r="H125" s="117">
        <v>4862</v>
      </c>
      <c r="I125" s="117">
        <v>15551</v>
      </c>
      <c r="J125" s="117">
        <v>20413</v>
      </c>
      <c r="K125" s="117">
        <v>2140</v>
      </c>
      <c r="L125" s="20"/>
      <c r="M125" s="110">
        <v>40087</v>
      </c>
      <c r="N125" s="113">
        <f>Treasury!B125-'Check Treasury Past'!B125</f>
        <v>0</v>
      </c>
      <c r="O125" s="113">
        <f>Treasury!C125-'Check Treasury Past'!C125</f>
        <v>0</v>
      </c>
      <c r="P125" s="113">
        <f>Treasury!D125-'Check Treasury Past'!D125</f>
        <v>0</v>
      </c>
      <c r="Q125" s="113">
        <f>Treasury!E125-'Check Treasury Past'!E125</f>
        <v>0</v>
      </c>
      <c r="R125" s="113">
        <f>Treasury!F125-'Check Treasury Past'!F125</f>
        <v>0</v>
      </c>
      <c r="S125" s="113">
        <f>Treasury!G125-'Check Treasury Past'!G125</f>
        <v>0</v>
      </c>
      <c r="T125" s="113">
        <f>Treasury!H125-'Check Treasury Past'!H125</f>
        <v>0</v>
      </c>
      <c r="U125" s="113">
        <f>Treasury!I125-'Check Treasury Past'!I125</f>
        <v>0</v>
      </c>
      <c r="V125" s="113">
        <f>Treasury!J125-'Check Treasury Past'!J125</f>
        <v>0</v>
      </c>
      <c r="W125" s="113">
        <f>Treasury!K125-'Check Treasury Past'!K125</f>
        <v>0</v>
      </c>
      <c r="X125" s="13"/>
      <c r="Y125" s="13"/>
      <c r="Z125" s="13"/>
    </row>
    <row r="126" spans="1:26" s="12" customFormat="1" ht="12.75" customHeight="1" x14ac:dyDescent="0.2">
      <c r="A126" s="110">
        <v>40118</v>
      </c>
      <c r="B126" s="117">
        <v>1221</v>
      </c>
      <c r="C126" s="117">
        <v>1261</v>
      </c>
      <c r="D126" s="117">
        <v>2482</v>
      </c>
      <c r="E126" s="117">
        <v>389</v>
      </c>
      <c r="F126" s="117">
        <v>1626</v>
      </c>
      <c r="G126" s="117">
        <v>-10</v>
      </c>
      <c r="H126" s="117">
        <v>4487</v>
      </c>
      <c r="I126" s="117">
        <v>17329</v>
      </c>
      <c r="J126" s="117">
        <v>21816</v>
      </c>
      <c r="K126" s="117">
        <v>1553</v>
      </c>
      <c r="L126" s="20"/>
      <c r="M126" s="110">
        <v>40118</v>
      </c>
      <c r="N126" s="113">
        <f>Treasury!B126-'Check Treasury Past'!B126</f>
        <v>0</v>
      </c>
      <c r="O126" s="113">
        <f>Treasury!C126-'Check Treasury Past'!C126</f>
        <v>0</v>
      </c>
      <c r="P126" s="113">
        <f>Treasury!D126-'Check Treasury Past'!D126</f>
        <v>0</v>
      </c>
      <c r="Q126" s="113">
        <f>Treasury!E126-'Check Treasury Past'!E126</f>
        <v>0</v>
      </c>
      <c r="R126" s="113">
        <f>Treasury!F126-'Check Treasury Past'!F126</f>
        <v>0</v>
      </c>
      <c r="S126" s="113">
        <f>Treasury!G126-'Check Treasury Past'!G126</f>
        <v>0</v>
      </c>
      <c r="T126" s="113">
        <f>Treasury!H126-'Check Treasury Past'!H126</f>
        <v>0</v>
      </c>
      <c r="U126" s="113">
        <f>Treasury!I126-'Check Treasury Past'!I126</f>
        <v>0</v>
      </c>
      <c r="V126" s="113">
        <f>Treasury!J126-'Check Treasury Past'!J126</f>
        <v>0</v>
      </c>
      <c r="W126" s="113">
        <f>Treasury!K126-'Check Treasury Past'!K126</f>
        <v>0</v>
      </c>
      <c r="X126" s="13"/>
      <c r="Y126" s="13"/>
      <c r="Z126" s="13"/>
    </row>
    <row r="127" spans="1:26" s="12" customFormat="1" ht="12.75" customHeight="1" x14ac:dyDescent="0.2">
      <c r="A127" s="110">
        <v>40148</v>
      </c>
      <c r="B127" s="117">
        <v>2178</v>
      </c>
      <c r="C127" s="117">
        <v>1039</v>
      </c>
      <c r="D127" s="117">
        <v>3217</v>
      </c>
      <c r="E127" s="117">
        <v>375</v>
      </c>
      <c r="F127" s="117">
        <v>1843</v>
      </c>
      <c r="G127" s="117">
        <v>-6</v>
      </c>
      <c r="H127" s="117">
        <v>5429</v>
      </c>
      <c r="I127" s="117">
        <v>16163</v>
      </c>
      <c r="J127" s="117">
        <v>21592</v>
      </c>
      <c r="K127" s="117">
        <v>1905</v>
      </c>
      <c r="L127" s="20"/>
      <c r="M127" s="110">
        <v>40148</v>
      </c>
      <c r="N127" s="113">
        <f>Treasury!B127-'Check Treasury Past'!B127</f>
        <v>0</v>
      </c>
      <c r="O127" s="113">
        <f>Treasury!C127-'Check Treasury Past'!C127</f>
        <v>0</v>
      </c>
      <c r="P127" s="113">
        <f>Treasury!D127-'Check Treasury Past'!D127</f>
        <v>0</v>
      </c>
      <c r="Q127" s="113">
        <f>Treasury!E127-'Check Treasury Past'!E127</f>
        <v>0</v>
      </c>
      <c r="R127" s="113">
        <f>Treasury!F127-'Check Treasury Past'!F127</f>
        <v>0</v>
      </c>
      <c r="S127" s="113">
        <f>Treasury!G127-'Check Treasury Past'!G127</f>
        <v>0</v>
      </c>
      <c r="T127" s="113">
        <f>Treasury!H127-'Check Treasury Past'!H127</f>
        <v>0</v>
      </c>
      <c r="U127" s="113">
        <f>Treasury!I127-'Check Treasury Past'!I127</f>
        <v>0</v>
      </c>
      <c r="V127" s="113">
        <f>Treasury!J127-'Check Treasury Past'!J127</f>
        <v>0</v>
      </c>
      <c r="W127" s="113">
        <f>Treasury!K127-'Check Treasury Past'!K127</f>
        <v>0</v>
      </c>
      <c r="X127" s="13"/>
      <c r="Y127" s="13"/>
      <c r="Z127" s="13"/>
    </row>
    <row r="128" spans="1:26" s="12" customFormat="1" ht="12.75" customHeight="1" x14ac:dyDescent="0.2">
      <c r="A128" s="110">
        <v>40179</v>
      </c>
      <c r="B128" s="117">
        <v>2520</v>
      </c>
      <c r="C128" s="117">
        <v>981</v>
      </c>
      <c r="D128" s="117">
        <v>3501</v>
      </c>
      <c r="E128" s="117">
        <v>384</v>
      </c>
      <c r="F128" s="117">
        <v>1888</v>
      </c>
      <c r="G128" s="117">
        <v>-11</v>
      </c>
      <c r="H128" s="117">
        <v>5762</v>
      </c>
      <c r="I128" s="117">
        <v>19146</v>
      </c>
      <c r="J128" s="117">
        <v>24908</v>
      </c>
      <c r="K128" s="117">
        <v>1193</v>
      </c>
      <c r="L128" s="20"/>
      <c r="M128" s="110">
        <v>40179</v>
      </c>
      <c r="N128" s="113">
        <f>Treasury!B128-'Check Treasury Past'!B128</f>
        <v>0</v>
      </c>
      <c r="O128" s="113">
        <f>Treasury!C128-'Check Treasury Past'!C128</f>
        <v>0</v>
      </c>
      <c r="P128" s="113">
        <f>Treasury!D128-'Check Treasury Past'!D128</f>
        <v>0</v>
      </c>
      <c r="Q128" s="113">
        <f>Treasury!E128-'Check Treasury Past'!E128</f>
        <v>0</v>
      </c>
      <c r="R128" s="113">
        <f>Treasury!F128-'Check Treasury Past'!F128</f>
        <v>0</v>
      </c>
      <c r="S128" s="113">
        <f>Treasury!G128-'Check Treasury Past'!G128</f>
        <v>0</v>
      </c>
      <c r="T128" s="113">
        <f>Treasury!H128-'Check Treasury Past'!H128</f>
        <v>0</v>
      </c>
      <c r="U128" s="113">
        <f>Treasury!I128-'Check Treasury Past'!I128</f>
        <v>0</v>
      </c>
      <c r="V128" s="113">
        <f>Treasury!J128-'Check Treasury Past'!J128</f>
        <v>0</v>
      </c>
      <c r="W128" s="113">
        <f>Treasury!K128-'Check Treasury Past'!K128</f>
        <v>0</v>
      </c>
      <c r="X128" s="13"/>
      <c r="Y128" s="13"/>
      <c r="Z128" s="13"/>
    </row>
    <row r="129" spans="1:26" s="12" customFormat="1" ht="12.75" customHeight="1" x14ac:dyDescent="0.2">
      <c r="A129" s="110">
        <v>40210</v>
      </c>
      <c r="B129" s="117">
        <v>2758</v>
      </c>
      <c r="C129" s="117">
        <v>928</v>
      </c>
      <c r="D129" s="117">
        <v>3686</v>
      </c>
      <c r="E129" s="117">
        <v>384</v>
      </c>
      <c r="F129" s="117">
        <v>1886</v>
      </c>
      <c r="G129" s="117">
        <v>-11</v>
      </c>
      <c r="H129" s="117">
        <v>5945</v>
      </c>
      <c r="I129" s="117">
        <v>18019</v>
      </c>
      <c r="J129" s="117">
        <v>23964</v>
      </c>
      <c r="K129" s="117">
        <v>1215</v>
      </c>
      <c r="L129" s="20"/>
      <c r="M129" s="110">
        <v>40210</v>
      </c>
      <c r="N129" s="113">
        <f>Treasury!B129-'Check Treasury Past'!B129</f>
        <v>0</v>
      </c>
      <c r="O129" s="113">
        <f>Treasury!C129-'Check Treasury Past'!C129</f>
        <v>0</v>
      </c>
      <c r="P129" s="113">
        <f>Treasury!D129-'Check Treasury Past'!D129</f>
        <v>0</v>
      </c>
      <c r="Q129" s="113">
        <f>Treasury!E129-'Check Treasury Past'!E129</f>
        <v>0</v>
      </c>
      <c r="R129" s="113">
        <f>Treasury!F129-'Check Treasury Past'!F129</f>
        <v>0</v>
      </c>
      <c r="S129" s="113">
        <f>Treasury!G129-'Check Treasury Past'!G129</f>
        <v>0</v>
      </c>
      <c r="T129" s="113">
        <f>Treasury!H129-'Check Treasury Past'!H129</f>
        <v>0</v>
      </c>
      <c r="U129" s="113">
        <f>Treasury!I129-'Check Treasury Past'!I129</f>
        <v>0</v>
      </c>
      <c r="V129" s="113">
        <f>Treasury!J129-'Check Treasury Past'!J129</f>
        <v>0</v>
      </c>
      <c r="W129" s="113">
        <f>Treasury!K129-'Check Treasury Past'!K129</f>
        <v>0</v>
      </c>
      <c r="X129" s="13"/>
      <c r="Y129" s="13"/>
      <c r="Z129" s="13"/>
    </row>
    <row r="130" spans="1:26" s="12" customFormat="1" ht="12.75" customHeight="1" x14ac:dyDescent="0.2">
      <c r="A130" s="110">
        <v>40238</v>
      </c>
      <c r="B130" s="117">
        <v>2664</v>
      </c>
      <c r="C130" s="117">
        <v>1262</v>
      </c>
      <c r="D130" s="117">
        <v>3926</v>
      </c>
      <c r="E130" s="117">
        <v>371</v>
      </c>
      <c r="F130" s="117">
        <v>1824</v>
      </c>
      <c r="G130" s="117">
        <v>-12</v>
      </c>
      <c r="H130" s="117">
        <v>6109</v>
      </c>
      <c r="I130" s="117">
        <v>17314</v>
      </c>
      <c r="J130" s="117">
        <v>23423</v>
      </c>
      <c r="K130" s="117">
        <v>1690</v>
      </c>
      <c r="L130" s="20"/>
      <c r="M130" s="110">
        <v>40238</v>
      </c>
      <c r="N130" s="113">
        <f>Treasury!B130-'Check Treasury Past'!B130</f>
        <v>0</v>
      </c>
      <c r="O130" s="113">
        <f>Treasury!C130-'Check Treasury Past'!C130</f>
        <v>0</v>
      </c>
      <c r="P130" s="113">
        <f>Treasury!D130-'Check Treasury Past'!D130</f>
        <v>0</v>
      </c>
      <c r="Q130" s="113">
        <f>Treasury!E130-'Check Treasury Past'!E130</f>
        <v>0</v>
      </c>
      <c r="R130" s="113">
        <f>Treasury!F130-'Check Treasury Past'!F130</f>
        <v>0</v>
      </c>
      <c r="S130" s="113">
        <f>Treasury!G130-'Check Treasury Past'!G130</f>
        <v>0</v>
      </c>
      <c r="T130" s="113">
        <f>Treasury!H130-'Check Treasury Past'!H130</f>
        <v>0</v>
      </c>
      <c r="U130" s="113">
        <f>Treasury!I130-'Check Treasury Past'!I130</f>
        <v>0</v>
      </c>
      <c r="V130" s="113">
        <f>Treasury!J130-'Check Treasury Past'!J130</f>
        <v>0</v>
      </c>
      <c r="W130" s="113">
        <f>Treasury!K130-'Check Treasury Past'!K130</f>
        <v>0</v>
      </c>
      <c r="X130" s="13"/>
      <c r="Y130" s="13"/>
      <c r="Z130" s="13"/>
    </row>
    <row r="131" spans="1:26" s="12" customFormat="1" ht="12.75" customHeight="1" x14ac:dyDescent="0.2">
      <c r="A131" s="110">
        <v>40269</v>
      </c>
      <c r="B131" s="117">
        <v>2577</v>
      </c>
      <c r="C131" s="117">
        <v>1646</v>
      </c>
      <c r="D131" s="117">
        <v>4223</v>
      </c>
      <c r="E131" s="117">
        <v>362</v>
      </c>
      <c r="F131" s="117">
        <v>1782</v>
      </c>
      <c r="G131" s="117">
        <v>-10</v>
      </c>
      <c r="H131" s="117">
        <v>6357</v>
      </c>
      <c r="I131" s="117">
        <v>17189</v>
      </c>
      <c r="J131" s="117">
        <v>23546</v>
      </c>
      <c r="K131" s="117">
        <v>2114</v>
      </c>
      <c r="L131" s="20"/>
      <c r="M131" s="110">
        <v>40269</v>
      </c>
      <c r="N131" s="113">
        <f>Treasury!B131-'Check Treasury Past'!B131</f>
        <v>0</v>
      </c>
      <c r="O131" s="113">
        <f>Treasury!C131-'Check Treasury Past'!C131</f>
        <v>0</v>
      </c>
      <c r="P131" s="113">
        <f>Treasury!D131-'Check Treasury Past'!D131</f>
        <v>0</v>
      </c>
      <c r="Q131" s="113">
        <f>Treasury!E131-'Check Treasury Past'!E131</f>
        <v>0</v>
      </c>
      <c r="R131" s="113">
        <f>Treasury!F131-'Check Treasury Past'!F131</f>
        <v>0</v>
      </c>
      <c r="S131" s="113">
        <f>Treasury!G131-'Check Treasury Past'!G131</f>
        <v>0</v>
      </c>
      <c r="T131" s="113">
        <f>Treasury!H131-'Check Treasury Past'!H131</f>
        <v>0</v>
      </c>
      <c r="U131" s="113">
        <f>Treasury!I131-'Check Treasury Past'!I131</f>
        <v>0</v>
      </c>
      <c r="V131" s="113">
        <f>Treasury!J131-'Check Treasury Past'!J131</f>
        <v>0</v>
      </c>
      <c r="W131" s="113">
        <f>Treasury!K131-'Check Treasury Past'!K131</f>
        <v>0</v>
      </c>
      <c r="X131" s="13"/>
      <c r="Y131" s="13"/>
      <c r="Z131" s="13"/>
    </row>
    <row r="132" spans="1:26" s="12" customFormat="1" ht="12.75" customHeight="1" x14ac:dyDescent="0.2">
      <c r="A132" s="110">
        <v>40299</v>
      </c>
      <c r="B132" s="117">
        <v>2700</v>
      </c>
      <c r="C132" s="117">
        <v>1016</v>
      </c>
      <c r="D132" s="117">
        <v>3716</v>
      </c>
      <c r="E132" s="117">
        <v>375</v>
      </c>
      <c r="F132" s="117">
        <v>1845</v>
      </c>
      <c r="G132" s="117">
        <v>-7</v>
      </c>
      <c r="H132" s="117">
        <v>5929</v>
      </c>
      <c r="I132" s="117">
        <v>20614</v>
      </c>
      <c r="J132" s="117">
        <v>26543</v>
      </c>
      <c r="K132" s="117">
        <v>1454</v>
      </c>
      <c r="L132" s="20"/>
      <c r="M132" s="110">
        <v>40299</v>
      </c>
      <c r="N132" s="113">
        <f>Treasury!B132-'Check Treasury Past'!B132</f>
        <v>0</v>
      </c>
      <c r="O132" s="113">
        <f>Treasury!C132-'Check Treasury Past'!C132</f>
        <v>0</v>
      </c>
      <c r="P132" s="113">
        <f>Treasury!D132-'Check Treasury Past'!D132</f>
        <v>0</v>
      </c>
      <c r="Q132" s="113">
        <f>Treasury!E132-'Check Treasury Past'!E132</f>
        <v>0</v>
      </c>
      <c r="R132" s="113">
        <f>Treasury!F132-'Check Treasury Past'!F132</f>
        <v>0</v>
      </c>
      <c r="S132" s="113">
        <f>Treasury!G132-'Check Treasury Past'!G132</f>
        <v>0</v>
      </c>
      <c r="T132" s="113">
        <f>Treasury!H132-'Check Treasury Past'!H132</f>
        <v>0</v>
      </c>
      <c r="U132" s="113">
        <f>Treasury!I132-'Check Treasury Past'!I132</f>
        <v>0</v>
      </c>
      <c r="V132" s="113">
        <f>Treasury!J132-'Check Treasury Past'!J132</f>
        <v>0</v>
      </c>
      <c r="W132" s="113">
        <f>Treasury!K132-'Check Treasury Past'!K132</f>
        <v>0</v>
      </c>
      <c r="X132" s="13"/>
      <c r="Y132" s="13"/>
      <c r="Z132" s="13"/>
    </row>
    <row r="133" spans="1:26" s="12" customFormat="1" ht="12.75" customHeight="1" x14ac:dyDescent="0.2">
      <c r="A133" s="110">
        <v>40330</v>
      </c>
      <c r="B133" s="117">
        <v>1597</v>
      </c>
      <c r="C133" s="117">
        <v>1165</v>
      </c>
      <c r="D133" s="117">
        <v>2762</v>
      </c>
      <c r="E133" s="117">
        <v>371</v>
      </c>
      <c r="F133" s="117">
        <v>1822</v>
      </c>
      <c r="G133" s="117">
        <v>-6</v>
      </c>
      <c r="H133" s="117">
        <v>4949</v>
      </c>
      <c r="I133" s="117">
        <v>19724</v>
      </c>
      <c r="J133" s="117">
        <v>24673</v>
      </c>
      <c r="K133" s="117">
        <v>1740</v>
      </c>
      <c r="L133" s="20"/>
      <c r="M133" s="110">
        <v>40330</v>
      </c>
      <c r="N133" s="113">
        <f>Treasury!B133-'Check Treasury Past'!B133</f>
        <v>0</v>
      </c>
      <c r="O133" s="113">
        <f>Treasury!C133-'Check Treasury Past'!C133</f>
        <v>0</v>
      </c>
      <c r="P133" s="113">
        <f>Treasury!D133-'Check Treasury Past'!D133</f>
        <v>0</v>
      </c>
      <c r="Q133" s="113">
        <f>Treasury!E133-'Check Treasury Past'!E133</f>
        <v>0</v>
      </c>
      <c r="R133" s="113">
        <f>Treasury!F133-'Check Treasury Past'!F133</f>
        <v>0</v>
      </c>
      <c r="S133" s="113">
        <f>Treasury!G133-'Check Treasury Past'!G133</f>
        <v>0</v>
      </c>
      <c r="T133" s="113">
        <f>Treasury!H133-'Check Treasury Past'!H133</f>
        <v>0</v>
      </c>
      <c r="U133" s="113">
        <f>Treasury!I133-'Check Treasury Past'!I133</f>
        <v>0</v>
      </c>
      <c r="V133" s="113">
        <f>Treasury!J133-'Check Treasury Past'!J133</f>
        <v>0</v>
      </c>
      <c r="W133" s="113">
        <f>Treasury!K133-'Check Treasury Past'!K133</f>
        <v>0</v>
      </c>
      <c r="X133" s="13"/>
      <c r="Y133" s="13"/>
      <c r="Z133" s="13"/>
    </row>
    <row r="134" spans="1:26" s="12" customFormat="1" ht="12.75" customHeight="1" x14ac:dyDescent="0.2">
      <c r="A134" s="110">
        <v>40360</v>
      </c>
      <c r="B134" s="117">
        <v>1500</v>
      </c>
      <c r="C134" s="117">
        <v>1018</v>
      </c>
      <c r="D134" s="117">
        <v>2518</v>
      </c>
      <c r="E134" s="117">
        <v>367</v>
      </c>
      <c r="F134" s="117">
        <v>1805</v>
      </c>
      <c r="G134" s="117">
        <v>-9</v>
      </c>
      <c r="H134" s="117">
        <v>4681</v>
      </c>
      <c r="I134" s="117">
        <v>16822</v>
      </c>
      <c r="J134" s="117">
        <v>21503</v>
      </c>
      <c r="K134" s="117">
        <v>2038</v>
      </c>
      <c r="L134" s="20"/>
      <c r="M134" s="110">
        <v>40360</v>
      </c>
      <c r="N134" s="113">
        <f>Treasury!B134-'Check Treasury Past'!B134</f>
        <v>0</v>
      </c>
      <c r="O134" s="113">
        <f>Treasury!C134-'Check Treasury Past'!C134</f>
        <v>0</v>
      </c>
      <c r="P134" s="113">
        <f>Treasury!D134-'Check Treasury Past'!D134</f>
        <v>0</v>
      </c>
      <c r="Q134" s="113">
        <f>Treasury!E134-'Check Treasury Past'!E134</f>
        <v>0</v>
      </c>
      <c r="R134" s="113">
        <f>Treasury!F134-'Check Treasury Past'!F134</f>
        <v>0</v>
      </c>
      <c r="S134" s="113">
        <f>Treasury!G134-'Check Treasury Past'!G134</f>
        <v>0</v>
      </c>
      <c r="T134" s="113">
        <f>Treasury!H134-'Check Treasury Past'!H134</f>
        <v>0</v>
      </c>
      <c r="U134" s="113">
        <f>Treasury!I134-'Check Treasury Past'!I134</f>
        <v>0</v>
      </c>
      <c r="V134" s="113">
        <f>Treasury!J134-'Check Treasury Past'!J134</f>
        <v>0</v>
      </c>
      <c r="W134" s="113">
        <f>Treasury!K134-'Check Treasury Past'!K134</f>
        <v>0</v>
      </c>
      <c r="X134" s="13"/>
      <c r="Y134" s="13"/>
      <c r="Z134" s="13"/>
    </row>
    <row r="135" spans="1:26" s="12" customFormat="1" ht="12.75" customHeight="1" x14ac:dyDescent="0.2">
      <c r="A135" s="110">
        <v>40391</v>
      </c>
      <c r="B135" s="117">
        <v>1430</v>
      </c>
      <c r="C135" s="117">
        <v>1023</v>
      </c>
      <c r="D135" s="117">
        <v>2453</v>
      </c>
      <c r="E135" s="117">
        <v>373</v>
      </c>
      <c r="F135" s="117">
        <v>1832</v>
      </c>
      <c r="G135" s="117">
        <v>-11</v>
      </c>
      <c r="H135" s="117">
        <v>4647</v>
      </c>
      <c r="I135" s="117">
        <v>18396</v>
      </c>
      <c r="J135" s="117">
        <v>23043</v>
      </c>
      <c r="K135" s="117">
        <v>1610</v>
      </c>
      <c r="L135" s="20"/>
      <c r="M135" s="110">
        <v>40391</v>
      </c>
      <c r="N135" s="113">
        <f>Treasury!B135-'Check Treasury Past'!B135</f>
        <v>0</v>
      </c>
      <c r="O135" s="113">
        <f>Treasury!C135-'Check Treasury Past'!C135</f>
        <v>0</v>
      </c>
      <c r="P135" s="113">
        <f>Treasury!D135-'Check Treasury Past'!D135</f>
        <v>0</v>
      </c>
      <c r="Q135" s="113">
        <f>Treasury!E135-'Check Treasury Past'!E135</f>
        <v>0</v>
      </c>
      <c r="R135" s="113">
        <f>Treasury!F135-'Check Treasury Past'!F135</f>
        <v>0</v>
      </c>
      <c r="S135" s="113">
        <f>Treasury!G135-'Check Treasury Past'!G135</f>
        <v>0</v>
      </c>
      <c r="T135" s="113">
        <f>Treasury!H135-'Check Treasury Past'!H135</f>
        <v>0</v>
      </c>
      <c r="U135" s="113">
        <f>Treasury!I135-'Check Treasury Past'!I135</f>
        <v>0</v>
      </c>
      <c r="V135" s="113">
        <f>Treasury!J135-'Check Treasury Past'!J135</f>
        <v>0</v>
      </c>
      <c r="W135" s="113">
        <f>Treasury!K135-'Check Treasury Past'!K135</f>
        <v>0</v>
      </c>
      <c r="X135" s="13"/>
      <c r="Y135" s="13"/>
      <c r="Z135" s="13"/>
    </row>
    <row r="136" spans="1:26" s="12" customFormat="1" ht="12.75" customHeight="1" x14ac:dyDescent="0.2">
      <c r="A136" s="110">
        <v>40422</v>
      </c>
      <c r="B136" s="117">
        <v>1590</v>
      </c>
      <c r="C136" s="117">
        <v>1224</v>
      </c>
      <c r="D136" s="117">
        <v>2814</v>
      </c>
      <c r="E136" s="117">
        <v>367</v>
      </c>
      <c r="F136" s="117">
        <v>1804</v>
      </c>
      <c r="G136" s="117">
        <v>-15</v>
      </c>
      <c r="H136" s="117">
        <v>4970</v>
      </c>
      <c r="I136" s="117">
        <v>18144</v>
      </c>
      <c r="J136" s="117">
        <v>23114</v>
      </c>
      <c r="K136" s="117">
        <v>1929</v>
      </c>
      <c r="L136" s="20"/>
      <c r="M136" s="110">
        <v>40422</v>
      </c>
      <c r="N136" s="113">
        <f>Treasury!B136-'Check Treasury Past'!B136</f>
        <v>0</v>
      </c>
      <c r="O136" s="113">
        <f>Treasury!C136-'Check Treasury Past'!C136</f>
        <v>0</v>
      </c>
      <c r="P136" s="113">
        <f>Treasury!D136-'Check Treasury Past'!D136</f>
        <v>0</v>
      </c>
      <c r="Q136" s="113">
        <f>Treasury!E136-'Check Treasury Past'!E136</f>
        <v>0</v>
      </c>
      <c r="R136" s="113">
        <f>Treasury!F136-'Check Treasury Past'!F136</f>
        <v>0</v>
      </c>
      <c r="S136" s="113">
        <f>Treasury!G136-'Check Treasury Past'!G136</f>
        <v>0</v>
      </c>
      <c r="T136" s="113">
        <f>Treasury!H136-'Check Treasury Past'!H136</f>
        <v>0</v>
      </c>
      <c r="U136" s="113">
        <f>Treasury!I136-'Check Treasury Past'!I136</f>
        <v>0</v>
      </c>
      <c r="V136" s="113">
        <f>Treasury!J136-'Check Treasury Past'!J136</f>
        <v>0</v>
      </c>
      <c r="W136" s="113">
        <f>Treasury!K136-'Check Treasury Past'!K136</f>
        <v>0</v>
      </c>
      <c r="X136" s="13"/>
      <c r="Y136" s="13"/>
      <c r="Z136" s="13"/>
    </row>
    <row r="137" spans="1:26" s="12" customFormat="1" ht="12.75" customHeight="1" x14ac:dyDescent="0.2">
      <c r="A137" s="110">
        <v>40452</v>
      </c>
      <c r="B137" s="117">
        <v>1350</v>
      </c>
      <c r="C137" s="117">
        <v>1330</v>
      </c>
      <c r="D137" s="117">
        <v>2680</v>
      </c>
      <c r="E137" s="117">
        <v>363</v>
      </c>
      <c r="F137" s="117">
        <v>1787</v>
      </c>
      <c r="G137" s="117">
        <v>-12</v>
      </c>
      <c r="H137" s="117">
        <v>4818</v>
      </c>
      <c r="I137" s="117">
        <v>16150</v>
      </c>
      <c r="J137" s="117">
        <v>20968</v>
      </c>
      <c r="K137" s="117">
        <v>2437</v>
      </c>
      <c r="L137" s="20"/>
      <c r="M137" s="110">
        <v>40452</v>
      </c>
      <c r="N137" s="113">
        <f>Treasury!B137-'Check Treasury Past'!B137</f>
        <v>0</v>
      </c>
      <c r="O137" s="113">
        <f>Treasury!C137-'Check Treasury Past'!C137</f>
        <v>0</v>
      </c>
      <c r="P137" s="113">
        <f>Treasury!D137-'Check Treasury Past'!D137</f>
        <v>0</v>
      </c>
      <c r="Q137" s="113">
        <f>Treasury!E137-'Check Treasury Past'!E137</f>
        <v>0</v>
      </c>
      <c r="R137" s="113">
        <f>Treasury!F137-'Check Treasury Past'!F137</f>
        <v>0</v>
      </c>
      <c r="S137" s="113">
        <f>Treasury!G137-'Check Treasury Past'!G137</f>
        <v>0</v>
      </c>
      <c r="T137" s="113">
        <f>Treasury!H137-'Check Treasury Past'!H137</f>
        <v>0</v>
      </c>
      <c r="U137" s="113">
        <f>Treasury!I137-'Check Treasury Past'!I137</f>
        <v>0</v>
      </c>
      <c r="V137" s="113">
        <f>Treasury!J137-'Check Treasury Past'!J137</f>
        <v>0</v>
      </c>
      <c r="W137" s="113">
        <f>Treasury!K137-'Check Treasury Past'!K137</f>
        <v>0</v>
      </c>
      <c r="X137" s="13"/>
      <c r="Y137" s="13"/>
      <c r="Z137" s="13"/>
    </row>
    <row r="138" spans="1:26" s="12" customFormat="1" ht="12.75" customHeight="1" x14ac:dyDescent="0.2">
      <c r="A138" s="110">
        <v>40483</v>
      </c>
      <c r="B138" s="117">
        <v>1320</v>
      </c>
      <c r="C138" s="117">
        <v>1705</v>
      </c>
      <c r="D138" s="117">
        <v>3025</v>
      </c>
      <c r="E138" s="117">
        <v>363</v>
      </c>
      <c r="F138" s="117">
        <v>1752</v>
      </c>
      <c r="G138" s="117">
        <v>-12</v>
      </c>
      <c r="H138" s="117">
        <v>5128</v>
      </c>
      <c r="I138" s="117">
        <v>17097</v>
      </c>
      <c r="J138" s="117">
        <v>22225</v>
      </c>
      <c r="K138" s="117">
        <v>2542</v>
      </c>
      <c r="L138" s="20"/>
      <c r="M138" s="110">
        <v>40483</v>
      </c>
      <c r="N138" s="113">
        <f>Treasury!B138-'Check Treasury Past'!B138</f>
        <v>0</v>
      </c>
      <c r="O138" s="113">
        <f>Treasury!C138-'Check Treasury Past'!C138</f>
        <v>0</v>
      </c>
      <c r="P138" s="113">
        <f>Treasury!D138-'Check Treasury Past'!D138</f>
        <v>0</v>
      </c>
      <c r="Q138" s="113">
        <f>Treasury!E138-'Check Treasury Past'!E138</f>
        <v>0</v>
      </c>
      <c r="R138" s="113">
        <f>Treasury!F138-'Check Treasury Past'!F138</f>
        <v>0</v>
      </c>
      <c r="S138" s="113">
        <f>Treasury!G138-'Check Treasury Past'!G138</f>
        <v>0</v>
      </c>
      <c r="T138" s="113">
        <f>Treasury!H138-'Check Treasury Past'!H138</f>
        <v>0</v>
      </c>
      <c r="U138" s="113">
        <f>Treasury!I138-'Check Treasury Past'!I138</f>
        <v>0</v>
      </c>
      <c r="V138" s="113">
        <f>Treasury!J138-'Check Treasury Past'!J138</f>
        <v>0</v>
      </c>
      <c r="W138" s="113">
        <f>Treasury!K138-'Check Treasury Past'!K138</f>
        <v>0</v>
      </c>
      <c r="X138" s="13"/>
      <c r="Y138" s="13"/>
      <c r="Z138" s="13"/>
    </row>
    <row r="139" spans="1:26" s="12" customFormat="1" ht="12.75" customHeight="1" x14ac:dyDescent="0.2">
      <c r="A139" s="110">
        <v>40513</v>
      </c>
      <c r="B139" s="117">
        <v>1295</v>
      </c>
      <c r="C139" s="117">
        <v>1520</v>
      </c>
      <c r="D139" s="117">
        <v>2815</v>
      </c>
      <c r="E139" s="117">
        <v>355</v>
      </c>
      <c r="F139" s="117">
        <v>1711</v>
      </c>
      <c r="G139" s="117">
        <v>-14</v>
      </c>
      <c r="H139" s="117">
        <v>4867</v>
      </c>
      <c r="I139" s="117">
        <v>16837</v>
      </c>
      <c r="J139" s="117">
        <v>21704</v>
      </c>
      <c r="K139" s="117">
        <v>2673</v>
      </c>
      <c r="L139" s="20"/>
      <c r="M139" s="110">
        <v>40513</v>
      </c>
      <c r="N139" s="113">
        <f>Treasury!B139-'Check Treasury Past'!B139</f>
        <v>0</v>
      </c>
      <c r="O139" s="113">
        <f>Treasury!C139-'Check Treasury Past'!C139</f>
        <v>0</v>
      </c>
      <c r="P139" s="113">
        <f>Treasury!D139-'Check Treasury Past'!D139</f>
        <v>0</v>
      </c>
      <c r="Q139" s="113">
        <f>Treasury!E139-'Check Treasury Past'!E139</f>
        <v>0</v>
      </c>
      <c r="R139" s="113">
        <f>Treasury!F139-'Check Treasury Past'!F139</f>
        <v>0</v>
      </c>
      <c r="S139" s="113">
        <f>Treasury!G139-'Check Treasury Past'!G139</f>
        <v>0</v>
      </c>
      <c r="T139" s="113">
        <f>Treasury!H139-'Check Treasury Past'!H139</f>
        <v>0</v>
      </c>
      <c r="U139" s="113">
        <f>Treasury!I139-'Check Treasury Past'!I139</f>
        <v>0</v>
      </c>
      <c r="V139" s="113">
        <f>Treasury!J139-'Check Treasury Past'!J139</f>
        <v>0</v>
      </c>
      <c r="W139" s="113">
        <f>Treasury!K139-'Check Treasury Past'!K139</f>
        <v>0</v>
      </c>
      <c r="X139" s="13"/>
      <c r="Y139" s="13"/>
      <c r="Z139" s="13"/>
    </row>
    <row r="140" spans="1:26" s="12" customFormat="1" ht="12.75" customHeight="1" x14ac:dyDescent="0.2">
      <c r="A140" s="110">
        <v>40544</v>
      </c>
      <c r="B140" s="117">
        <v>1252</v>
      </c>
      <c r="C140" s="117">
        <v>1237</v>
      </c>
      <c r="D140" s="117">
        <v>2489</v>
      </c>
      <c r="E140" s="117">
        <v>469</v>
      </c>
      <c r="F140" s="117">
        <v>1728</v>
      </c>
      <c r="G140" s="117">
        <v>-12</v>
      </c>
      <c r="H140" s="117">
        <v>4674</v>
      </c>
      <c r="I140" s="117">
        <v>19279</v>
      </c>
      <c r="J140" s="117">
        <v>23953</v>
      </c>
      <c r="K140" s="117">
        <v>2490</v>
      </c>
      <c r="L140" s="20"/>
      <c r="M140" s="110">
        <v>40544</v>
      </c>
      <c r="N140" s="113">
        <f>Treasury!B140-'Check Treasury Past'!B140</f>
        <v>0</v>
      </c>
      <c r="O140" s="113">
        <f>Treasury!C140-'Check Treasury Past'!C140</f>
        <v>0</v>
      </c>
      <c r="P140" s="113">
        <f>Treasury!D140-'Check Treasury Past'!D140</f>
        <v>0</v>
      </c>
      <c r="Q140" s="113">
        <f>Treasury!E140-'Check Treasury Past'!E140</f>
        <v>0</v>
      </c>
      <c r="R140" s="113">
        <f>Treasury!F140-'Check Treasury Past'!F140</f>
        <v>0</v>
      </c>
      <c r="S140" s="113">
        <f>Treasury!G140-'Check Treasury Past'!G140</f>
        <v>0</v>
      </c>
      <c r="T140" s="113">
        <f>Treasury!H140-'Check Treasury Past'!H140</f>
        <v>0</v>
      </c>
      <c r="U140" s="113">
        <f>Treasury!I140-'Check Treasury Past'!I140</f>
        <v>0</v>
      </c>
      <c r="V140" s="113">
        <f>Treasury!J140-'Check Treasury Past'!J140</f>
        <v>0</v>
      </c>
      <c r="W140" s="113">
        <f>Treasury!K140-'Check Treasury Past'!K140</f>
        <v>0</v>
      </c>
      <c r="X140" s="13"/>
      <c r="Y140" s="13"/>
      <c r="Z140" s="13"/>
    </row>
    <row r="141" spans="1:26" s="12" customFormat="1" ht="12.75" customHeight="1" x14ac:dyDescent="0.2">
      <c r="A141" s="110">
        <v>40575</v>
      </c>
      <c r="B141" s="117">
        <v>1277</v>
      </c>
      <c r="C141" s="117">
        <v>797</v>
      </c>
      <c r="D141" s="117">
        <v>2074</v>
      </c>
      <c r="E141" s="117">
        <v>485</v>
      </c>
      <c r="F141" s="117">
        <v>1785</v>
      </c>
      <c r="G141" s="117">
        <v>-17</v>
      </c>
      <c r="H141" s="117">
        <v>4327</v>
      </c>
      <c r="I141" s="117">
        <v>19166</v>
      </c>
      <c r="J141" s="117">
        <v>23493</v>
      </c>
      <c r="K141" s="117">
        <v>2017</v>
      </c>
      <c r="L141" s="20"/>
      <c r="M141" s="110">
        <v>40575</v>
      </c>
      <c r="N141" s="113">
        <f>Treasury!B141-'Check Treasury Past'!B141</f>
        <v>0</v>
      </c>
      <c r="O141" s="113">
        <f>Treasury!C141-'Check Treasury Past'!C141</f>
        <v>0</v>
      </c>
      <c r="P141" s="113">
        <f>Treasury!D141-'Check Treasury Past'!D141</f>
        <v>0</v>
      </c>
      <c r="Q141" s="113">
        <f>Treasury!E141-'Check Treasury Past'!E141</f>
        <v>0</v>
      </c>
      <c r="R141" s="113">
        <f>Treasury!F141-'Check Treasury Past'!F141</f>
        <v>0</v>
      </c>
      <c r="S141" s="113">
        <f>Treasury!G141-'Check Treasury Past'!G141</f>
        <v>0</v>
      </c>
      <c r="T141" s="113">
        <f>Treasury!H141-'Check Treasury Past'!H141</f>
        <v>0</v>
      </c>
      <c r="U141" s="113">
        <f>Treasury!I141-'Check Treasury Past'!I141</f>
        <v>0</v>
      </c>
      <c r="V141" s="113">
        <f>Treasury!J141-'Check Treasury Past'!J141</f>
        <v>0</v>
      </c>
      <c r="W141" s="113">
        <f>Treasury!K141-'Check Treasury Past'!K141</f>
        <v>0</v>
      </c>
      <c r="X141" s="13"/>
      <c r="Y141" s="13"/>
      <c r="Z141" s="13"/>
    </row>
    <row r="142" spans="1:26" s="12" customFormat="1" ht="12.75" customHeight="1" x14ac:dyDescent="0.2">
      <c r="A142" s="110">
        <v>40603</v>
      </c>
      <c r="B142" s="117">
        <v>1263</v>
      </c>
      <c r="C142" s="117">
        <v>1177</v>
      </c>
      <c r="D142" s="117">
        <v>2440</v>
      </c>
      <c r="E142" s="117">
        <v>483</v>
      </c>
      <c r="F142" s="117">
        <v>1778</v>
      </c>
      <c r="G142" s="117">
        <v>-18</v>
      </c>
      <c r="H142" s="117">
        <v>4683</v>
      </c>
      <c r="I142" s="117">
        <v>20055</v>
      </c>
      <c r="J142" s="117">
        <v>24738</v>
      </c>
      <c r="K142" s="117">
        <v>2306</v>
      </c>
      <c r="L142" s="20"/>
      <c r="M142" s="110">
        <v>40603</v>
      </c>
      <c r="N142" s="113">
        <f>Treasury!B142-'Check Treasury Past'!B142</f>
        <v>0</v>
      </c>
      <c r="O142" s="113">
        <f>Treasury!C142-'Check Treasury Past'!C142</f>
        <v>0</v>
      </c>
      <c r="P142" s="113">
        <f>Treasury!D142-'Check Treasury Past'!D142</f>
        <v>0</v>
      </c>
      <c r="Q142" s="113">
        <f>Treasury!E142-'Check Treasury Past'!E142</f>
        <v>0</v>
      </c>
      <c r="R142" s="113">
        <f>Treasury!F142-'Check Treasury Past'!F142</f>
        <v>0</v>
      </c>
      <c r="S142" s="113">
        <f>Treasury!G142-'Check Treasury Past'!G142</f>
        <v>0</v>
      </c>
      <c r="T142" s="113">
        <f>Treasury!H142-'Check Treasury Past'!H142</f>
        <v>0</v>
      </c>
      <c r="U142" s="113">
        <f>Treasury!I142-'Check Treasury Past'!I142</f>
        <v>0</v>
      </c>
      <c r="V142" s="113">
        <f>Treasury!J142-'Check Treasury Past'!J142</f>
        <v>0</v>
      </c>
      <c r="W142" s="113">
        <f>Treasury!K142-'Check Treasury Past'!K142</f>
        <v>0</v>
      </c>
      <c r="X142" s="13"/>
      <c r="Y142" s="13"/>
      <c r="Z142" s="13"/>
    </row>
    <row r="143" spans="1:26" s="12" customFormat="1" ht="12.75" customHeight="1" x14ac:dyDescent="0.2">
      <c r="A143" s="110">
        <v>40634</v>
      </c>
      <c r="B143" s="117">
        <v>1218</v>
      </c>
      <c r="C143" s="117">
        <v>1499</v>
      </c>
      <c r="D143" s="117">
        <v>2717</v>
      </c>
      <c r="E143" s="117">
        <v>469</v>
      </c>
      <c r="F143" s="117">
        <v>1729</v>
      </c>
      <c r="G143" s="117">
        <v>-17</v>
      </c>
      <c r="H143" s="117">
        <v>4898</v>
      </c>
      <c r="I143" s="117">
        <v>20346</v>
      </c>
      <c r="J143" s="117">
        <v>25244</v>
      </c>
      <c r="K143" s="117">
        <v>2866</v>
      </c>
      <c r="L143" s="20"/>
      <c r="M143" s="110">
        <v>40634</v>
      </c>
      <c r="N143" s="113">
        <f>Treasury!B143-'Check Treasury Past'!B143</f>
        <v>0</v>
      </c>
      <c r="O143" s="113">
        <f>Treasury!C143-'Check Treasury Past'!C143</f>
        <v>0</v>
      </c>
      <c r="P143" s="113">
        <f>Treasury!D143-'Check Treasury Past'!D143</f>
        <v>0</v>
      </c>
      <c r="Q143" s="113">
        <f>Treasury!E143-'Check Treasury Past'!E143</f>
        <v>0</v>
      </c>
      <c r="R143" s="113">
        <f>Treasury!F143-'Check Treasury Past'!F143</f>
        <v>0</v>
      </c>
      <c r="S143" s="113">
        <f>Treasury!G143-'Check Treasury Past'!G143</f>
        <v>0</v>
      </c>
      <c r="T143" s="113">
        <f>Treasury!H143-'Check Treasury Past'!H143</f>
        <v>0</v>
      </c>
      <c r="U143" s="113">
        <f>Treasury!I143-'Check Treasury Past'!I143</f>
        <v>0</v>
      </c>
      <c r="V143" s="113">
        <f>Treasury!J143-'Check Treasury Past'!J143</f>
        <v>0</v>
      </c>
      <c r="W143" s="113">
        <f>Treasury!K143-'Check Treasury Past'!K143</f>
        <v>0</v>
      </c>
      <c r="X143" s="13"/>
      <c r="Y143" s="13"/>
      <c r="Z143" s="13"/>
    </row>
    <row r="144" spans="1:26" s="12" customFormat="1" ht="12.75" customHeight="1" x14ac:dyDescent="0.2">
      <c r="A144" s="110">
        <v>40664</v>
      </c>
      <c r="B144" s="117">
        <v>1165</v>
      </c>
      <c r="C144" s="117">
        <v>1844</v>
      </c>
      <c r="D144" s="117">
        <v>3009</v>
      </c>
      <c r="E144" s="117">
        <v>513</v>
      </c>
      <c r="F144" s="117">
        <v>1660</v>
      </c>
      <c r="G144" s="117">
        <v>-12</v>
      </c>
      <c r="H144" s="117">
        <v>5170</v>
      </c>
      <c r="I144" s="117">
        <v>21288</v>
      </c>
      <c r="J144" s="117">
        <v>26458</v>
      </c>
      <c r="K144" s="117">
        <v>3342</v>
      </c>
      <c r="L144" s="20"/>
      <c r="M144" s="110">
        <v>40664</v>
      </c>
      <c r="N144" s="113">
        <f>Treasury!B144-'Check Treasury Past'!B144</f>
        <v>0</v>
      </c>
      <c r="O144" s="113">
        <f>Treasury!C144-'Check Treasury Past'!C144</f>
        <v>0</v>
      </c>
      <c r="P144" s="113">
        <f>Treasury!D144-'Check Treasury Past'!D144</f>
        <v>0</v>
      </c>
      <c r="Q144" s="113">
        <f>Treasury!E144-'Check Treasury Past'!E144</f>
        <v>0</v>
      </c>
      <c r="R144" s="113">
        <f>Treasury!F144-'Check Treasury Past'!F144</f>
        <v>0</v>
      </c>
      <c r="S144" s="113">
        <f>Treasury!G144-'Check Treasury Past'!G144</f>
        <v>0</v>
      </c>
      <c r="T144" s="113">
        <f>Treasury!H144-'Check Treasury Past'!H144</f>
        <v>0</v>
      </c>
      <c r="U144" s="113">
        <f>Treasury!I144-'Check Treasury Past'!I144</f>
        <v>0</v>
      </c>
      <c r="V144" s="113">
        <f>Treasury!J144-'Check Treasury Past'!J144</f>
        <v>0</v>
      </c>
      <c r="W144" s="113">
        <f>Treasury!K144-'Check Treasury Past'!K144</f>
        <v>0</v>
      </c>
      <c r="X144" s="13"/>
      <c r="Y144" s="13"/>
      <c r="Z144" s="13"/>
    </row>
    <row r="145" spans="1:26" s="12" customFormat="1" ht="12.75" customHeight="1" x14ac:dyDescent="0.2">
      <c r="A145" s="110">
        <v>40695</v>
      </c>
      <c r="B145" s="117">
        <v>1114</v>
      </c>
      <c r="C145" s="117">
        <v>1373</v>
      </c>
      <c r="D145" s="117">
        <v>2487</v>
      </c>
      <c r="E145" s="117">
        <v>510</v>
      </c>
      <c r="F145" s="117">
        <v>1650</v>
      </c>
      <c r="G145" s="117">
        <v>-12</v>
      </c>
      <c r="H145" s="117">
        <v>4635</v>
      </c>
      <c r="I145" s="117">
        <v>21795</v>
      </c>
      <c r="J145" s="117">
        <v>26430</v>
      </c>
      <c r="K145" s="117">
        <v>3273</v>
      </c>
      <c r="L145" s="20"/>
      <c r="M145" s="110">
        <v>40695</v>
      </c>
      <c r="N145" s="113">
        <f>Treasury!B145-'Check Treasury Past'!B145</f>
        <v>0</v>
      </c>
      <c r="O145" s="113">
        <f>Treasury!C145-'Check Treasury Past'!C145</f>
        <v>0</v>
      </c>
      <c r="P145" s="113">
        <f>Treasury!D145-'Check Treasury Past'!D145</f>
        <v>0</v>
      </c>
      <c r="Q145" s="113">
        <f>Treasury!E145-'Check Treasury Past'!E145</f>
        <v>0</v>
      </c>
      <c r="R145" s="113">
        <f>Treasury!F145-'Check Treasury Past'!F145</f>
        <v>0</v>
      </c>
      <c r="S145" s="113">
        <f>Treasury!G145-'Check Treasury Past'!G145</f>
        <v>0</v>
      </c>
      <c r="T145" s="113">
        <f>Treasury!H145-'Check Treasury Past'!H145</f>
        <v>0</v>
      </c>
      <c r="U145" s="113">
        <f>Treasury!I145-'Check Treasury Past'!I145</f>
        <v>0</v>
      </c>
      <c r="V145" s="113">
        <f>Treasury!J145-'Check Treasury Past'!J145</f>
        <v>0</v>
      </c>
      <c r="W145" s="113">
        <f>Treasury!K145-'Check Treasury Past'!K145</f>
        <v>0</v>
      </c>
      <c r="X145" s="13"/>
      <c r="Y145" s="13"/>
      <c r="Z145" s="13"/>
    </row>
    <row r="146" spans="1:26" s="12" customFormat="1" ht="12.75" customHeight="1" x14ac:dyDescent="0.2">
      <c r="A146" s="110">
        <v>40725</v>
      </c>
      <c r="B146" s="117">
        <v>1243</v>
      </c>
      <c r="C146" s="117">
        <v>2165</v>
      </c>
      <c r="D146" s="117">
        <v>3408</v>
      </c>
      <c r="E146" s="117">
        <v>517</v>
      </c>
      <c r="F146" s="117">
        <v>1570</v>
      </c>
      <c r="G146" s="117">
        <v>-11</v>
      </c>
      <c r="H146" s="117">
        <v>5484</v>
      </c>
      <c r="I146" s="117">
        <v>19322</v>
      </c>
      <c r="J146" s="117">
        <v>24806</v>
      </c>
      <c r="K146" s="117">
        <v>3708</v>
      </c>
      <c r="L146" s="20"/>
      <c r="M146" s="110">
        <v>40725</v>
      </c>
      <c r="N146" s="113">
        <f>Treasury!B146-'Check Treasury Past'!B146</f>
        <v>0</v>
      </c>
      <c r="O146" s="113">
        <f>Treasury!C146-'Check Treasury Past'!C146</f>
        <v>0</v>
      </c>
      <c r="P146" s="113">
        <f>Treasury!D146-'Check Treasury Past'!D146</f>
        <v>0</v>
      </c>
      <c r="Q146" s="113">
        <f>Treasury!E146-'Check Treasury Past'!E146</f>
        <v>0</v>
      </c>
      <c r="R146" s="113">
        <f>Treasury!F146-'Check Treasury Past'!F146</f>
        <v>0</v>
      </c>
      <c r="S146" s="113">
        <f>Treasury!G146-'Check Treasury Past'!G146</f>
        <v>0</v>
      </c>
      <c r="T146" s="113">
        <f>Treasury!H146-'Check Treasury Past'!H146</f>
        <v>0</v>
      </c>
      <c r="U146" s="113">
        <f>Treasury!I146-'Check Treasury Past'!I146</f>
        <v>0</v>
      </c>
      <c r="V146" s="113">
        <f>Treasury!J146-'Check Treasury Past'!J146</f>
        <v>0</v>
      </c>
      <c r="W146" s="113">
        <f>Treasury!K146-'Check Treasury Past'!K146</f>
        <v>0</v>
      </c>
      <c r="X146" s="13"/>
      <c r="Y146" s="13"/>
      <c r="Z146" s="13"/>
    </row>
    <row r="147" spans="1:26" s="12" customFormat="1" ht="12.75" customHeight="1" x14ac:dyDescent="0.2">
      <c r="A147" s="110">
        <v>40756</v>
      </c>
      <c r="B147" s="117">
        <v>1147</v>
      </c>
      <c r="C147" s="117">
        <v>1742</v>
      </c>
      <c r="D147" s="117">
        <v>2889</v>
      </c>
      <c r="E147" s="117">
        <v>527</v>
      </c>
      <c r="F147" s="117">
        <v>1601</v>
      </c>
      <c r="G147" s="117">
        <v>-5</v>
      </c>
      <c r="H147" s="117">
        <v>5012</v>
      </c>
      <c r="I147" s="117">
        <v>19032</v>
      </c>
      <c r="J147" s="117">
        <v>24044</v>
      </c>
      <c r="K147" s="117">
        <v>3434</v>
      </c>
      <c r="L147" s="20"/>
      <c r="M147" s="110">
        <v>40756</v>
      </c>
      <c r="N147" s="113">
        <f>Treasury!B147-'Check Treasury Past'!B147</f>
        <v>0</v>
      </c>
      <c r="O147" s="113">
        <f>Treasury!C147-'Check Treasury Past'!C147</f>
        <v>0</v>
      </c>
      <c r="P147" s="113">
        <f>Treasury!D147-'Check Treasury Past'!D147</f>
        <v>0</v>
      </c>
      <c r="Q147" s="113">
        <f>Treasury!E147-'Check Treasury Past'!E147</f>
        <v>0</v>
      </c>
      <c r="R147" s="113">
        <f>Treasury!F147-'Check Treasury Past'!F147</f>
        <v>0</v>
      </c>
      <c r="S147" s="113">
        <f>Treasury!G147-'Check Treasury Past'!G147</f>
        <v>0</v>
      </c>
      <c r="T147" s="113">
        <f>Treasury!H147-'Check Treasury Past'!H147</f>
        <v>0</v>
      </c>
      <c r="U147" s="113">
        <f>Treasury!I147-'Check Treasury Past'!I147</f>
        <v>0</v>
      </c>
      <c r="V147" s="113">
        <f>Treasury!J147-'Check Treasury Past'!J147</f>
        <v>0</v>
      </c>
      <c r="W147" s="113">
        <f>Treasury!K147-'Check Treasury Past'!K147</f>
        <v>0</v>
      </c>
      <c r="X147" s="13"/>
      <c r="Y147" s="13"/>
      <c r="Z147" s="13"/>
    </row>
    <row r="148" spans="1:26" s="12" customFormat="1" ht="12.75" customHeight="1" x14ac:dyDescent="0.2">
      <c r="A148" s="110">
        <v>40787</v>
      </c>
      <c r="B148" s="117">
        <v>1039</v>
      </c>
      <c r="C148" s="117">
        <v>1344</v>
      </c>
      <c r="D148" s="117">
        <v>2383</v>
      </c>
      <c r="E148" s="117">
        <v>615</v>
      </c>
      <c r="F148" s="117">
        <v>1688</v>
      </c>
      <c r="G148" s="117">
        <v>-7</v>
      </c>
      <c r="H148" s="117">
        <v>4679</v>
      </c>
      <c r="I148" s="117">
        <v>22035</v>
      </c>
      <c r="J148" s="117">
        <v>26714</v>
      </c>
      <c r="K148" s="117">
        <v>2234</v>
      </c>
      <c r="L148" s="20"/>
      <c r="M148" s="110">
        <v>40787</v>
      </c>
      <c r="N148" s="113">
        <f>Treasury!B148-'Check Treasury Past'!B148</f>
        <v>0</v>
      </c>
      <c r="O148" s="113">
        <f>Treasury!C148-'Check Treasury Past'!C148</f>
        <v>0</v>
      </c>
      <c r="P148" s="113">
        <f>Treasury!D148-'Check Treasury Past'!D148</f>
        <v>0</v>
      </c>
      <c r="Q148" s="113">
        <f>Treasury!E148-'Check Treasury Past'!E148</f>
        <v>0</v>
      </c>
      <c r="R148" s="113">
        <f>Treasury!F148-'Check Treasury Past'!F148</f>
        <v>0</v>
      </c>
      <c r="S148" s="113">
        <f>Treasury!G148-'Check Treasury Past'!G148</f>
        <v>0</v>
      </c>
      <c r="T148" s="113">
        <f>Treasury!H148-'Check Treasury Past'!H148</f>
        <v>0</v>
      </c>
      <c r="U148" s="113">
        <f>Treasury!I148-'Check Treasury Past'!I148</f>
        <v>0</v>
      </c>
      <c r="V148" s="113">
        <f>Treasury!J148-'Check Treasury Past'!J148</f>
        <v>0</v>
      </c>
      <c r="W148" s="113">
        <f>Treasury!K148-'Check Treasury Past'!K148</f>
        <v>0</v>
      </c>
      <c r="X148" s="13"/>
      <c r="Y148" s="13"/>
      <c r="Z148" s="13"/>
    </row>
    <row r="149" spans="1:26" s="12" customFormat="1" ht="12.75" customHeight="1" x14ac:dyDescent="0.2">
      <c r="A149" s="110">
        <v>40817</v>
      </c>
      <c r="B149" s="117">
        <v>1075</v>
      </c>
      <c r="C149" s="117">
        <v>1510</v>
      </c>
      <c r="D149" s="117">
        <v>2585</v>
      </c>
      <c r="E149" s="117">
        <v>586</v>
      </c>
      <c r="F149" s="117">
        <v>1610</v>
      </c>
      <c r="G149" s="117">
        <v>-6</v>
      </c>
      <c r="H149" s="117">
        <v>4775</v>
      </c>
      <c r="I149" s="117">
        <v>22069</v>
      </c>
      <c r="J149" s="117">
        <v>26844</v>
      </c>
      <c r="K149" s="117">
        <v>2794</v>
      </c>
      <c r="L149" s="20"/>
      <c r="M149" s="110">
        <v>40817</v>
      </c>
      <c r="N149" s="113">
        <f>Treasury!B149-'Check Treasury Past'!B149</f>
        <v>0</v>
      </c>
      <c r="O149" s="113">
        <f>Treasury!C149-'Check Treasury Past'!C149</f>
        <v>0</v>
      </c>
      <c r="P149" s="113">
        <f>Treasury!D149-'Check Treasury Past'!D149</f>
        <v>0</v>
      </c>
      <c r="Q149" s="113">
        <f>Treasury!E149-'Check Treasury Past'!E149</f>
        <v>0</v>
      </c>
      <c r="R149" s="113">
        <f>Treasury!F149-'Check Treasury Past'!F149</f>
        <v>0</v>
      </c>
      <c r="S149" s="113">
        <f>Treasury!G149-'Check Treasury Past'!G149</f>
        <v>0</v>
      </c>
      <c r="T149" s="113">
        <f>Treasury!H149-'Check Treasury Past'!H149</f>
        <v>0</v>
      </c>
      <c r="U149" s="113">
        <f>Treasury!I149-'Check Treasury Past'!I149</f>
        <v>0</v>
      </c>
      <c r="V149" s="113">
        <f>Treasury!J149-'Check Treasury Past'!J149</f>
        <v>0</v>
      </c>
      <c r="W149" s="113">
        <f>Treasury!K149-'Check Treasury Past'!K149</f>
        <v>0</v>
      </c>
      <c r="X149" s="13"/>
      <c r="Y149" s="13"/>
      <c r="Z149" s="13"/>
    </row>
    <row r="150" spans="1:26" s="12" customFormat="1" ht="12.75" customHeight="1" x14ac:dyDescent="0.2">
      <c r="A150" s="110">
        <v>40848</v>
      </c>
      <c r="B150" s="117">
        <v>1089</v>
      </c>
      <c r="C150" s="117">
        <v>850</v>
      </c>
      <c r="D150" s="117">
        <v>1939</v>
      </c>
      <c r="E150" s="117">
        <v>613</v>
      </c>
      <c r="F150" s="117">
        <v>1682</v>
      </c>
      <c r="G150" s="117">
        <v>-8</v>
      </c>
      <c r="H150" s="117">
        <v>4226</v>
      </c>
      <c r="I150" s="117">
        <v>21592</v>
      </c>
      <c r="J150" s="117">
        <v>25818</v>
      </c>
      <c r="K150" s="117">
        <v>2203</v>
      </c>
      <c r="L150" s="107"/>
      <c r="M150" s="110">
        <v>40848</v>
      </c>
      <c r="N150" s="113">
        <f>Treasury!B150-'Check Treasury Past'!B150</f>
        <v>0</v>
      </c>
      <c r="O150" s="113">
        <f>Treasury!C150-'Check Treasury Past'!C150</f>
        <v>0</v>
      </c>
      <c r="P150" s="113">
        <f>Treasury!D150-'Check Treasury Past'!D150</f>
        <v>0</v>
      </c>
      <c r="Q150" s="113">
        <f>Treasury!E150-'Check Treasury Past'!E150</f>
        <v>0</v>
      </c>
      <c r="R150" s="113">
        <f>Treasury!F150-'Check Treasury Past'!F150</f>
        <v>0</v>
      </c>
      <c r="S150" s="113">
        <f>Treasury!G150-'Check Treasury Past'!G150</f>
        <v>0</v>
      </c>
      <c r="T150" s="113">
        <f>Treasury!H150-'Check Treasury Past'!H150</f>
        <v>0</v>
      </c>
      <c r="U150" s="113">
        <f>Treasury!I150-'Check Treasury Past'!I150</f>
        <v>0</v>
      </c>
      <c r="V150" s="113">
        <f>Treasury!J150-'Check Treasury Past'!J150</f>
        <v>0</v>
      </c>
      <c r="W150" s="113">
        <f>Treasury!K150-'Check Treasury Past'!K150</f>
        <v>0</v>
      </c>
      <c r="X150" s="13"/>
      <c r="Y150" s="13"/>
      <c r="Z150" s="13"/>
    </row>
    <row r="151" spans="1:26" s="12" customFormat="1" ht="12.75" customHeight="1" x14ac:dyDescent="0.2">
      <c r="A151" s="110">
        <v>40878</v>
      </c>
      <c r="B151" s="117">
        <v>1066</v>
      </c>
      <c r="C151" s="117">
        <v>1056</v>
      </c>
      <c r="D151" s="117">
        <v>2122</v>
      </c>
      <c r="E151" s="117">
        <v>646</v>
      </c>
      <c r="F151" s="117">
        <v>1648</v>
      </c>
      <c r="G151" s="117">
        <v>-8</v>
      </c>
      <c r="H151" s="117">
        <v>4409</v>
      </c>
      <c r="I151" s="117">
        <v>17647</v>
      </c>
      <c r="J151" s="117">
        <v>22056</v>
      </c>
      <c r="K151" s="117">
        <v>2283</v>
      </c>
      <c r="L151" s="107"/>
      <c r="M151" s="110">
        <v>40878</v>
      </c>
      <c r="N151" s="113">
        <f>Treasury!B151-'Check Treasury Past'!B151</f>
        <v>0</v>
      </c>
      <c r="O151" s="113">
        <f>Treasury!C151-'Check Treasury Past'!C151</f>
        <v>0</v>
      </c>
      <c r="P151" s="113">
        <f>Treasury!D151-'Check Treasury Past'!D151</f>
        <v>0</v>
      </c>
      <c r="Q151" s="113">
        <f>Treasury!E151-'Check Treasury Past'!E151</f>
        <v>0</v>
      </c>
      <c r="R151" s="113">
        <f>Treasury!F151-'Check Treasury Past'!F151</f>
        <v>0</v>
      </c>
      <c r="S151" s="113">
        <f>Treasury!G151-'Check Treasury Past'!G151</f>
        <v>0</v>
      </c>
      <c r="T151" s="113">
        <f>Treasury!H151-'Check Treasury Past'!H151</f>
        <v>0</v>
      </c>
      <c r="U151" s="113">
        <f>Treasury!I151-'Check Treasury Past'!I151</f>
        <v>0</v>
      </c>
      <c r="V151" s="113">
        <f>Treasury!J151-'Check Treasury Past'!J151</f>
        <v>0</v>
      </c>
      <c r="W151" s="113">
        <f>Treasury!K151-'Check Treasury Past'!K151</f>
        <v>0</v>
      </c>
      <c r="X151" s="13"/>
      <c r="Y151" s="13"/>
      <c r="Z151" s="13"/>
    </row>
    <row r="152" spans="1:26" s="12" customFormat="1" ht="12.75" customHeight="1" x14ac:dyDescent="0.2">
      <c r="A152" s="110">
        <v>40909</v>
      </c>
      <c r="B152" s="117">
        <v>960</v>
      </c>
      <c r="C152" s="117">
        <v>1307</v>
      </c>
      <c r="D152" s="117">
        <v>2267</v>
      </c>
      <c r="E152" s="117">
        <v>613</v>
      </c>
      <c r="F152" s="117">
        <v>1551</v>
      </c>
      <c r="G152" s="117">
        <v>-8</v>
      </c>
      <c r="H152" s="117">
        <v>4423</v>
      </c>
      <c r="I152" s="117">
        <v>18296</v>
      </c>
      <c r="J152" s="117">
        <v>22719</v>
      </c>
      <c r="K152" s="117">
        <v>2822</v>
      </c>
      <c r="L152" s="107"/>
      <c r="M152" s="110">
        <v>40909</v>
      </c>
      <c r="N152" s="113">
        <f>Treasury!B152-'Check Treasury Past'!B152</f>
        <v>0</v>
      </c>
      <c r="O152" s="113">
        <f>Treasury!C152-'Check Treasury Past'!C152</f>
        <v>0</v>
      </c>
      <c r="P152" s="113">
        <f>Treasury!D152-'Check Treasury Past'!D152</f>
        <v>0</v>
      </c>
      <c r="Q152" s="113">
        <f>Treasury!E152-'Check Treasury Past'!E152</f>
        <v>0</v>
      </c>
      <c r="R152" s="113">
        <f>Treasury!F152-'Check Treasury Past'!F152</f>
        <v>0</v>
      </c>
      <c r="S152" s="113">
        <f>Treasury!G152-'Check Treasury Past'!G152</f>
        <v>0</v>
      </c>
      <c r="T152" s="113">
        <f>Treasury!H152-'Check Treasury Past'!H152</f>
        <v>0</v>
      </c>
      <c r="U152" s="113">
        <f>Treasury!I152-'Check Treasury Past'!I152</f>
        <v>0</v>
      </c>
      <c r="V152" s="113">
        <f>Treasury!J152-'Check Treasury Past'!J152</f>
        <v>0</v>
      </c>
      <c r="W152" s="113">
        <f>Treasury!K152-'Check Treasury Past'!K152</f>
        <v>0</v>
      </c>
      <c r="X152" s="13"/>
      <c r="Y152" s="13"/>
      <c r="Z152" s="13"/>
    </row>
    <row r="153" spans="1:26" s="12" customFormat="1" ht="12.75" customHeight="1" x14ac:dyDescent="0.2">
      <c r="A153" s="110">
        <v>40940</v>
      </c>
      <c r="B153" s="117">
        <v>818</v>
      </c>
      <c r="C153" s="117">
        <v>1384</v>
      </c>
      <c r="D153" s="117">
        <v>2202</v>
      </c>
      <c r="E153" s="117">
        <v>601</v>
      </c>
      <c r="F153" s="117">
        <v>1521</v>
      </c>
      <c r="G153" s="117">
        <v>-6</v>
      </c>
      <c r="H153" s="117">
        <v>4318</v>
      </c>
      <c r="I153" s="117">
        <v>18788</v>
      </c>
      <c r="J153" s="117">
        <v>23106</v>
      </c>
      <c r="K153" s="117">
        <v>2949</v>
      </c>
      <c r="L153" s="107"/>
      <c r="M153" s="110">
        <v>40940</v>
      </c>
      <c r="N153" s="113">
        <f>Treasury!B153-'Check Treasury Past'!B153</f>
        <v>0</v>
      </c>
      <c r="O153" s="113">
        <f>Treasury!C153-'Check Treasury Past'!C153</f>
        <v>0</v>
      </c>
      <c r="P153" s="113">
        <f>Treasury!D153-'Check Treasury Past'!D153</f>
        <v>0</v>
      </c>
      <c r="Q153" s="113">
        <f>Treasury!E153-'Check Treasury Past'!E153</f>
        <v>0</v>
      </c>
      <c r="R153" s="113">
        <f>Treasury!F153-'Check Treasury Past'!F153</f>
        <v>0</v>
      </c>
      <c r="S153" s="113">
        <f>Treasury!G153-'Check Treasury Past'!G153</f>
        <v>0</v>
      </c>
      <c r="T153" s="113">
        <f>Treasury!H153-'Check Treasury Past'!H153</f>
        <v>0</v>
      </c>
      <c r="U153" s="113">
        <f>Treasury!I153-'Check Treasury Past'!I153</f>
        <v>0</v>
      </c>
      <c r="V153" s="113">
        <f>Treasury!J153-'Check Treasury Past'!J153</f>
        <v>0</v>
      </c>
      <c r="W153" s="113">
        <f>Treasury!K153-'Check Treasury Past'!K153</f>
        <v>0</v>
      </c>
      <c r="X153" s="13"/>
      <c r="Y153" s="13"/>
      <c r="Z153" s="13"/>
    </row>
    <row r="154" spans="1:26" s="12" customFormat="1" ht="12.75" customHeight="1" x14ac:dyDescent="0.2">
      <c r="A154" s="110">
        <v>40969</v>
      </c>
      <c r="B154" s="117">
        <v>784</v>
      </c>
      <c r="C154" s="117">
        <v>1381</v>
      </c>
      <c r="D154" s="117">
        <v>2165</v>
      </c>
      <c r="E154" s="117">
        <v>625</v>
      </c>
      <c r="F154" s="117">
        <v>1557</v>
      </c>
      <c r="G154" s="117">
        <v>-6</v>
      </c>
      <c r="H154" s="117">
        <v>4341</v>
      </c>
      <c r="I154" s="117">
        <v>19121</v>
      </c>
      <c r="J154" s="117">
        <v>23462</v>
      </c>
      <c r="K154" s="117">
        <v>2765</v>
      </c>
      <c r="L154" s="107"/>
      <c r="M154" s="110">
        <v>40969</v>
      </c>
      <c r="N154" s="113">
        <f>Treasury!B154-'Check Treasury Past'!B154</f>
        <v>0</v>
      </c>
      <c r="O154" s="113">
        <f>Treasury!C154-'Check Treasury Past'!C154</f>
        <v>0</v>
      </c>
      <c r="P154" s="113">
        <f>Treasury!D154-'Check Treasury Past'!D154</f>
        <v>0</v>
      </c>
      <c r="Q154" s="113">
        <f>Treasury!E154-'Check Treasury Past'!E154</f>
        <v>0</v>
      </c>
      <c r="R154" s="113">
        <f>Treasury!F154-'Check Treasury Past'!F154</f>
        <v>0</v>
      </c>
      <c r="S154" s="113">
        <f>Treasury!G154-'Check Treasury Past'!G154</f>
        <v>0</v>
      </c>
      <c r="T154" s="113">
        <f>Treasury!H154-'Check Treasury Past'!H154</f>
        <v>0</v>
      </c>
      <c r="U154" s="113">
        <f>Treasury!I154-'Check Treasury Past'!I154</f>
        <v>0</v>
      </c>
      <c r="V154" s="113">
        <f>Treasury!J154-'Check Treasury Past'!J154</f>
        <v>0</v>
      </c>
      <c r="W154" s="113">
        <f>Treasury!K154-'Check Treasury Past'!K154</f>
        <v>0</v>
      </c>
      <c r="X154" s="13"/>
      <c r="Y154" s="13"/>
      <c r="Z154" s="13"/>
    </row>
    <row r="155" spans="1:26" s="12" customFormat="1" ht="12.75" customHeight="1" x14ac:dyDescent="0.2">
      <c r="A155" s="110">
        <v>41000</v>
      </c>
      <c r="B155" s="117">
        <v>1403</v>
      </c>
      <c r="C155" s="117">
        <v>848</v>
      </c>
      <c r="D155" s="117">
        <v>2251</v>
      </c>
      <c r="E155" s="117">
        <v>653</v>
      </c>
      <c r="F155" s="117">
        <v>1553</v>
      </c>
      <c r="G155" s="117">
        <v>-5</v>
      </c>
      <c r="H155" s="117">
        <v>4452</v>
      </c>
      <c r="I155" s="117">
        <v>19069</v>
      </c>
      <c r="J155" s="117">
        <v>23521</v>
      </c>
      <c r="K155" s="117">
        <v>2385</v>
      </c>
      <c r="L155" s="107"/>
      <c r="M155" s="110">
        <v>41000</v>
      </c>
      <c r="N155" s="113">
        <f>Treasury!B155-'Check Treasury Past'!B155</f>
        <v>0</v>
      </c>
      <c r="O155" s="113">
        <f>Treasury!C155-'Check Treasury Past'!C155</f>
        <v>0</v>
      </c>
      <c r="P155" s="113">
        <f>Treasury!D155-'Check Treasury Past'!D155</f>
        <v>0</v>
      </c>
      <c r="Q155" s="113">
        <f>Treasury!E155-'Check Treasury Past'!E155</f>
        <v>0</v>
      </c>
      <c r="R155" s="113">
        <f>Treasury!F155-'Check Treasury Past'!F155</f>
        <v>0</v>
      </c>
      <c r="S155" s="113">
        <f>Treasury!G155-'Check Treasury Past'!G155</f>
        <v>0</v>
      </c>
      <c r="T155" s="113">
        <f>Treasury!H155-'Check Treasury Past'!H155</f>
        <v>0</v>
      </c>
      <c r="U155" s="113">
        <f>Treasury!I155-'Check Treasury Past'!I155</f>
        <v>0</v>
      </c>
      <c r="V155" s="113">
        <f>Treasury!J155-'Check Treasury Past'!J155</f>
        <v>0</v>
      </c>
      <c r="W155" s="113">
        <f>Treasury!K155-'Check Treasury Past'!K155</f>
        <v>0</v>
      </c>
      <c r="X155" s="13"/>
      <c r="Y155" s="13"/>
      <c r="Z155" s="13"/>
    </row>
    <row r="156" spans="1:26" s="12" customFormat="1" ht="12.75" customHeight="1" x14ac:dyDescent="0.2">
      <c r="A156" s="110">
        <v>41030</v>
      </c>
      <c r="B156" s="117">
        <v>3231</v>
      </c>
      <c r="C156" s="117">
        <v>716</v>
      </c>
      <c r="D156" s="117">
        <v>3947</v>
      </c>
      <c r="E156" s="117">
        <v>693</v>
      </c>
      <c r="F156" s="117">
        <v>1649</v>
      </c>
      <c r="G156" s="117">
        <v>-7</v>
      </c>
      <c r="H156" s="117">
        <v>6282</v>
      </c>
      <c r="I156" s="117">
        <v>21955</v>
      </c>
      <c r="J156" s="117">
        <v>28237</v>
      </c>
      <c r="K156" s="117">
        <v>1301</v>
      </c>
      <c r="L156" s="107"/>
      <c r="M156" s="110">
        <v>41030</v>
      </c>
      <c r="N156" s="113">
        <f>Treasury!B156-'Check Treasury Past'!B156</f>
        <v>0</v>
      </c>
      <c r="O156" s="113">
        <f>Treasury!C156-'Check Treasury Past'!C156</f>
        <v>0</v>
      </c>
      <c r="P156" s="113">
        <f>Treasury!D156-'Check Treasury Past'!D156</f>
        <v>0</v>
      </c>
      <c r="Q156" s="113">
        <f>Treasury!E156-'Check Treasury Past'!E156</f>
        <v>0</v>
      </c>
      <c r="R156" s="113">
        <f>Treasury!F156-'Check Treasury Past'!F156</f>
        <v>0</v>
      </c>
      <c r="S156" s="113">
        <f>Treasury!G156-'Check Treasury Past'!G156</f>
        <v>0</v>
      </c>
      <c r="T156" s="113">
        <f>Treasury!H156-'Check Treasury Past'!H156</f>
        <v>0</v>
      </c>
      <c r="U156" s="113">
        <f>Treasury!I156-'Check Treasury Past'!I156</f>
        <v>0</v>
      </c>
      <c r="V156" s="113">
        <f>Treasury!J156-'Check Treasury Past'!J156</f>
        <v>0</v>
      </c>
      <c r="W156" s="113">
        <f>Treasury!K156-'Check Treasury Past'!K156</f>
        <v>0</v>
      </c>
      <c r="X156" s="13"/>
      <c r="Y156" s="13"/>
      <c r="Z156" s="13"/>
    </row>
    <row r="157" spans="1:26" s="12" customFormat="1" ht="12.75" customHeight="1" x14ac:dyDescent="0.2">
      <c r="A157" s="110">
        <v>41061</v>
      </c>
      <c r="B157" s="117">
        <v>2960</v>
      </c>
      <c r="C157" s="117">
        <v>900</v>
      </c>
      <c r="D157" s="117">
        <v>3860</v>
      </c>
      <c r="E157" s="117">
        <v>663</v>
      </c>
      <c r="F157" s="117">
        <v>1578</v>
      </c>
      <c r="G157" s="117">
        <v>-7</v>
      </c>
      <c r="H157" s="117">
        <v>6094</v>
      </c>
      <c r="I157" s="117">
        <v>19305</v>
      </c>
      <c r="J157" s="117">
        <v>25399</v>
      </c>
      <c r="K157" s="117">
        <v>1892</v>
      </c>
      <c r="L157" s="107"/>
      <c r="M157" s="110">
        <v>41061</v>
      </c>
      <c r="N157" s="113">
        <f>Treasury!B157-'Check Treasury Past'!B157</f>
        <v>0</v>
      </c>
      <c r="O157" s="113">
        <f>Treasury!C157-'Check Treasury Past'!C157</f>
        <v>0</v>
      </c>
      <c r="P157" s="113">
        <f>Treasury!D157-'Check Treasury Past'!D157</f>
        <v>0</v>
      </c>
      <c r="Q157" s="113">
        <f>Treasury!E157-'Check Treasury Past'!E157</f>
        <v>0</v>
      </c>
      <c r="R157" s="113">
        <f>Treasury!F157-'Check Treasury Past'!F157</f>
        <v>0</v>
      </c>
      <c r="S157" s="113">
        <f>Treasury!G157-'Check Treasury Past'!G157</f>
        <v>0</v>
      </c>
      <c r="T157" s="113">
        <f>Treasury!H157-'Check Treasury Past'!H157</f>
        <v>0</v>
      </c>
      <c r="U157" s="113">
        <f>Treasury!I157-'Check Treasury Past'!I157</f>
        <v>0</v>
      </c>
      <c r="V157" s="113">
        <f>Treasury!J157-'Check Treasury Past'!J157</f>
        <v>0</v>
      </c>
      <c r="W157" s="113">
        <f>Treasury!K157-'Check Treasury Past'!K157</f>
        <v>0</v>
      </c>
      <c r="X157" s="13"/>
      <c r="Y157" s="13"/>
      <c r="Z157" s="13"/>
    </row>
    <row r="158" spans="1:26" s="12" customFormat="1" ht="12.75" customHeight="1" x14ac:dyDescent="0.2">
      <c r="A158" s="110">
        <v>41091</v>
      </c>
      <c r="B158" s="117">
        <v>2834</v>
      </c>
      <c r="C158" s="117">
        <v>974</v>
      </c>
      <c r="D158" s="117">
        <v>3808</v>
      </c>
      <c r="E158" s="117">
        <v>644</v>
      </c>
      <c r="F158" s="117">
        <v>1523</v>
      </c>
      <c r="G158" s="117">
        <v>-8</v>
      </c>
      <c r="H158" s="117">
        <v>5967</v>
      </c>
      <c r="I158" s="117">
        <v>16685</v>
      </c>
      <c r="J158" s="117">
        <v>22652</v>
      </c>
      <c r="K158" s="117">
        <v>2106</v>
      </c>
      <c r="L158" s="107"/>
      <c r="M158" s="110">
        <v>41091</v>
      </c>
      <c r="N158" s="113">
        <f>Treasury!B158-'Check Treasury Past'!B158</f>
        <v>0</v>
      </c>
      <c r="O158" s="113">
        <f>Treasury!C158-'Check Treasury Past'!C158</f>
        <v>0</v>
      </c>
      <c r="P158" s="113">
        <f>Treasury!D158-'Check Treasury Past'!D158</f>
        <v>0</v>
      </c>
      <c r="Q158" s="113">
        <f>Treasury!E158-'Check Treasury Past'!E158</f>
        <v>0</v>
      </c>
      <c r="R158" s="113">
        <f>Treasury!F158-'Check Treasury Past'!F158</f>
        <v>0</v>
      </c>
      <c r="S158" s="113">
        <f>Treasury!G158-'Check Treasury Past'!G158</f>
        <v>0</v>
      </c>
      <c r="T158" s="113">
        <f>Treasury!H158-'Check Treasury Past'!H158</f>
        <v>0</v>
      </c>
      <c r="U158" s="113">
        <f>Treasury!I158-'Check Treasury Past'!I158</f>
        <v>0</v>
      </c>
      <c r="V158" s="113">
        <f>Treasury!J158-'Check Treasury Past'!J158</f>
        <v>0</v>
      </c>
      <c r="W158" s="113">
        <f>Treasury!K158-'Check Treasury Past'!K158</f>
        <v>0</v>
      </c>
      <c r="X158" s="13"/>
      <c r="Y158" s="13"/>
      <c r="Z158" s="13"/>
    </row>
    <row r="159" spans="1:26" s="12" customFormat="1" ht="12.75" customHeight="1" x14ac:dyDescent="0.2">
      <c r="A159" s="110">
        <v>41122</v>
      </c>
      <c r="B159" s="117">
        <v>3190</v>
      </c>
      <c r="C159" s="117">
        <v>598</v>
      </c>
      <c r="D159" s="117">
        <v>3788</v>
      </c>
      <c r="E159" s="117">
        <v>664</v>
      </c>
      <c r="F159" s="117">
        <v>1555</v>
      </c>
      <c r="G159" s="117">
        <v>-8</v>
      </c>
      <c r="H159" s="117">
        <v>5999</v>
      </c>
      <c r="I159" s="117">
        <v>16182</v>
      </c>
      <c r="J159" s="117">
        <v>22181</v>
      </c>
      <c r="K159" s="117">
        <v>1950</v>
      </c>
      <c r="L159" s="107"/>
      <c r="M159" s="110">
        <v>41122</v>
      </c>
      <c r="N159" s="113">
        <f>Treasury!B159-'Check Treasury Past'!B159</f>
        <v>0</v>
      </c>
      <c r="O159" s="113">
        <f>Treasury!C159-'Check Treasury Past'!C159</f>
        <v>0</v>
      </c>
      <c r="P159" s="113">
        <f>Treasury!D159-'Check Treasury Past'!D159</f>
        <v>0</v>
      </c>
      <c r="Q159" s="113">
        <f>Treasury!E159-'Check Treasury Past'!E159</f>
        <v>0</v>
      </c>
      <c r="R159" s="113">
        <f>Treasury!F159-'Check Treasury Past'!F159</f>
        <v>0</v>
      </c>
      <c r="S159" s="113">
        <f>Treasury!G159-'Check Treasury Past'!G159</f>
        <v>0</v>
      </c>
      <c r="T159" s="113">
        <f>Treasury!H159-'Check Treasury Past'!H159</f>
        <v>0</v>
      </c>
      <c r="U159" s="113">
        <f>Treasury!I159-'Check Treasury Past'!I159</f>
        <v>0</v>
      </c>
      <c r="V159" s="113">
        <f>Treasury!J159-'Check Treasury Past'!J159</f>
        <v>0</v>
      </c>
      <c r="W159" s="113">
        <f>Treasury!K159-'Check Treasury Past'!K159</f>
        <v>0</v>
      </c>
      <c r="X159" s="13"/>
      <c r="Y159" s="13"/>
      <c r="Z159" s="13"/>
    </row>
    <row r="160" spans="1:26" s="12" customFormat="1" ht="12.75" customHeight="1" x14ac:dyDescent="0.2">
      <c r="A160" s="110">
        <v>41153</v>
      </c>
      <c r="B160" s="117">
        <v>2686</v>
      </c>
      <c r="C160" s="117">
        <v>811</v>
      </c>
      <c r="D160" s="117">
        <v>3497</v>
      </c>
      <c r="E160" s="117">
        <v>647</v>
      </c>
      <c r="F160" s="117">
        <v>1514</v>
      </c>
      <c r="G160" s="117">
        <v>-6</v>
      </c>
      <c r="H160" s="117">
        <v>5652</v>
      </c>
      <c r="I160" s="117">
        <v>16378</v>
      </c>
      <c r="J160" s="117">
        <v>22030</v>
      </c>
      <c r="K160" s="117">
        <v>2298</v>
      </c>
      <c r="L160" s="107"/>
      <c r="M160" s="110">
        <v>41153</v>
      </c>
      <c r="N160" s="113">
        <f>Treasury!B160-'Check Treasury Past'!B160</f>
        <v>0</v>
      </c>
      <c r="O160" s="113">
        <f>Treasury!C160-'Check Treasury Past'!C160</f>
        <v>0</v>
      </c>
      <c r="P160" s="113">
        <f>Treasury!D160-'Check Treasury Past'!D160</f>
        <v>0</v>
      </c>
      <c r="Q160" s="113">
        <f>Treasury!E160-'Check Treasury Past'!E160</f>
        <v>0</v>
      </c>
      <c r="R160" s="113">
        <f>Treasury!F160-'Check Treasury Past'!F160</f>
        <v>0</v>
      </c>
      <c r="S160" s="113">
        <f>Treasury!G160-'Check Treasury Past'!G160</f>
        <v>0</v>
      </c>
      <c r="T160" s="113">
        <f>Treasury!H160-'Check Treasury Past'!H160</f>
        <v>0</v>
      </c>
      <c r="U160" s="113">
        <f>Treasury!I160-'Check Treasury Past'!I160</f>
        <v>0</v>
      </c>
      <c r="V160" s="113">
        <f>Treasury!J160-'Check Treasury Past'!J160</f>
        <v>0</v>
      </c>
      <c r="W160" s="113">
        <f>Treasury!K160-'Check Treasury Past'!K160</f>
        <v>0</v>
      </c>
      <c r="X160" s="13"/>
      <c r="Y160" s="13"/>
      <c r="Z160" s="13"/>
    </row>
    <row r="161" spans="1:26" s="12" customFormat="1" ht="12.75" customHeight="1" x14ac:dyDescent="0.2">
      <c r="A161" s="110">
        <v>41183</v>
      </c>
      <c r="B161" s="117">
        <v>2845</v>
      </c>
      <c r="C161" s="117">
        <v>830</v>
      </c>
      <c r="D161" s="117">
        <v>3675</v>
      </c>
      <c r="E161" s="117">
        <v>655</v>
      </c>
      <c r="F161" s="117">
        <v>1532</v>
      </c>
      <c r="G161" s="117">
        <v>-5</v>
      </c>
      <c r="H161" s="117">
        <v>5857</v>
      </c>
      <c r="I161" s="117">
        <v>17944</v>
      </c>
      <c r="J161" s="117">
        <v>23801</v>
      </c>
      <c r="K161" s="117">
        <v>2126</v>
      </c>
      <c r="L161" s="107"/>
      <c r="M161" s="110">
        <v>41183</v>
      </c>
      <c r="N161" s="113">
        <f>Treasury!B161-'Check Treasury Past'!B161</f>
        <v>0</v>
      </c>
      <c r="O161" s="113">
        <f>Treasury!C161-'Check Treasury Past'!C161</f>
        <v>0</v>
      </c>
      <c r="P161" s="113">
        <f>Treasury!D161-'Check Treasury Past'!D161</f>
        <v>0</v>
      </c>
      <c r="Q161" s="113">
        <f>Treasury!E161-'Check Treasury Past'!E161</f>
        <v>0</v>
      </c>
      <c r="R161" s="113">
        <f>Treasury!F161-'Check Treasury Past'!F161</f>
        <v>0</v>
      </c>
      <c r="S161" s="113">
        <f>Treasury!G161-'Check Treasury Past'!G161</f>
        <v>0</v>
      </c>
      <c r="T161" s="113">
        <f>Treasury!H161-'Check Treasury Past'!H161</f>
        <v>0</v>
      </c>
      <c r="U161" s="113">
        <f>Treasury!I161-'Check Treasury Past'!I161</f>
        <v>0</v>
      </c>
      <c r="V161" s="113">
        <f>Treasury!J161-'Check Treasury Past'!J161</f>
        <v>0</v>
      </c>
      <c r="W161" s="113">
        <f>Treasury!K161-'Check Treasury Past'!K161</f>
        <v>0</v>
      </c>
      <c r="X161" s="13"/>
      <c r="Y161" s="13"/>
      <c r="Z161" s="13"/>
    </row>
    <row r="162" spans="1:26" s="12" customFormat="1" ht="12.75" customHeight="1" x14ac:dyDescent="0.2">
      <c r="A162" s="110">
        <v>41214</v>
      </c>
      <c r="B162" s="117">
        <v>2792</v>
      </c>
      <c r="C162" s="117">
        <v>959</v>
      </c>
      <c r="D162" s="117">
        <v>3751</v>
      </c>
      <c r="E162" s="117">
        <v>664</v>
      </c>
      <c r="F162" s="117">
        <v>1526</v>
      </c>
      <c r="G162" s="117">
        <v>-5</v>
      </c>
      <c r="H162" s="117">
        <v>5936</v>
      </c>
      <c r="I162" s="117">
        <v>17941</v>
      </c>
      <c r="J162" s="117">
        <v>23877</v>
      </c>
      <c r="K162" s="117">
        <v>2093</v>
      </c>
      <c r="L162" s="107"/>
      <c r="M162" s="110">
        <v>41214</v>
      </c>
      <c r="N162" s="113">
        <f>Treasury!B162-'Check Treasury Past'!B162</f>
        <v>0</v>
      </c>
      <c r="O162" s="113">
        <f>Treasury!C162-'Check Treasury Past'!C162</f>
        <v>0</v>
      </c>
      <c r="P162" s="113">
        <f>Treasury!D162-'Check Treasury Past'!D162</f>
        <v>0</v>
      </c>
      <c r="Q162" s="113">
        <f>Treasury!E162-'Check Treasury Past'!E162</f>
        <v>0</v>
      </c>
      <c r="R162" s="113">
        <f>Treasury!F162-'Check Treasury Past'!F162</f>
        <v>0</v>
      </c>
      <c r="S162" s="113">
        <f>Treasury!G162-'Check Treasury Past'!G162</f>
        <v>0</v>
      </c>
      <c r="T162" s="113">
        <f>Treasury!H162-'Check Treasury Past'!H162</f>
        <v>0</v>
      </c>
      <c r="U162" s="113">
        <f>Treasury!I162-'Check Treasury Past'!I162</f>
        <v>0</v>
      </c>
      <c r="V162" s="113">
        <f>Treasury!J162-'Check Treasury Past'!J162</f>
        <v>0</v>
      </c>
      <c r="W162" s="113">
        <f>Treasury!K162-'Check Treasury Past'!K162</f>
        <v>0</v>
      </c>
      <c r="X162" s="13"/>
      <c r="Y162" s="13"/>
      <c r="Z162" s="13"/>
    </row>
    <row r="163" spans="1:26" s="12" customFormat="1" ht="12.75" customHeight="1" x14ac:dyDescent="0.2">
      <c r="A163" s="110">
        <v>41244</v>
      </c>
      <c r="B163" s="117">
        <v>2963</v>
      </c>
      <c r="C163" s="117">
        <v>921</v>
      </c>
      <c r="D163" s="117">
        <v>3884</v>
      </c>
      <c r="E163" s="117">
        <v>666</v>
      </c>
      <c r="F163" s="117">
        <v>1532</v>
      </c>
      <c r="G163" s="117">
        <v>-5</v>
      </c>
      <c r="H163" s="117">
        <v>6077</v>
      </c>
      <c r="I163" s="117">
        <v>15357</v>
      </c>
      <c r="J163" s="117">
        <v>21434</v>
      </c>
      <c r="K163" s="117">
        <v>2159</v>
      </c>
      <c r="L163" s="107"/>
      <c r="M163" s="110">
        <v>41244</v>
      </c>
      <c r="N163" s="113">
        <f>Treasury!B163-'Check Treasury Past'!B163</f>
        <v>0</v>
      </c>
      <c r="O163" s="113">
        <f>Treasury!C163-'Check Treasury Past'!C163</f>
        <v>0</v>
      </c>
      <c r="P163" s="113">
        <f>Treasury!D163-'Check Treasury Past'!D163</f>
        <v>0</v>
      </c>
      <c r="Q163" s="113">
        <f>Treasury!E163-'Check Treasury Past'!E163</f>
        <v>0</v>
      </c>
      <c r="R163" s="113">
        <f>Treasury!F163-'Check Treasury Past'!F163</f>
        <v>0</v>
      </c>
      <c r="S163" s="113">
        <f>Treasury!G163-'Check Treasury Past'!G163</f>
        <v>0</v>
      </c>
      <c r="T163" s="113">
        <f>Treasury!H163-'Check Treasury Past'!H163</f>
        <v>0</v>
      </c>
      <c r="U163" s="113">
        <f>Treasury!I163-'Check Treasury Past'!I163</f>
        <v>0</v>
      </c>
      <c r="V163" s="113">
        <f>Treasury!J163-'Check Treasury Past'!J163</f>
        <v>0</v>
      </c>
      <c r="W163" s="113">
        <f>Treasury!K163-'Check Treasury Past'!K163</f>
        <v>0</v>
      </c>
      <c r="X163" s="13"/>
      <c r="Y163" s="13"/>
      <c r="Z163" s="13"/>
    </row>
    <row r="164" spans="1:26" s="12" customFormat="1" ht="12.75" customHeight="1" x14ac:dyDescent="0.2">
      <c r="A164" s="110">
        <v>41275</v>
      </c>
      <c r="B164" s="117">
        <v>3446</v>
      </c>
      <c r="C164" s="117">
        <v>1003</v>
      </c>
      <c r="D164" s="117">
        <v>4449</v>
      </c>
      <c r="E164" s="117">
        <v>664</v>
      </c>
      <c r="F164" s="117">
        <v>1500</v>
      </c>
      <c r="G164" s="117">
        <v>-5</v>
      </c>
      <c r="H164" s="117">
        <v>6608</v>
      </c>
      <c r="I164" s="117">
        <v>18997</v>
      </c>
      <c r="J164" s="117">
        <v>25605</v>
      </c>
      <c r="K164" s="117">
        <v>2236</v>
      </c>
      <c r="L164" s="107"/>
      <c r="M164" s="110">
        <v>41275</v>
      </c>
      <c r="N164" s="113">
        <f>Treasury!B164-'Check Treasury Past'!B164</f>
        <v>0</v>
      </c>
      <c r="O164" s="113">
        <f>Treasury!C164-'Check Treasury Past'!C164</f>
        <v>0</v>
      </c>
      <c r="P164" s="113">
        <f>Treasury!D164-'Check Treasury Past'!D164</f>
        <v>0</v>
      </c>
      <c r="Q164" s="113">
        <f>Treasury!E164-'Check Treasury Past'!E164</f>
        <v>0</v>
      </c>
      <c r="R164" s="113">
        <f>Treasury!F164-'Check Treasury Past'!F164</f>
        <v>0</v>
      </c>
      <c r="S164" s="113">
        <f>Treasury!G164-'Check Treasury Past'!G164</f>
        <v>0</v>
      </c>
      <c r="T164" s="113">
        <f>Treasury!H164-'Check Treasury Past'!H164</f>
        <v>0</v>
      </c>
      <c r="U164" s="113">
        <f>Treasury!I164-'Check Treasury Past'!I164</f>
        <v>0</v>
      </c>
      <c r="V164" s="113">
        <f>Treasury!J164-'Check Treasury Past'!J164</f>
        <v>0</v>
      </c>
      <c r="W164" s="113">
        <f>Treasury!K164-'Check Treasury Past'!K164</f>
        <v>0</v>
      </c>
      <c r="X164" s="13"/>
      <c r="Y164" s="13"/>
      <c r="Z164" s="13"/>
    </row>
    <row r="165" spans="1:26" s="12" customFormat="1" ht="12.75" customHeight="1" x14ac:dyDescent="0.2">
      <c r="A165" s="110">
        <v>41306</v>
      </c>
      <c r="B165" s="117">
        <v>3266</v>
      </c>
      <c r="C165" s="117">
        <v>894</v>
      </c>
      <c r="D165" s="117">
        <v>4160</v>
      </c>
      <c r="E165" s="117">
        <v>657</v>
      </c>
      <c r="F165" s="117">
        <v>1484</v>
      </c>
      <c r="G165" s="117">
        <v>-4</v>
      </c>
      <c r="H165" s="117">
        <v>6297</v>
      </c>
      <c r="I165" s="117">
        <v>18878</v>
      </c>
      <c r="J165" s="117">
        <v>25175</v>
      </c>
      <c r="K165" s="117">
        <v>2190</v>
      </c>
      <c r="L165" s="107"/>
      <c r="M165" s="110">
        <v>41306</v>
      </c>
      <c r="N165" s="113">
        <f>Treasury!B165-'Check Treasury Past'!B165</f>
        <v>0</v>
      </c>
      <c r="O165" s="113">
        <f>Treasury!C165-'Check Treasury Past'!C165</f>
        <v>0</v>
      </c>
      <c r="P165" s="113">
        <f>Treasury!D165-'Check Treasury Past'!D165</f>
        <v>0</v>
      </c>
      <c r="Q165" s="113">
        <f>Treasury!E165-'Check Treasury Past'!E165</f>
        <v>0</v>
      </c>
      <c r="R165" s="113">
        <f>Treasury!F165-'Check Treasury Past'!F165</f>
        <v>0</v>
      </c>
      <c r="S165" s="113">
        <f>Treasury!G165-'Check Treasury Past'!G165</f>
        <v>0</v>
      </c>
      <c r="T165" s="113">
        <f>Treasury!H165-'Check Treasury Past'!H165</f>
        <v>0</v>
      </c>
      <c r="U165" s="113">
        <f>Treasury!I165-'Check Treasury Past'!I165</f>
        <v>0</v>
      </c>
      <c r="V165" s="113">
        <f>Treasury!J165-'Check Treasury Past'!J165</f>
        <v>0</v>
      </c>
      <c r="W165" s="113">
        <f>Treasury!K165-'Check Treasury Past'!K165</f>
        <v>0</v>
      </c>
      <c r="X165" s="13"/>
      <c r="Y165" s="13"/>
      <c r="Z165" s="13"/>
    </row>
    <row r="166" spans="1:26" s="12" customFormat="1" ht="12.75" customHeight="1" x14ac:dyDescent="0.2">
      <c r="A166" s="110">
        <v>41334</v>
      </c>
      <c r="B166" s="117">
        <v>2911</v>
      </c>
      <c r="C166" s="117">
        <v>2095</v>
      </c>
      <c r="D166" s="117">
        <v>5006</v>
      </c>
      <c r="E166" s="117">
        <v>644</v>
      </c>
      <c r="F166" s="117">
        <v>1418</v>
      </c>
      <c r="G166" s="117">
        <v>-5</v>
      </c>
      <c r="H166" s="117">
        <v>7063</v>
      </c>
      <c r="I166" s="117">
        <v>16765</v>
      </c>
      <c r="J166" s="117">
        <v>23828</v>
      </c>
      <c r="K166" s="117">
        <v>2391</v>
      </c>
      <c r="L166" s="107"/>
      <c r="M166" s="110">
        <v>41334</v>
      </c>
      <c r="N166" s="113">
        <f>Treasury!B166-'Check Treasury Past'!B166</f>
        <v>0</v>
      </c>
      <c r="O166" s="113">
        <f>Treasury!C166-'Check Treasury Past'!C166</f>
        <v>0</v>
      </c>
      <c r="P166" s="113">
        <f>Treasury!D166-'Check Treasury Past'!D166</f>
        <v>0</v>
      </c>
      <c r="Q166" s="113">
        <f>Treasury!E166-'Check Treasury Past'!E166</f>
        <v>0</v>
      </c>
      <c r="R166" s="113">
        <f>Treasury!F166-'Check Treasury Past'!F166</f>
        <v>0</v>
      </c>
      <c r="S166" s="113">
        <f>Treasury!G166-'Check Treasury Past'!G166</f>
        <v>0</v>
      </c>
      <c r="T166" s="113">
        <f>Treasury!H166-'Check Treasury Past'!H166</f>
        <v>0</v>
      </c>
      <c r="U166" s="113">
        <f>Treasury!I166-'Check Treasury Past'!I166</f>
        <v>0</v>
      </c>
      <c r="V166" s="113">
        <f>Treasury!J166-'Check Treasury Past'!J166</f>
        <v>0</v>
      </c>
      <c r="W166" s="113">
        <f>Treasury!K166-'Check Treasury Past'!K166</f>
        <v>0</v>
      </c>
      <c r="X166" s="13"/>
      <c r="Y166" s="13"/>
      <c r="Z166" s="13"/>
    </row>
    <row r="167" spans="1:26" s="12" customFormat="1" ht="12.75" customHeight="1" x14ac:dyDescent="0.2">
      <c r="A167" s="110">
        <v>41365</v>
      </c>
      <c r="B167" s="117">
        <v>313</v>
      </c>
      <c r="C167" s="117">
        <v>1221</v>
      </c>
      <c r="D167" s="117">
        <v>1534</v>
      </c>
      <c r="E167" s="117">
        <v>634</v>
      </c>
      <c r="F167" s="117">
        <v>1487</v>
      </c>
      <c r="G167" s="117">
        <v>-2</v>
      </c>
      <c r="H167" s="117">
        <v>3653</v>
      </c>
      <c r="I167" s="117">
        <v>15066</v>
      </c>
      <c r="J167" s="117">
        <v>18719</v>
      </c>
      <c r="K167" s="117">
        <v>2316</v>
      </c>
      <c r="L167" s="107"/>
      <c r="M167" s="110">
        <v>41365</v>
      </c>
      <c r="N167" s="113">
        <f>Treasury!B167-'Check Treasury Past'!B167</f>
        <v>0</v>
      </c>
      <c r="O167" s="113">
        <f>Treasury!C167-'Check Treasury Past'!C167</f>
        <v>0</v>
      </c>
      <c r="P167" s="113">
        <f>Treasury!D167-'Check Treasury Past'!D167</f>
        <v>0</v>
      </c>
      <c r="Q167" s="113">
        <f>Treasury!E167-'Check Treasury Past'!E167</f>
        <v>0</v>
      </c>
      <c r="R167" s="113">
        <f>Treasury!F167-'Check Treasury Past'!F167</f>
        <v>0</v>
      </c>
      <c r="S167" s="113">
        <f>Treasury!G167-'Check Treasury Past'!G167</f>
        <v>0</v>
      </c>
      <c r="T167" s="113">
        <f>Treasury!H167-'Check Treasury Past'!H167</f>
        <v>0</v>
      </c>
      <c r="U167" s="113">
        <f>Treasury!I167-'Check Treasury Past'!I167</f>
        <v>0</v>
      </c>
      <c r="V167" s="113">
        <f>Treasury!J167-'Check Treasury Past'!J167</f>
        <v>0</v>
      </c>
      <c r="W167" s="113">
        <f>Treasury!K167-'Check Treasury Past'!K167</f>
        <v>0</v>
      </c>
      <c r="X167" s="13"/>
      <c r="Y167" s="13"/>
      <c r="Z167" s="13"/>
    </row>
    <row r="168" spans="1:26" s="12" customFormat="1" ht="12.75" customHeight="1" x14ac:dyDescent="0.2">
      <c r="A168" s="110">
        <v>41395</v>
      </c>
      <c r="B168" s="117">
        <v>344</v>
      </c>
      <c r="C168" s="117">
        <v>911</v>
      </c>
      <c r="D168" s="117">
        <v>1255</v>
      </c>
      <c r="E168" s="117">
        <v>677</v>
      </c>
      <c r="F168" s="117">
        <v>1563</v>
      </c>
      <c r="G168" s="117">
        <v>-1</v>
      </c>
      <c r="H168" s="117">
        <v>3494</v>
      </c>
      <c r="I168" s="117">
        <v>18133</v>
      </c>
      <c r="J168" s="117">
        <v>21627</v>
      </c>
      <c r="K168" s="117">
        <v>1867</v>
      </c>
      <c r="L168" s="107"/>
      <c r="M168" s="110">
        <v>41395</v>
      </c>
      <c r="N168" s="113">
        <f>Treasury!B168-'Check Treasury Past'!B168</f>
        <v>0</v>
      </c>
      <c r="O168" s="113">
        <f>Treasury!C168-'Check Treasury Past'!C168</f>
        <v>0</v>
      </c>
      <c r="P168" s="113">
        <f>Treasury!D168-'Check Treasury Past'!D168</f>
        <v>0</v>
      </c>
      <c r="Q168" s="113">
        <f>Treasury!E168-'Check Treasury Past'!E168</f>
        <v>0</v>
      </c>
      <c r="R168" s="113">
        <f>Treasury!F168-'Check Treasury Past'!F168</f>
        <v>0</v>
      </c>
      <c r="S168" s="113">
        <f>Treasury!G168-'Check Treasury Past'!G168</f>
        <v>0</v>
      </c>
      <c r="T168" s="113">
        <f>Treasury!H168-'Check Treasury Past'!H168</f>
        <v>0</v>
      </c>
      <c r="U168" s="113">
        <f>Treasury!I168-'Check Treasury Past'!I168</f>
        <v>0</v>
      </c>
      <c r="V168" s="113">
        <f>Treasury!J168-'Check Treasury Past'!J168</f>
        <v>0</v>
      </c>
      <c r="W168" s="113">
        <f>Treasury!K168-'Check Treasury Past'!K168</f>
        <v>0</v>
      </c>
      <c r="X168" s="13"/>
      <c r="Y168" s="13"/>
      <c r="Z168" s="13"/>
    </row>
    <row r="169" spans="1:26" s="12" customFormat="1" ht="12.75" customHeight="1" x14ac:dyDescent="0.2">
      <c r="A169" s="110">
        <v>41426</v>
      </c>
      <c r="B169" s="117">
        <v>414</v>
      </c>
      <c r="C169" s="117">
        <v>628</v>
      </c>
      <c r="D169" s="117">
        <v>1042</v>
      </c>
      <c r="E169" s="117">
        <v>713</v>
      </c>
      <c r="F169" s="117">
        <v>1570</v>
      </c>
      <c r="G169" s="117">
        <v>-1</v>
      </c>
      <c r="H169" s="117">
        <v>3324</v>
      </c>
      <c r="I169" s="117">
        <v>19334</v>
      </c>
      <c r="J169" s="117">
        <v>22658</v>
      </c>
      <c r="K169" s="117">
        <v>1501</v>
      </c>
      <c r="L169" s="107"/>
      <c r="M169" s="110">
        <v>41426</v>
      </c>
      <c r="N169" s="113">
        <f>Treasury!B169-'Check Treasury Past'!B169</f>
        <v>0</v>
      </c>
      <c r="O169" s="113">
        <f>Treasury!C169-'Check Treasury Past'!C169</f>
        <v>0</v>
      </c>
      <c r="P169" s="113">
        <f>Treasury!D169-'Check Treasury Past'!D169</f>
        <v>0</v>
      </c>
      <c r="Q169" s="113">
        <f>Treasury!E169-'Check Treasury Past'!E169</f>
        <v>0</v>
      </c>
      <c r="R169" s="113">
        <f>Treasury!F169-'Check Treasury Past'!F169</f>
        <v>0</v>
      </c>
      <c r="S169" s="113">
        <f>Treasury!G169-'Check Treasury Past'!G169</f>
        <v>0</v>
      </c>
      <c r="T169" s="113">
        <f>Treasury!H169-'Check Treasury Past'!H169</f>
        <v>0</v>
      </c>
      <c r="U169" s="113">
        <f>Treasury!I169-'Check Treasury Past'!I169</f>
        <v>0</v>
      </c>
      <c r="V169" s="113">
        <f>Treasury!J169-'Check Treasury Past'!J169</f>
        <v>0</v>
      </c>
      <c r="W169" s="113">
        <f>Treasury!K169-'Check Treasury Past'!K169</f>
        <v>0</v>
      </c>
      <c r="X169" s="13"/>
      <c r="Y169" s="13"/>
      <c r="Z169" s="13"/>
    </row>
    <row r="170" spans="1:26" s="12" customFormat="1" ht="12.75" customHeight="1" x14ac:dyDescent="0.2">
      <c r="A170" s="110">
        <v>41456</v>
      </c>
      <c r="B170" s="117">
        <v>387</v>
      </c>
      <c r="C170" s="117">
        <v>933</v>
      </c>
      <c r="D170" s="117">
        <v>1320</v>
      </c>
      <c r="E170" s="117">
        <v>704</v>
      </c>
      <c r="F170" s="117">
        <v>1609</v>
      </c>
      <c r="G170" s="117">
        <v>2</v>
      </c>
      <c r="H170" s="117">
        <v>3635</v>
      </c>
      <c r="I170" s="117">
        <v>15333</v>
      </c>
      <c r="J170" s="117">
        <v>18968</v>
      </c>
      <c r="K170" s="117">
        <v>1841</v>
      </c>
      <c r="L170" s="107"/>
      <c r="M170" s="110">
        <v>41456</v>
      </c>
      <c r="N170" s="113">
        <f>Treasury!B170-'Check Treasury Past'!B170</f>
        <v>0</v>
      </c>
      <c r="O170" s="113">
        <f>Treasury!C170-'Check Treasury Past'!C170</f>
        <v>0</v>
      </c>
      <c r="P170" s="113">
        <f>Treasury!D170-'Check Treasury Past'!D170</f>
        <v>0</v>
      </c>
      <c r="Q170" s="113">
        <f>Treasury!E170-'Check Treasury Past'!E170</f>
        <v>0</v>
      </c>
      <c r="R170" s="113">
        <f>Treasury!F170-'Check Treasury Past'!F170</f>
        <v>0</v>
      </c>
      <c r="S170" s="113">
        <f>Treasury!G170-'Check Treasury Past'!G170</f>
        <v>0</v>
      </c>
      <c r="T170" s="113">
        <f>Treasury!H170-'Check Treasury Past'!H170</f>
        <v>0</v>
      </c>
      <c r="U170" s="113">
        <f>Treasury!I170-'Check Treasury Past'!I170</f>
        <v>0</v>
      </c>
      <c r="V170" s="113">
        <f>Treasury!J170-'Check Treasury Past'!J170</f>
        <v>0</v>
      </c>
      <c r="W170" s="113">
        <f>Treasury!K170-'Check Treasury Past'!K170</f>
        <v>0</v>
      </c>
      <c r="X170" s="13"/>
      <c r="Y170" s="13"/>
      <c r="Z170" s="13"/>
    </row>
    <row r="171" spans="1:26" s="12" customFormat="1" ht="12.75" customHeight="1" x14ac:dyDescent="0.2">
      <c r="A171" s="110">
        <v>41487</v>
      </c>
      <c r="B171" s="117">
        <v>386</v>
      </c>
      <c r="C171" s="117">
        <v>742</v>
      </c>
      <c r="D171" s="117">
        <v>1128</v>
      </c>
      <c r="E171" s="117">
        <v>724</v>
      </c>
      <c r="F171" s="117">
        <v>1658</v>
      </c>
      <c r="G171" s="117">
        <v>1</v>
      </c>
      <c r="H171" s="117">
        <v>3511</v>
      </c>
      <c r="I171" s="117">
        <v>16349</v>
      </c>
      <c r="J171" s="117">
        <v>19860</v>
      </c>
      <c r="K171" s="117">
        <v>1507</v>
      </c>
      <c r="L171" s="107"/>
      <c r="M171" s="110">
        <v>41487</v>
      </c>
      <c r="N171" s="113">
        <f>Treasury!B171-'Check Treasury Past'!B171</f>
        <v>0</v>
      </c>
      <c r="O171" s="113">
        <f>Treasury!C171-'Check Treasury Past'!C171</f>
        <v>0</v>
      </c>
      <c r="P171" s="113">
        <f>Treasury!D171-'Check Treasury Past'!D171</f>
        <v>0</v>
      </c>
      <c r="Q171" s="113">
        <f>Treasury!E171-'Check Treasury Past'!E171</f>
        <v>0</v>
      </c>
      <c r="R171" s="113">
        <f>Treasury!F171-'Check Treasury Past'!F171</f>
        <v>0</v>
      </c>
      <c r="S171" s="113">
        <f>Treasury!G171-'Check Treasury Past'!G171</f>
        <v>0</v>
      </c>
      <c r="T171" s="113">
        <f>Treasury!H171-'Check Treasury Past'!H171</f>
        <v>0</v>
      </c>
      <c r="U171" s="113">
        <f>Treasury!I171-'Check Treasury Past'!I171</f>
        <v>0</v>
      </c>
      <c r="V171" s="113">
        <f>Treasury!J171-'Check Treasury Past'!J171</f>
        <v>0</v>
      </c>
      <c r="W171" s="113">
        <f>Treasury!K171-'Check Treasury Past'!K171</f>
        <v>0</v>
      </c>
      <c r="X171" s="13"/>
      <c r="Y171" s="13"/>
      <c r="Z171" s="13"/>
    </row>
    <row r="172" spans="1:26" s="12" customFormat="1" ht="12.75" customHeight="1" x14ac:dyDescent="0.2">
      <c r="A172" s="110">
        <v>41518</v>
      </c>
      <c r="B172" s="117">
        <v>353</v>
      </c>
      <c r="C172" s="117">
        <v>973</v>
      </c>
      <c r="D172" s="117">
        <v>1326</v>
      </c>
      <c r="E172" s="117">
        <v>713</v>
      </c>
      <c r="F172" s="117">
        <v>1577</v>
      </c>
      <c r="G172" s="117">
        <v>2</v>
      </c>
      <c r="H172" s="117">
        <v>3618</v>
      </c>
      <c r="I172" s="117">
        <v>15573</v>
      </c>
      <c r="J172" s="117">
        <v>19191</v>
      </c>
      <c r="K172" s="117">
        <v>2033</v>
      </c>
      <c r="L172" s="107"/>
      <c r="M172" s="110">
        <v>41518</v>
      </c>
      <c r="N172" s="113">
        <f>Treasury!B172-'Check Treasury Past'!B172</f>
        <v>0</v>
      </c>
      <c r="O172" s="113">
        <f>Treasury!C172-'Check Treasury Past'!C172</f>
        <v>0</v>
      </c>
      <c r="P172" s="113">
        <f>Treasury!D172-'Check Treasury Past'!D172</f>
        <v>0</v>
      </c>
      <c r="Q172" s="113">
        <f>Treasury!E172-'Check Treasury Past'!E172</f>
        <v>0</v>
      </c>
      <c r="R172" s="113">
        <f>Treasury!F172-'Check Treasury Past'!F172</f>
        <v>0</v>
      </c>
      <c r="S172" s="113">
        <f>Treasury!G172-'Check Treasury Past'!G172</f>
        <v>0</v>
      </c>
      <c r="T172" s="113">
        <f>Treasury!H172-'Check Treasury Past'!H172</f>
        <v>0</v>
      </c>
      <c r="U172" s="113">
        <f>Treasury!I172-'Check Treasury Past'!I172</f>
        <v>0</v>
      </c>
      <c r="V172" s="113">
        <f>Treasury!J172-'Check Treasury Past'!J172</f>
        <v>0</v>
      </c>
      <c r="W172" s="113">
        <f>Treasury!K172-'Check Treasury Past'!K172</f>
        <v>0</v>
      </c>
      <c r="X172" s="13"/>
      <c r="Y172" s="13"/>
      <c r="Z172" s="13"/>
    </row>
    <row r="173" spans="1:26" s="12" customFormat="1" ht="12.75" customHeight="1" x14ac:dyDescent="0.2">
      <c r="A173" s="110">
        <v>41548</v>
      </c>
      <c r="B173" s="117">
        <v>600</v>
      </c>
      <c r="C173" s="117">
        <v>663</v>
      </c>
      <c r="D173" s="117">
        <v>1263</v>
      </c>
      <c r="E173" s="117">
        <v>714</v>
      </c>
      <c r="F173" s="117">
        <v>1581</v>
      </c>
      <c r="G173" s="117">
        <v>2</v>
      </c>
      <c r="H173" s="117">
        <v>3560</v>
      </c>
      <c r="I173" s="117">
        <v>18714</v>
      </c>
      <c r="J173" s="117">
        <v>22274</v>
      </c>
      <c r="K173" s="117">
        <v>1942</v>
      </c>
      <c r="L173" s="107"/>
      <c r="M173" s="110">
        <v>41548</v>
      </c>
      <c r="N173" s="113">
        <f>Treasury!B173-'Check Treasury Past'!B173</f>
        <v>0</v>
      </c>
      <c r="O173" s="113">
        <f>Treasury!C173-'Check Treasury Past'!C173</f>
        <v>0</v>
      </c>
      <c r="P173" s="113">
        <f>Treasury!D173-'Check Treasury Past'!D173</f>
        <v>0</v>
      </c>
      <c r="Q173" s="113">
        <f>Treasury!E173-'Check Treasury Past'!E173</f>
        <v>0</v>
      </c>
      <c r="R173" s="113">
        <f>Treasury!F173-'Check Treasury Past'!F173</f>
        <v>0</v>
      </c>
      <c r="S173" s="113">
        <f>Treasury!G173-'Check Treasury Past'!G173</f>
        <v>0</v>
      </c>
      <c r="T173" s="113">
        <f>Treasury!H173-'Check Treasury Past'!H173</f>
        <v>0</v>
      </c>
      <c r="U173" s="113">
        <f>Treasury!I173-'Check Treasury Past'!I173</f>
        <v>0</v>
      </c>
      <c r="V173" s="113">
        <f>Treasury!J173-'Check Treasury Past'!J173</f>
        <v>0</v>
      </c>
      <c r="W173" s="113">
        <f>Treasury!K173-'Check Treasury Past'!K173</f>
        <v>0</v>
      </c>
      <c r="X173" s="13"/>
      <c r="Y173" s="13"/>
      <c r="Z173" s="13"/>
    </row>
    <row r="174" spans="1:26" s="12" customFormat="1" ht="12.75" customHeight="1" x14ac:dyDescent="0.2">
      <c r="A174" s="110">
        <v>41579</v>
      </c>
      <c r="B174" s="117">
        <v>695</v>
      </c>
      <c r="C174" s="117">
        <v>664</v>
      </c>
      <c r="D174" s="117">
        <v>1359</v>
      </c>
      <c r="E174" s="117">
        <v>745</v>
      </c>
      <c r="F174" s="117">
        <v>1602</v>
      </c>
      <c r="G174" s="117">
        <v>4</v>
      </c>
      <c r="H174" s="117">
        <v>3710</v>
      </c>
      <c r="I174" s="117">
        <v>18952</v>
      </c>
      <c r="J174" s="117">
        <v>22662</v>
      </c>
      <c r="K174" s="117">
        <v>1637</v>
      </c>
      <c r="L174" s="107"/>
      <c r="M174" s="110">
        <v>41579</v>
      </c>
      <c r="N174" s="113">
        <f>Treasury!B174-'Check Treasury Past'!B174</f>
        <v>0</v>
      </c>
      <c r="O174" s="113">
        <f>Treasury!C174-'Check Treasury Past'!C174</f>
        <v>0</v>
      </c>
      <c r="P174" s="113">
        <f>Treasury!D174-'Check Treasury Past'!D174</f>
        <v>0</v>
      </c>
      <c r="Q174" s="113">
        <f>Treasury!E174-'Check Treasury Past'!E174</f>
        <v>0</v>
      </c>
      <c r="R174" s="113">
        <f>Treasury!F174-'Check Treasury Past'!F174</f>
        <v>0</v>
      </c>
      <c r="S174" s="113">
        <f>Treasury!G174-'Check Treasury Past'!G174</f>
        <v>0</v>
      </c>
      <c r="T174" s="113">
        <f>Treasury!H174-'Check Treasury Past'!H174</f>
        <v>0</v>
      </c>
      <c r="U174" s="113">
        <f>Treasury!I174-'Check Treasury Past'!I174</f>
        <v>0</v>
      </c>
      <c r="V174" s="113">
        <f>Treasury!J174-'Check Treasury Past'!J174</f>
        <v>0</v>
      </c>
      <c r="W174" s="113">
        <f>Treasury!K174-'Check Treasury Past'!K174</f>
        <v>0</v>
      </c>
      <c r="X174" s="13"/>
      <c r="Y174" s="13"/>
      <c r="Z174" s="13"/>
    </row>
    <row r="175" spans="1:26" s="12" customFormat="1" ht="12.75" customHeight="1" x14ac:dyDescent="0.2">
      <c r="A175" s="110">
        <v>41609</v>
      </c>
      <c r="B175" s="117">
        <v>535</v>
      </c>
      <c r="C175" s="117">
        <v>770</v>
      </c>
      <c r="D175" s="117">
        <v>1305</v>
      </c>
      <c r="E175" s="117">
        <v>739</v>
      </c>
      <c r="F175" s="117">
        <v>1591</v>
      </c>
      <c r="G175" s="117">
        <v>6</v>
      </c>
      <c r="H175" s="117">
        <v>3641</v>
      </c>
      <c r="I175" s="117">
        <v>16257</v>
      </c>
      <c r="J175" s="117">
        <v>19898</v>
      </c>
      <c r="K175" s="117">
        <v>1621</v>
      </c>
      <c r="L175" s="107"/>
      <c r="M175" s="110">
        <v>41609</v>
      </c>
      <c r="N175" s="113">
        <f>Treasury!B175-'Check Treasury Past'!B175</f>
        <v>0</v>
      </c>
      <c r="O175" s="113">
        <f>Treasury!C175-'Check Treasury Past'!C175</f>
        <v>0</v>
      </c>
      <c r="P175" s="113">
        <f>Treasury!D175-'Check Treasury Past'!D175</f>
        <v>0</v>
      </c>
      <c r="Q175" s="113">
        <f>Treasury!E175-'Check Treasury Past'!E175</f>
        <v>0</v>
      </c>
      <c r="R175" s="113">
        <f>Treasury!F175-'Check Treasury Past'!F175</f>
        <v>0</v>
      </c>
      <c r="S175" s="113">
        <f>Treasury!G175-'Check Treasury Past'!G175</f>
        <v>0</v>
      </c>
      <c r="T175" s="113">
        <f>Treasury!H175-'Check Treasury Past'!H175</f>
        <v>0</v>
      </c>
      <c r="U175" s="113">
        <f>Treasury!I175-'Check Treasury Past'!I175</f>
        <v>0</v>
      </c>
      <c r="V175" s="113">
        <f>Treasury!J175-'Check Treasury Past'!J175</f>
        <v>0</v>
      </c>
      <c r="W175" s="113">
        <f>Treasury!K175-'Check Treasury Past'!K175</f>
        <v>0</v>
      </c>
      <c r="X175" s="13"/>
      <c r="Y175" s="13"/>
      <c r="Z175" s="13"/>
    </row>
    <row r="176" spans="1:26" s="12" customFormat="1" ht="12.75" customHeight="1" x14ac:dyDescent="0.2">
      <c r="A176" s="110">
        <v>41640</v>
      </c>
      <c r="B176" s="117">
        <v>811</v>
      </c>
      <c r="C176" s="117">
        <v>565</v>
      </c>
      <c r="D176" s="117">
        <v>1376</v>
      </c>
      <c r="E176" s="117">
        <v>741</v>
      </c>
      <c r="F176" s="117">
        <v>1577</v>
      </c>
      <c r="G176" s="117">
        <v>4</v>
      </c>
      <c r="H176" s="117">
        <v>3698</v>
      </c>
      <c r="I176" s="117">
        <v>18852</v>
      </c>
      <c r="J176" s="117">
        <v>22550</v>
      </c>
      <c r="K176" s="117">
        <v>1553</v>
      </c>
      <c r="L176" s="107"/>
      <c r="M176" s="110">
        <v>41640</v>
      </c>
      <c r="N176" s="113">
        <f>Treasury!B176-'Check Treasury Past'!B176</f>
        <v>0</v>
      </c>
      <c r="O176" s="113">
        <f>Treasury!C176-'Check Treasury Past'!C176</f>
        <v>0</v>
      </c>
      <c r="P176" s="113">
        <f>Treasury!D176-'Check Treasury Past'!D176</f>
        <v>0</v>
      </c>
      <c r="Q176" s="113">
        <f>Treasury!E176-'Check Treasury Past'!E176</f>
        <v>0</v>
      </c>
      <c r="R176" s="113">
        <f>Treasury!F176-'Check Treasury Past'!F176</f>
        <v>0</v>
      </c>
      <c r="S176" s="113">
        <f>Treasury!G176-'Check Treasury Past'!G176</f>
        <v>0</v>
      </c>
      <c r="T176" s="113">
        <f>Treasury!H176-'Check Treasury Past'!H176</f>
        <v>0</v>
      </c>
      <c r="U176" s="113">
        <f>Treasury!I176-'Check Treasury Past'!I176</f>
        <v>0</v>
      </c>
      <c r="V176" s="113">
        <f>Treasury!J176-'Check Treasury Past'!J176</f>
        <v>0</v>
      </c>
      <c r="W176" s="113">
        <f>Treasury!K176-'Check Treasury Past'!K176</f>
        <v>0</v>
      </c>
      <c r="X176" s="13"/>
      <c r="Y176" s="13"/>
      <c r="Z176" s="13"/>
    </row>
    <row r="177" spans="1:34" s="14" customFormat="1" ht="12.75" customHeight="1" x14ac:dyDescent="0.2">
      <c r="A177" s="110">
        <v>41671</v>
      </c>
      <c r="B177" s="117">
        <v>669</v>
      </c>
      <c r="C177" s="117">
        <v>901</v>
      </c>
      <c r="D177" s="117">
        <v>1570</v>
      </c>
      <c r="E177" s="117">
        <v>720</v>
      </c>
      <c r="F177" s="117">
        <v>1508</v>
      </c>
      <c r="G177" s="117">
        <v>6</v>
      </c>
      <c r="H177" s="117">
        <v>3804</v>
      </c>
      <c r="I177" s="117">
        <v>18001</v>
      </c>
      <c r="J177" s="117">
        <v>21805</v>
      </c>
      <c r="K177" s="117">
        <v>1777</v>
      </c>
      <c r="L177" s="20"/>
      <c r="M177" s="110">
        <v>41671</v>
      </c>
      <c r="N177" s="113">
        <f>Treasury!B177-'Check Treasury Past'!B177</f>
        <v>0</v>
      </c>
      <c r="O177" s="113">
        <f>Treasury!C177-'Check Treasury Past'!C177</f>
        <v>0</v>
      </c>
      <c r="P177" s="113">
        <f>Treasury!D177-'Check Treasury Past'!D177</f>
        <v>0</v>
      </c>
      <c r="Q177" s="113">
        <f>Treasury!E177-'Check Treasury Past'!E177</f>
        <v>0</v>
      </c>
      <c r="R177" s="113">
        <f>Treasury!F177-'Check Treasury Past'!F177</f>
        <v>0</v>
      </c>
      <c r="S177" s="113">
        <f>Treasury!G177-'Check Treasury Past'!G177</f>
        <v>0</v>
      </c>
      <c r="T177" s="113">
        <f>Treasury!H177-'Check Treasury Past'!H177</f>
        <v>0</v>
      </c>
      <c r="U177" s="113">
        <f>Treasury!I177-'Check Treasury Past'!I177</f>
        <v>0</v>
      </c>
      <c r="V177" s="113">
        <f>Treasury!J177-'Check Treasury Past'!J177</f>
        <v>0</v>
      </c>
      <c r="W177" s="113">
        <f>Treasury!K177-'Check Treasury Past'!K177</f>
        <v>0</v>
      </c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</row>
    <row r="178" spans="1:34" s="14" customFormat="1" ht="12.75" customHeight="1" x14ac:dyDescent="0.2">
      <c r="A178" s="110">
        <v>41699</v>
      </c>
      <c r="B178" s="117">
        <v>675</v>
      </c>
      <c r="C178" s="117">
        <v>1046</v>
      </c>
      <c r="D178" s="117">
        <v>1721</v>
      </c>
      <c r="E178" s="117">
        <v>699</v>
      </c>
      <c r="F178" s="117">
        <v>1448</v>
      </c>
      <c r="G178" s="117">
        <v>7</v>
      </c>
      <c r="H178" s="117">
        <v>3875</v>
      </c>
      <c r="I178" s="117">
        <v>17127</v>
      </c>
      <c r="J178" s="117">
        <v>21002</v>
      </c>
      <c r="K178" s="117">
        <v>1977</v>
      </c>
      <c r="L178" s="20"/>
      <c r="M178" s="110">
        <v>41699</v>
      </c>
      <c r="N178" s="113">
        <f>Treasury!B178-'Check Treasury Past'!B178</f>
        <v>0</v>
      </c>
      <c r="O178" s="113">
        <f>Treasury!C178-'Check Treasury Past'!C178</f>
        <v>0</v>
      </c>
      <c r="P178" s="113">
        <f>Treasury!D178-'Check Treasury Past'!D178</f>
        <v>0</v>
      </c>
      <c r="Q178" s="113">
        <f>Treasury!E178-'Check Treasury Past'!E178</f>
        <v>0</v>
      </c>
      <c r="R178" s="113">
        <f>Treasury!F178-'Check Treasury Past'!F178</f>
        <v>0</v>
      </c>
      <c r="S178" s="113">
        <f>Treasury!G178-'Check Treasury Past'!G178</f>
        <v>0</v>
      </c>
      <c r="T178" s="113">
        <f>Treasury!H178-'Check Treasury Past'!H178</f>
        <v>0</v>
      </c>
      <c r="U178" s="113">
        <f>Treasury!I178-'Check Treasury Past'!I178</f>
        <v>0</v>
      </c>
      <c r="V178" s="113">
        <f>Treasury!J178-'Check Treasury Past'!J178</f>
        <v>0</v>
      </c>
      <c r="W178" s="113">
        <f>Treasury!K178-'Check Treasury Past'!K178</f>
        <v>0</v>
      </c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</row>
    <row r="179" spans="1:34" s="14" customFormat="1" ht="12.75" customHeight="1" x14ac:dyDescent="0.2">
      <c r="A179" s="110">
        <v>41730</v>
      </c>
      <c r="B179" s="117">
        <v>886</v>
      </c>
      <c r="C179" s="117">
        <v>933</v>
      </c>
      <c r="D179" s="117">
        <v>1819</v>
      </c>
      <c r="E179" s="117">
        <v>717</v>
      </c>
      <c r="F179" s="117">
        <v>1470</v>
      </c>
      <c r="G179" s="117">
        <v>4</v>
      </c>
      <c r="H179" s="117">
        <v>4010</v>
      </c>
      <c r="I179" s="117">
        <v>15621</v>
      </c>
      <c r="J179" s="117">
        <v>19631</v>
      </c>
      <c r="K179" s="117">
        <v>1768</v>
      </c>
      <c r="L179" s="20"/>
      <c r="M179" s="110">
        <v>41730</v>
      </c>
      <c r="N179" s="113">
        <f>Treasury!B179-'Check Treasury Past'!B179</f>
        <v>0</v>
      </c>
      <c r="O179" s="113">
        <f>Treasury!C179-'Check Treasury Past'!C179</f>
        <v>0</v>
      </c>
      <c r="P179" s="113">
        <f>Treasury!D179-'Check Treasury Past'!D179</f>
        <v>0</v>
      </c>
      <c r="Q179" s="113">
        <f>Treasury!E179-'Check Treasury Past'!E179</f>
        <v>0</v>
      </c>
      <c r="R179" s="113">
        <f>Treasury!F179-'Check Treasury Past'!F179</f>
        <v>0</v>
      </c>
      <c r="S179" s="113">
        <f>Treasury!G179-'Check Treasury Past'!G179</f>
        <v>0</v>
      </c>
      <c r="T179" s="113">
        <f>Treasury!H179-'Check Treasury Past'!H179</f>
        <v>0</v>
      </c>
      <c r="U179" s="113">
        <f>Treasury!I179-'Check Treasury Past'!I179</f>
        <v>0</v>
      </c>
      <c r="V179" s="113">
        <f>Treasury!J179-'Check Treasury Past'!J179</f>
        <v>0</v>
      </c>
      <c r="W179" s="113">
        <f>Treasury!K179-'Check Treasury Past'!K179</f>
        <v>0</v>
      </c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</row>
    <row r="180" spans="1:34" s="14" customFormat="1" ht="12.75" customHeight="1" x14ac:dyDescent="0.2">
      <c r="A180" s="110">
        <v>41760</v>
      </c>
      <c r="B180" s="117">
        <v>1136</v>
      </c>
      <c r="C180" s="117">
        <v>852</v>
      </c>
      <c r="D180" s="117">
        <v>1988</v>
      </c>
      <c r="E180" s="117">
        <v>722</v>
      </c>
      <c r="F180" s="117">
        <v>1472</v>
      </c>
      <c r="G180" s="117">
        <v>1</v>
      </c>
      <c r="H180" s="117">
        <v>4183</v>
      </c>
      <c r="I180" s="117">
        <v>17169</v>
      </c>
      <c r="J180" s="117">
        <v>21352</v>
      </c>
      <c r="K180" s="117">
        <v>1661</v>
      </c>
      <c r="L180" s="20"/>
      <c r="M180" s="110">
        <v>41760</v>
      </c>
      <c r="N180" s="113">
        <f>Treasury!B180-'Check Treasury Past'!B180</f>
        <v>0</v>
      </c>
      <c r="O180" s="113">
        <f>Treasury!C180-'Check Treasury Past'!C180</f>
        <v>0</v>
      </c>
      <c r="P180" s="113">
        <f>Treasury!D180-'Check Treasury Past'!D180</f>
        <v>0</v>
      </c>
      <c r="Q180" s="113">
        <f>Treasury!E180-'Check Treasury Past'!E180</f>
        <v>0</v>
      </c>
      <c r="R180" s="113">
        <f>Treasury!F180-'Check Treasury Past'!F180</f>
        <v>0</v>
      </c>
      <c r="S180" s="113">
        <f>Treasury!G180-'Check Treasury Past'!G180</f>
        <v>0</v>
      </c>
      <c r="T180" s="113">
        <f>Treasury!H180-'Check Treasury Past'!H180</f>
        <v>0</v>
      </c>
      <c r="U180" s="113">
        <f>Treasury!I180-'Check Treasury Past'!I180</f>
        <v>0</v>
      </c>
      <c r="V180" s="113">
        <f>Treasury!J180-'Check Treasury Past'!J180</f>
        <v>0</v>
      </c>
      <c r="W180" s="113">
        <f>Treasury!K180-'Check Treasury Past'!K180</f>
        <v>0</v>
      </c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</row>
    <row r="181" spans="1:34" s="14" customFormat="1" ht="12.75" customHeight="1" x14ac:dyDescent="0.2">
      <c r="A181" s="110">
        <v>41791</v>
      </c>
      <c r="B181" s="117">
        <v>1023</v>
      </c>
      <c r="C181" s="117">
        <v>977</v>
      </c>
      <c r="D181" s="117">
        <v>2000</v>
      </c>
      <c r="E181" s="117">
        <v>703</v>
      </c>
      <c r="F181" s="117">
        <v>1433</v>
      </c>
      <c r="G181" s="117">
        <v>0</v>
      </c>
      <c r="H181" s="117">
        <v>4136</v>
      </c>
      <c r="I181" s="117">
        <v>16940</v>
      </c>
      <c r="J181" s="117">
        <v>21076</v>
      </c>
      <c r="K181" s="117">
        <v>1914</v>
      </c>
      <c r="L181" s="20"/>
      <c r="M181" s="110">
        <v>41791</v>
      </c>
      <c r="N181" s="113">
        <f>Treasury!B181-'Check Treasury Past'!B181</f>
        <v>0</v>
      </c>
      <c r="O181" s="113">
        <f>Treasury!C181-'Check Treasury Past'!C181</f>
        <v>0</v>
      </c>
      <c r="P181" s="113">
        <f>Treasury!D181-'Check Treasury Past'!D181</f>
        <v>0</v>
      </c>
      <c r="Q181" s="113">
        <f>Treasury!E181-'Check Treasury Past'!E181</f>
        <v>0</v>
      </c>
      <c r="R181" s="113">
        <f>Treasury!F181-'Check Treasury Past'!F181</f>
        <v>0</v>
      </c>
      <c r="S181" s="113">
        <f>Treasury!G181-'Check Treasury Past'!G181</f>
        <v>0</v>
      </c>
      <c r="T181" s="113">
        <f>Treasury!H181-'Check Treasury Past'!H181</f>
        <v>0</v>
      </c>
      <c r="U181" s="113">
        <f>Treasury!I181-'Check Treasury Past'!I181</f>
        <v>0</v>
      </c>
      <c r="V181" s="113">
        <f>Treasury!J181-'Check Treasury Past'!J181</f>
        <v>0</v>
      </c>
      <c r="W181" s="113">
        <f>Treasury!K181-'Check Treasury Past'!K181</f>
        <v>0</v>
      </c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</row>
    <row r="182" spans="1:34" s="14" customFormat="1" ht="12.75" customHeight="1" x14ac:dyDescent="0.2">
      <c r="A182" s="110">
        <v>41821</v>
      </c>
      <c r="B182" s="117">
        <v>1274</v>
      </c>
      <c r="C182" s="117">
        <v>818</v>
      </c>
      <c r="D182" s="117">
        <v>2092</v>
      </c>
      <c r="E182" s="117">
        <v>716</v>
      </c>
      <c r="F182" s="117">
        <v>1458</v>
      </c>
      <c r="G182" s="117">
        <v>0</v>
      </c>
      <c r="H182" s="117">
        <v>4266</v>
      </c>
      <c r="I182" s="117">
        <v>16313</v>
      </c>
      <c r="J182" s="117">
        <v>20579</v>
      </c>
      <c r="K182" s="117">
        <v>1387</v>
      </c>
      <c r="L182" s="20"/>
      <c r="M182" s="110">
        <v>41821</v>
      </c>
      <c r="N182" s="113">
        <f>Treasury!B182-'Check Treasury Past'!B182</f>
        <v>0</v>
      </c>
      <c r="O182" s="113">
        <f>Treasury!C182-'Check Treasury Past'!C182</f>
        <v>0</v>
      </c>
      <c r="P182" s="113">
        <f>Treasury!D182-'Check Treasury Past'!D182</f>
        <v>0</v>
      </c>
      <c r="Q182" s="113">
        <f>Treasury!E182-'Check Treasury Past'!E182</f>
        <v>0</v>
      </c>
      <c r="R182" s="113">
        <f>Treasury!F182-'Check Treasury Past'!F182</f>
        <v>0</v>
      </c>
      <c r="S182" s="113">
        <f>Treasury!G182-'Check Treasury Past'!G182</f>
        <v>0</v>
      </c>
      <c r="T182" s="113">
        <f>Treasury!H182-'Check Treasury Past'!H182</f>
        <v>0</v>
      </c>
      <c r="U182" s="113">
        <f>Treasury!I182-'Check Treasury Past'!I182</f>
        <v>0</v>
      </c>
      <c r="V182" s="113">
        <f>Treasury!J182-'Check Treasury Past'!J182</f>
        <v>0</v>
      </c>
      <c r="W182" s="113">
        <f>Treasury!K182-'Check Treasury Past'!K182</f>
        <v>0</v>
      </c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</row>
    <row r="183" spans="1:34" s="14" customFormat="1" ht="12.75" customHeight="1" x14ac:dyDescent="0.2">
      <c r="A183" s="110">
        <v>41852</v>
      </c>
      <c r="B183" s="117">
        <v>1174</v>
      </c>
      <c r="C183" s="117">
        <v>692</v>
      </c>
      <c r="D183" s="117">
        <v>1866</v>
      </c>
      <c r="E183" s="117">
        <v>717</v>
      </c>
      <c r="F183" s="117">
        <v>1680</v>
      </c>
      <c r="G183" s="117">
        <v>0</v>
      </c>
      <c r="H183" s="117">
        <v>4263</v>
      </c>
      <c r="I183" s="117">
        <v>18224</v>
      </c>
      <c r="J183" s="117">
        <v>22487</v>
      </c>
      <c r="K183" s="117">
        <v>1289</v>
      </c>
      <c r="L183" s="20"/>
      <c r="M183" s="110">
        <v>41852</v>
      </c>
      <c r="N183" s="113">
        <f>Treasury!B183-'Check Treasury Past'!B183</f>
        <v>0</v>
      </c>
      <c r="O183" s="113">
        <f>Treasury!C183-'Check Treasury Past'!C183</f>
        <v>0</v>
      </c>
      <c r="P183" s="113">
        <f>Treasury!D183-'Check Treasury Past'!D183</f>
        <v>0</v>
      </c>
      <c r="Q183" s="113">
        <f>Treasury!E183-'Check Treasury Past'!E183</f>
        <v>0</v>
      </c>
      <c r="R183" s="113">
        <f>Treasury!F183-'Check Treasury Past'!F183</f>
        <v>0</v>
      </c>
      <c r="S183" s="113">
        <f>Treasury!G183-'Check Treasury Past'!G183</f>
        <v>0</v>
      </c>
      <c r="T183" s="113">
        <f>Treasury!H183-'Check Treasury Past'!H183</f>
        <v>0</v>
      </c>
      <c r="U183" s="113">
        <f>Treasury!I183-'Check Treasury Past'!I183</f>
        <v>0</v>
      </c>
      <c r="V183" s="113">
        <f>Treasury!J183-'Check Treasury Past'!J183</f>
        <v>0</v>
      </c>
      <c r="W183" s="113">
        <f>Treasury!K183-'Check Treasury Past'!K183</f>
        <v>0</v>
      </c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</row>
    <row r="184" spans="1:34" s="14" customFormat="1" ht="12.75" customHeight="1" x14ac:dyDescent="0.2">
      <c r="A184" s="110">
        <v>41883</v>
      </c>
      <c r="B184" s="117">
        <v>1305</v>
      </c>
      <c r="C184" s="117">
        <v>642</v>
      </c>
      <c r="D184" s="117">
        <v>1947</v>
      </c>
      <c r="E184" s="117">
        <v>774</v>
      </c>
      <c r="F184" s="117">
        <v>1777</v>
      </c>
      <c r="G184" s="117">
        <v>0</v>
      </c>
      <c r="H184" s="117">
        <v>4498</v>
      </c>
      <c r="I184" s="117">
        <v>18592</v>
      </c>
      <c r="J184" s="117">
        <v>23090</v>
      </c>
      <c r="K184" s="117">
        <v>881</v>
      </c>
      <c r="L184" s="20"/>
      <c r="M184" s="110">
        <v>41883</v>
      </c>
      <c r="N184" s="113">
        <f>Treasury!B184-'Check Treasury Past'!B184</f>
        <v>0</v>
      </c>
      <c r="O184" s="113">
        <f>Treasury!C184-'Check Treasury Past'!C184</f>
        <v>0</v>
      </c>
      <c r="P184" s="113">
        <f>Treasury!D184-'Check Treasury Past'!D184</f>
        <v>0</v>
      </c>
      <c r="Q184" s="113">
        <f>Treasury!E184-'Check Treasury Past'!E184</f>
        <v>0</v>
      </c>
      <c r="R184" s="113">
        <f>Treasury!F184-'Check Treasury Past'!F184</f>
        <v>0</v>
      </c>
      <c r="S184" s="113">
        <f>Treasury!G184-'Check Treasury Past'!G184</f>
        <v>0</v>
      </c>
      <c r="T184" s="113">
        <f>Treasury!H184-'Check Treasury Past'!H184</f>
        <v>0</v>
      </c>
      <c r="U184" s="113">
        <f>Treasury!I184-'Check Treasury Past'!I184</f>
        <v>0</v>
      </c>
      <c r="V184" s="113">
        <f>Treasury!J184-'Check Treasury Past'!J184</f>
        <v>0</v>
      </c>
      <c r="W184" s="113">
        <f>Treasury!K184-'Check Treasury Past'!K184</f>
        <v>0</v>
      </c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</row>
    <row r="185" spans="1:34" s="14" customFormat="1" ht="12.75" customHeight="1" x14ac:dyDescent="0.2">
      <c r="A185" s="110">
        <v>41913</v>
      </c>
      <c r="B185" s="117">
        <v>1178</v>
      </c>
      <c r="C185" s="117">
        <v>720</v>
      </c>
      <c r="D185" s="117">
        <v>1898</v>
      </c>
      <c r="E185" s="117">
        <v>755</v>
      </c>
      <c r="F185" s="117">
        <v>1752</v>
      </c>
      <c r="G185" s="117">
        <v>0</v>
      </c>
      <c r="H185" s="117">
        <v>4405</v>
      </c>
      <c r="I185" s="117">
        <v>18919</v>
      </c>
      <c r="J185" s="117">
        <v>23324</v>
      </c>
      <c r="K185" s="117">
        <v>696</v>
      </c>
      <c r="L185" s="20"/>
      <c r="M185" s="110">
        <v>41913</v>
      </c>
      <c r="N185" s="113">
        <f>Treasury!B185-'Check Treasury Past'!B185</f>
        <v>0</v>
      </c>
      <c r="O185" s="113">
        <f>Treasury!C185-'Check Treasury Past'!C185</f>
        <v>0</v>
      </c>
      <c r="P185" s="113">
        <f>Treasury!D185-'Check Treasury Past'!D185</f>
        <v>0</v>
      </c>
      <c r="Q185" s="113">
        <f>Treasury!E185-'Check Treasury Past'!E185</f>
        <v>0</v>
      </c>
      <c r="R185" s="113">
        <f>Treasury!F185-'Check Treasury Past'!F185</f>
        <v>0</v>
      </c>
      <c r="S185" s="113">
        <f>Treasury!G185-'Check Treasury Past'!G185</f>
        <v>0</v>
      </c>
      <c r="T185" s="113">
        <f>Treasury!H185-'Check Treasury Past'!H185</f>
        <v>0</v>
      </c>
      <c r="U185" s="113">
        <f>Treasury!I185-'Check Treasury Past'!I185</f>
        <v>0</v>
      </c>
      <c r="V185" s="113">
        <f>Treasury!J185-'Check Treasury Past'!J185</f>
        <v>0</v>
      </c>
      <c r="W185" s="113">
        <f>Treasury!K185-'Check Treasury Past'!K185</f>
        <v>0</v>
      </c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</row>
    <row r="186" spans="1:34" s="14" customFormat="1" ht="12.75" customHeight="1" x14ac:dyDescent="0.2">
      <c r="A186" s="110">
        <v>41944</v>
      </c>
      <c r="B186" s="117">
        <v>1080</v>
      </c>
      <c r="C186" s="117">
        <v>724</v>
      </c>
      <c r="D186" s="117">
        <v>1804</v>
      </c>
      <c r="E186" s="117">
        <v>743</v>
      </c>
      <c r="F186" s="117">
        <v>1718</v>
      </c>
      <c r="G186" s="117">
        <v>0</v>
      </c>
      <c r="H186" s="117">
        <v>4265</v>
      </c>
      <c r="I186" s="117">
        <v>18938</v>
      </c>
      <c r="J186" s="117">
        <v>23203</v>
      </c>
      <c r="K186" s="117">
        <v>825</v>
      </c>
      <c r="L186" s="20"/>
      <c r="M186" s="110">
        <v>41944</v>
      </c>
      <c r="N186" s="113">
        <f>Treasury!B186-'Check Treasury Past'!B186</f>
        <v>0</v>
      </c>
      <c r="O186" s="113">
        <f>Treasury!C186-'Check Treasury Past'!C186</f>
        <v>0</v>
      </c>
      <c r="P186" s="113">
        <f>Treasury!D186-'Check Treasury Past'!D186</f>
        <v>0</v>
      </c>
      <c r="Q186" s="113">
        <f>Treasury!E186-'Check Treasury Past'!E186</f>
        <v>0</v>
      </c>
      <c r="R186" s="113">
        <f>Treasury!F186-'Check Treasury Past'!F186</f>
        <v>0</v>
      </c>
      <c r="S186" s="113">
        <f>Treasury!G186-'Check Treasury Past'!G186</f>
        <v>0</v>
      </c>
      <c r="T186" s="113">
        <f>Treasury!H186-'Check Treasury Past'!H186</f>
        <v>0</v>
      </c>
      <c r="U186" s="113">
        <f>Treasury!I186-'Check Treasury Past'!I186</f>
        <v>0</v>
      </c>
      <c r="V186" s="113">
        <f>Treasury!J186-'Check Treasury Past'!J186</f>
        <v>0</v>
      </c>
      <c r="W186" s="113">
        <f>Treasury!K186-'Check Treasury Past'!K186</f>
        <v>0</v>
      </c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</row>
    <row r="187" spans="1:34" s="14" customFormat="1" ht="12.75" customHeight="1" x14ac:dyDescent="0.2">
      <c r="A187" s="110">
        <v>41974</v>
      </c>
      <c r="B187" s="117">
        <v>966</v>
      </c>
      <c r="C187" s="117">
        <v>877</v>
      </c>
      <c r="D187" s="117">
        <v>1843</v>
      </c>
      <c r="E187" s="117">
        <v>667</v>
      </c>
      <c r="F187" s="117">
        <v>1620</v>
      </c>
      <c r="G187" s="117">
        <v>0</v>
      </c>
      <c r="H187" s="117">
        <v>4130</v>
      </c>
      <c r="I187" s="117">
        <v>16129</v>
      </c>
      <c r="J187" s="117">
        <v>20259</v>
      </c>
      <c r="K187" s="117">
        <v>800</v>
      </c>
      <c r="L187" s="20"/>
      <c r="M187" s="110">
        <v>41974</v>
      </c>
      <c r="N187" s="113">
        <f>Treasury!B187-'Check Treasury Past'!B187</f>
        <v>0</v>
      </c>
      <c r="O187" s="113">
        <f>Treasury!C187-'Check Treasury Past'!C187</f>
        <v>0</v>
      </c>
      <c r="P187" s="113">
        <f>Treasury!D187-'Check Treasury Past'!D187</f>
        <v>0</v>
      </c>
      <c r="Q187" s="113">
        <f>Treasury!E187-'Check Treasury Past'!E187</f>
        <v>0</v>
      </c>
      <c r="R187" s="113">
        <f>Treasury!F187-'Check Treasury Past'!F187</f>
        <v>0</v>
      </c>
      <c r="S187" s="113">
        <f>Treasury!G187-'Check Treasury Past'!G187</f>
        <v>0</v>
      </c>
      <c r="T187" s="113">
        <f>Treasury!H187-'Check Treasury Past'!H187</f>
        <v>0</v>
      </c>
      <c r="U187" s="113">
        <f>Treasury!I187-'Check Treasury Past'!I187</f>
        <v>0</v>
      </c>
      <c r="V187" s="113">
        <f>Treasury!J187-'Check Treasury Past'!J187</f>
        <v>0</v>
      </c>
      <c r="W187" s="113">
        <f>Treasury!K187-'Check Treasury Past'!K187</f>
        <v>0</v>
      </c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</row>
    <row r="188" spans="1:34" s="14" customFormat="1" ht="12.75" customHeight="1" x14ac:dyDescent="0.2">
      <c r="A188" s="110">
        <v>42005</v>
      </c>
      <c r="B188" s="117">
        <v>939</v>
      </c>
      <c r="C188" s="117">
        <v>819</v>
      </c>
      <c r="D188" s="117">
        <v>1758</v>
      </c>
      <c r="E188" s="117">
        <v>692</v>
      </c>
      <c r="F188" s="117">
        <v>1696</v>
      </c>
      <c r="G188" s="117">
        <v>0</v>
      </c>
      <c r="H188" s="117">
        <v>4146</v>
      </c>
      <c r="I188" s="117">
        <v>21141</v>
      </c>
      <c r="J188" s="117">
        <v>25287</v>
      </c>
      <c r="K188" s="117">
        <v>508</v>
      </c>
      <c r="L188" s="20"/>
      <c r="M188" s="110">
        <v>42005</v>
      </c>
      <c r="N188" s="113">
        <f>Treasury!B188-'Check Treasury Past'!B188</f>
        <v>0</v>
      </c>
      <c r="O188" s="113">
        <f>Treasury!C188-'Check Treasury Past'!C188</f>
        <v>0</v>
      </c>
      <c r="P188" s="113">
        <f>Treasury!D188-'Check Treasury Past'!D188</f>
        <v>0</v>
      </c>
      <c r="Q188" s="113">
        <f>Treasury!E188-'Check Treasury Past'!E188</f>
        <v>0</v>
      </c>
      <c r="R188" s="113">
        <f>Treasury!F188-'Check Treasury Past'!F188</f>
        <v>0</v>
      </c>
      <c r="S188" s="113">
        <f>Treasury!G188-'Check Treasury Past'!G188</f>
        <v>0</v>
      </c>
      <c r="T188" s="113">
        <f>Treasury!H188-'Check Treasury Past'!H188</f>
        <v>0</v>
      </c>
      <c r="U188" s="113">
        <f>Treasury!I188-'Check Treasury Past'!I188</f>
        <v>0</v>
      </c>
      <c r="V188" s="113">
        <f>Treasury!J188-'Check Treasury Past'!J188</f>
        <v>0</v>
      </c>
      <c r="W188" s="113">
        <f>Treasury!K188-'Check Treasury Past'!K188</f>
        <v>0</v>
      </c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</row>
    <row r="189" spans="1:34" s="14" customFormat="1" ht="12.75" customHeight="1" x14ac:dyDescent="0.2">
      <c r="A189" s="110">
        <v>42036</v>
      </c>
      <c r="B189" s="117">
        <v>874</v>
      </c>
      <c r="C189" s="117">
        <v>764</v>
      </c>
      <c r="D189" s="117">
        <v>1638</v>
      </c>
      <c r="E189" s="117">
        <v>626</v>
      </c>
      <c r="F189" s="117">
        <v>1589</v>
      </c>
      <c r="G189" s="117">
        <v>0</v>
      </c>
      <c r="H189" s="117">
        <v>3853</v>
      </c>
      <c r="I189" s="117">
        <v>20684</v>
      </c>
      <c r="J189" s="117">
        <v>24537</v>
      </c>
      <c r="K189" s="117">
        <v>752</v>
      </c>
      <c r="L189" s="20"/>
      <c r="M189" s="110">
        <v>42036</v>
      </c>
      <c r="N189" s="113">
        <f>Treasury!B189-'Check Treasury Past'!B189</f>
        <v>0</v>
      </c>
      <c r="O189" s="113">
        <f>Treasury!C189-'Check Treasury Past'!C189</f>
        <v>0</v>
      </c>
      <c r="P189" s="113">
        <f>Treasury!D189-'Check Treasury Past'!D189</f>
        <v>0</v>
      </c>
      <c r="Q189" s="113">
        <f>Treasury!E189-'Check Treasury Past'!E189</f>
        <v>0</v>
      </c>
      <c r="R189" s="113">
        <f>Treasury!F189-'Check Treasury Past'!F189</f>
        <v>0</v>
      </c>
      <c r="S189" s="113">
        <f>Treasury!G189-'Check Treasury Past'!G189</f>
        <v>0</v>
      </c>
      <c r="T189" s="113">
        <f>Treasury!H189-'Check Treasury Past'!H189</f>
        <v>0</v>
      </c>
      <c r="U189" s="113">
        <f>Treasury!I189-'Check Treasury Past'!I189</f>
        <v>0</v>
      </c>
      <c r="V189" s="113">
        <f>Treasury!J189-'Check Treasury Past'!J189</f>
        <v>0</v>
      </c>
      <c r="W189" s="113">
        <f>Treasury!K189-'Check Treasury Past'!K189</f>
        <v>0</v>
      </c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</row>
    <row r="190" spans="1:34" s="14" customFormat="1" ht="12.75" customHeight="1" x14ac:dyDescent="0.2">
      <c r="A190" s="110">
        <v>42064</v>
      </c>
      <c r="B190" s="117">
        <v>613</v>
      </c>
      <c r="C190" s="117">
        <v>1150</v>
      </c>
      <c r="D190" s="117">
        <v>1763</v>
      </c>
      <c r="E190" s="117">
        <v>518</v>
      </c>
      <c r="F190" s="117">
        <v>1414</v>
      </c>
      <c r="G190" s="117">
        <v>0</v>
      </c>
      <c r="H190" s="117">
        <v>3695</v>
      </c>
      <c r="I190" s="117">
        <v>21017</v>
      </c>
      <c r="J190" s="117">
        <v>24712</v>
      </c>
      <c r="K190" s="117">
        <v>777</v>
      </c>
      <c r="L190" s="20"/>
      <c r="M190" s="89">
        <v>42064</v>
      </c>
      <c r="N190" s="113">
        <f>Treasury!B190-'Check Treasury Past'!B190</f>
        <v>0</v>
      </c>
      <c r="O190" s="113">
        <f>Treasury!C190-'Check Treasury Past'!C190</f>
        <v>0</v>
      </c>
      <c r="P190" s="113">
        <f>Treasury!D190-'Check Treasury Past'!D190</f>
        <v>0</v>
      </c>
      <c r="Q190" s="113">
        <f>Treasury!E190-'Check Treasury Past'!E190</f>
        <v>0</v>
      </c>
      <c r="R190" s="113">
        <f>Treasury!F190-'Check Treasury Past'!F190</f>
        <v>0</v>
      </c>
      <c r="S190" s="113">
        <f>Treasury!G190-'Check Treasury Past'!G190</f>
        <v>0</v>
      </c>
      <c r="T190" s="113">
        <f>Treasury!H190-'Check Treasury Past'!H190</f>
        <v>0</v>
      </c>
      <c r="U190" s="113">
        <f>Treasury!I190-'Check Treasury Past'!I190</f>
        <v>0</v>
      </c>
      <c r="V190" s="113">
        <f>Treasury!J190-'Check Treasury Past'!J190</f>
        <v>0</v>
      </c>
      <c r="W190" s="113">
        <f>Treasury!K190-'Check Treasury Past'!K190</f>
        <v>0</v>
      </c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</row>
    <row r="191" spans="1:34" s="14" customFormat="1" ht="12.75" customHeight="1" x14ac:dyDescent="0.2">
      <c r="A191" s="110">
        <v>42095</v>
      </c>
      <c r="B191" s="117">
        <v>899</v>
      </c>
      <c r="C191" s="117">
        <v>1018</v>
      </c>
      <c r="D191" s="117">
        <v>1917</v>
      </c>
      <c r="E191" s="117">
        <v>518</v>
      </c>
      <c r="F191" s="117">
        <v>1565</v>
      </c>
      <c r="G191" s="117">
        <v>0</v>
      </c>
      <c r="H191" s="117">
        <v>4000</v>
      </c>
      <c r="I191" s="117">
        <v>19393</v>
      </c>
      <c r="J191" s="117">
        <v>23393</v>
      </c>
      <c r="K191" s="117">
        <v>642</v>
      </c>
      <c r="L191" s="20"/>
      <c r="M191" s="89">
        <v>42095</v>
      </c>
      <c r="N191" s="113">
        <f>Treasury!B191-'Check Treasury Past'!B191</f>
        <v>0</v>
      </c>
      <c r="O191" s="113">
        <f>Treasury!C191-'Check Treasury Past'!C191</f>
        <v>0</v>
      </c>
      <c r="P191" s="113">
        <f>Treasury!D191-'Check Treasury Past'!D191</f>
        <v>0</v>
      </c>
      <c r="Q191" s="113">
        <f>Treasury!E191-'Check Treasury Past'!E191</f>
        <v>0</v>
      </c>
      <c r="R191" s="113">
        <f>Treasury!F191-'Check Treasury Past'!F191</f>
        <v>0</v>
      </c>
      <c r="S191" s="113">
        <f>Treasury!G191-'Check Treasury Past'!G191</f>
        <v>0</v>
      </c>
      <c r="T191" s="113">
        <f>Treasury!H191-'Check Treasury Past'!H191</f>
        <v>0</v>
      </c>
      <c r="U191" s="113">
        <f>Treasury!I191-'Check Treasury Past'!I191</f>
        <v>0</v>
      </c>
      <c r="V191" s="113">
        <f>Treasury!J191-'Check Treasury Past'!J191</f>
        <v>0</v>
      </c>
      <c r="W191" s="113">
        <f>Treasury!K191-'Check Treasury Past'!K191</f>
        <v>0</v>
      </c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</row>
    <row r="192" spans="1:34" s="14" customFormat="1" ht="12.75" customHeight="1" x14ac:dyDescent="0.2">
      <c r="A192" s="110">
        <v>42125</v>
      </c>
      <c r="B192" s="117">
        <v>961</v>
      </c>
      <c r="C192" s="117">
        <v>560</v>
      </c>
      <c r="D192" s="117">
        <v>1521</v>
      </c>
      <c r="E192" s="117">
        <v>548</v>
      </c>
      <c r="F192" s="117">
        <v>1626</v>
      </c>
      <c r="G192" s="117">
        <v>0</v>
      </c>
      <c r="H192" s="117">
        <v>3695</v>
      </c>
      <c r="I192" s="117">
        <v>22498</v>
      </c>
      <c r="J192" s="117">
        <v>26193</v>
      </c>
      <c r="K192" s="117">
        <v>246</v>
      </c>
      <c r="L192" s="20"/>
      <c r="M192" s="89">
        <v>42125</v>
      </c>
      <c r="N192" s="113">
        <f>Treasury!B192-'Check Treasury Past'!B192</f>
        <v>0</v>
      </c>
      <c r="O192" s="113">
        <f>Treasury!C192-'Check Treasury Past'!C192</f>
        <v>0</v>
      </c>
      <c r="P192" s="113">
        <f>Treasury!D192-'Check Treasury Past'!D192</f>
        <v>0</v>
      </c>
      <c r="Q192" s="113">
        <f>Treasury!E192-'Check Treasury Past'!E192</f>
        <v>0</v>
      </c>
      <c r="R192" s="113">
        <f>Treasury!F192-'Check Treasury Past'!F192</f>
        <v>0</v>
      </c>
      <c r="S192" s="113">
        <f>Treasury!G192-'Check Treasury Past'!G192</f>
        <v>0</v>
      </c>
      <c r="T192" s="113">
        <f>Treasury!H192-'Check Treasury Past'!H192</f>
        <v>0</v>
      </c>
      <c r="U192" s="113">
        <f>Treasury!I192-'Check Treasury Past'!I192</f>
        <v>0</v>
      </c>
      <c r="V192" s="113">
        <f>Treasury!J192-'Check Treasury Past'!J192</f>
        <v>0</v>
      </c>
      <c r="W192" s="113">
        <f>Treasury!K192-'Check Treasury Past'!K192</f>
        <v>0</v>
      </c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</row>
    <row r="193" spans="1:34" s="14" customFormat="1" ht="12.75" customHeight="1" x14ac:dyDescent="0.2">
      <c r="A193" s="110">
        <v>42156</v>
      </c>
      <c r="B193" s="117">
        <v>1012</v>
      </c>
      <c r="C193" s="117">
        <v>452</v>
      </c>
      <c r="D193" s="117">
        <v>1464</v>
      </c>
      <c r="E193" s="117">
        <v>573</v>
      </c>
      <c r="F193" s="117">
        <v>1669</v>
      </c>
      <c r="G193" s="117">
        <v>0</v>
      </c>
      <c r="H193" s="117">
        <v>3706</v>
      </c>
      <c r="I193" s="117">
        <v>22772</v>
      </c>
      <c r="J193" s="117">
        <v>26478</v>
      </c>
      <c r="K193" s="117">
        <v>3</v>
      </c>
      <c r="L193" s="20"/>
      <c r="M193" s="89">
        <v>42156</v>
      </c>
      <c r="N193" s="113">
        <f>Treasury!B193-'Check Treasury Past'!B193</f>
        <v>0</v>
      </c>
      <c r="O193" s="113">
        <f>Treasury!C193-'Check Treasury Past'!C193</f>
        <v>0</v>
      </c>
      <c r="P193" s="113">
        <f>Treasury!D193-'Check Treasury Past'!D193</f>
        <v>0</v>
      </c>
      <c r="Q193" s="113">
        <f>Treasury!E193-'Check Treasury Past'!E193</f>
        <v>0</v>
      </c>
      <c r="R193" s="113">
        <f>Treasury!F193-'Check Treasury Past'!F193</f>
        <v>0</v>
      </c>
      <c r="S193" s="113">
        <f>Treasury!G193-'Check Treasury Past'!G193</f>
        <v>0</v>
      </c>
      <c r="T193" s="113">
        <f>Treasury!H193-'Check Treasury Past'!H193</f>
        <v>0</v>
      </c>
      <c r="U193" s="113">
        <f>Treasury!I193-'Check Treasury Past'!I193</f>
        <v>0</v>
      </c>
      <c r="V193" s="113">
        <f>Treasury!J193-'Check Treasury Past'!J193</f>
        <v>0</v>
      </c>
      <c r="W193" s="113">
        <f>Treasury!K193-'Check Treasury Past'!K193</f>
        <v>0</v>
      </c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</row>
    <row r="194" spans="1:34" s="14" customFormat="1" ht="12.75" customHeight="1" x14ac:dyDescent="0.2">
      <c r="A194" s="110">
        <v>42186</v>
      </c>
      <c r="B194" s="117">
        <v>1011</v>
      </c>
      <c r="C194" s="117">
        <v>564</v>
      </c>
      <c r="D194" s="117">
        <v>1575</v>
      </c>
      <c r="E194" s="117">
        <v>589</v>
      </c>
      <c r="F194" s="117">
        <v>1708</v>
      </c>
      <c r="G194" s="117">
        <v>0</v>
      </c>
      <c r="H194" s="117">
        <v>3872</v>
      </c>
      <c r="I194" s="117">
        <v>21490</v>
      </c>
      <c r="J194" s="117">
        <v>25362</v>
      </c>
      <c r="K194" s="117">
        <v>-48</v>
      </c>
      <c r="L194" s="20"/>
      <c r="M194" s="89">
        <v>42186</v>
      </c>
      <c r="N194" s="113">
        <f>Treasury!B194-'Check Treasury Past'!B194</f>
        <v>0</v>
      </c>
      <c r="O194" s="113">
        <f>Treasury!C194-'Check Treasury Past'!C194</f>
        <v>0</v>
      </c>
      <c r="P194" s="113">
        <f>Treasury!D194-'Check Treasury Past'!D194</f>
        <v>0</v>
      </c>
      <c r="Q194" s="113">
        <f>Treasury!E194-'Check Treasury Past'!E194</f>
        <v>0</v>
      </c>
      <c r="R194" s="113">
        <f>Treasury!F194-'Check Treasury Past'!F194</f>
        <v>0</v>
      </c>
      <c r="S194" s="113">
        <f>Treasury!G194-'Check Treasury Past'!G194</f>
        <v>0</v>
      </c>
      <c r="T194" s="113">
        <f>Treasury!H194-'Check Treasury Past'!H194</f>
        <v>0</v>
      </c>
      <c r="U194" s="113">
        <f>Treasury!I194-'Check Treasury Past'!I194</f>
        <v>0</v>
      </c>
      <c r="V194" s="113">
        <f>Treasury!J194-'Check Treasury Past'!J194</f>
        <v>0</v>
      </c>
      <c r="W194" s="113">
        <f>Treasury!K194-'Check Treasury Past'!K194</f>
        <v>0</v>
      </c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</row>
    <row r="195" spans="1:34" s="14" customFormat="1" ht="12.75" customHeight="1" x14ac:dyDescent="0.2">
      <c r="A195" s="110">
        <v>42217</v>
      </c>
      <c r="B195" s="117">
        <v>994</v>
      </c>
      <c r="C195" s="117">
        <v>578</v>
      </c>
      <c r="D195" s="117">
        <v>1572</v>
      </c>
      <c r="E195" s="117">
        <v>614</v>
      </c>
      <c r="F195" s="117">
        <v>1758</v>
      </c>
      <c r="G195" s="117">
        <v>0</v>
      </c>
      <c r="H195" s="117">
        <v>3944</v>
      </c>
      <c r="I195" s="117">
        <v>22576</v>
      </c>
      <c r="J195" s="117">
        <v>26520</v>
      </c>
      <c r="K195" s="117">
        <v>-147</v>
      </c>
      <c r="L195" s="20"/>
      <c r="M195" s="89">
        <v>42217</v>
      </c>
      <c r="N195" s="113">
        <f>Treasury!B195-'Check Treasury Past'!B195</f>
        <v>0</v>
      </c>
      <c r="O195" s="113">
        <f>Treasury!C195-'Check Treasury Past'!C195</f>
        <v>0</v>
      </c>
      <c r="P195" s="113">
        <f>Treasury!D195-'Check Treasury Past'!D195</f>
        <v>0</v>
      </c>
      <c r="Q195" s="113">
        <f>Treasury!E195-'Check Treasury Past'!E195</f>
        <v>0</v>
      </c>
      <c r="R195" s="113">
        <f>Treasury!F195-'Check Treasury Past'!F195</f>
        <v>0</v>
      </c>
      <c r="S195" s="113">
        <f>Treasury!G195-'Check Treasury Past'!G195</f>
        <v>0</v>
      </c>
      <c r="T195" s="113">
        <f>Treasury!H195-'Check Treasury Past'!H195</f>
        <v>0</v>
      </c>
      <c r="U195" s="113">
        <f>Treasury!I195-'Check Treasury Past'!I195</f>
        <v>0</v>
      </c>
      <c r="V195" s="113">
        <f>Treasury!J195-'Check Treasury Past'!J195</f>
        <v>0</v>
      </c>
      <c r="W195" s="113">
        <f>Treasury!K195-'Check Treasury Past'!K195</f>
        <v>0</v>
      </c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</row>
    <row r="196" spans="1:34" s="14" customFormat="1" ht="12.75" customHeight="1" x14ac:dyDescent="0.2">
      <c r="A196" s="110">
        <v>42248</v>
      </c>
      <c r="B196" s="117">
        <v>1915</v>
      </c>
      <c r="C196" s="117">
        <v>624</v>
      </c>
      <c r="D196" s="117">
        <v>2539</v>
      </c>
      <c r="E196" s="117">
        <v>616</v>
      </c>
      <c r="F196" s="117">
        <v>1956</v>
      </c>
      <c r="G196" s="117">
        <v>0</v>
      </c>
      <c r="H196" s="117">
        <v>5111</v>
      </c>
      <c r="I196" s="117">
        <v>18307</v>
      </c>
      <c r="J196" s="117">
        <v>23418</v>
      </c>
      <c r="K196" s="117">
        <v>-62</v>
      </c>
      <c r="L196" s="20"/>
      <c r="M196" s="89">
        <v>42248</v>
      </c>
      <c r="N196" s="113">
        <f>Treasury!B196-'Check Treasury Past'!B196</f>
        <v>0</v>
      </c>
      <c r="O196" s="113">
        <f>Treasury!C196-'Check Treasury Past'!C196</f>
        <v>0</v>
      </c>
      <c r="P196" s="113">
        <f>Treasury!D196-'Check Treasury Past'!D196</f>
        <v>0</v>
      </c>
      <c r="Q196" s="113">
        <f>Treasury!E196-'Check Treasury Past'!E196</f>
        <v>0</v>
      </c>
      <c r="R196" s="113">
        <f>Treasury!F196-'Check Treasury Past'!F196</f>
        <v>0</v>
      </c>
      <c r="S196" s="113">
        <f>Treasury!G196-'Check Treasury Past'!G196</f>
        <v>0</v>
      </c>
      <c r="T196" s="113">
        <f>Treasury!H196-'Check Treasury Past'!H196</f>
        <v>0</v>
      </c>
      <c r="U196" s="113">
        <f>Treasury!I196-'Check Treasury Past'!I196</f>
        <v>0</v>
      </c>
      <c r="V196" s="113">
        <f>Treasury!J196-'Check Treasury Past'!J196</f>
        <v>0</v>
      </c>
      <c r="W196" s="113">
        <f>Treasury!K196-'Check Treasury Past'!K196</f>
        <v>0</v>
      </c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</row>
    <row r="197" spans="1:34" s="14" customFormat="1" ht="12.75" customHeight="1" x14ac:dyDescent="0.2">
      <c r="A197" s="110">
        <v>42278</v>
      </c>
      <c r="B197" s="117">
        <v>2000</v>
      </c>
      <c r="C197" s="117">
        <v>665</v>
      </c>
      <c r="D197" s="117">
        <v>2665</v>
      </c>
      <c r="E197" s="117">
        <v>580</v>
      </c>
      <c r="F197" s="117">
        <v>1838</v>
      </c>
      <c r="G197" s="117">
        <v>0</v>
      </c>
      <c r="H197" s="117">
        <v>5083</v>
      </c>
      <c r="I197" s="117">
        <v>18116</v>
      </c>
      <c r="J197" s="117">
        <v>23199</v>
      </c>
      <c r="K197" s="117">
        <v>123</v>
      </c>
      <c r="L197" s="20"/>
      <c r="M197" s="89">
        <v>42278</v>
      </c>
      <c r="N197" s="113">
        <f>Treasury!B197-'Check Treasury Past'!B197</f>
        <v>0</v>
      </c>
      <c r="O197" s="113">
        <f>Treasury!C197-'Check Treasury Past'!C197</f>
        <v>0</v>
      </c>
      <c r="P197" s="113">
        <f>Treasury!D197-'Check Treasury Past'!D197</f>
        <v>0</v>
      </c>
      <c r="Q197" s="113">
        <f>Treasury!E197-'Check Treasury Past'!E197</f>
        <v>0</v>
      </c>
      <c r="R197" s="113">
        <f>Treasury!F197-'Check Treasury Past'!F197</f>
        <v>0</v>
      </c>
      <c r="S197" s="113">
        <f>Treasury!G197-'Check Treasury Past'!G197</f>
        <v>0</v>
      </c>
      <c r="T197" s="113">
        <f>Treasury!H197-'Check Treasury Past'!H197</f>
        <v>0</v>
      </c>
      <c r="U197" s="113">
        <f>Treasury!I197-'Check Treasury Past'!I197</f>
        <v>0</v>
      </c>
      <c r="V197" s="113">
        <f>Treasury!J197-'Check Treasury Past'!J197</f>
        <v>0</v>
      </c>
      <c r="W197" s="113">
        <f>Treasury!K197-'Check Treasury Past'!K197</f>
        <v>0</v>
      </c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</row>
    <row r="198" spans="1:34" s="14" customFormat="1" ht="12.75" customHeight="1" x14ac:dyDescent="0.2">
      <c r="A198" s="110">
        <v>42309</v>
      </c>
      <c r="B198" s="117">
        <v>2294</v>
      </c>
      <c r="C198" s="117">
        <v>708</v>
      </c>
      <c r="D198" s="117">
        <v>3002</v>
      </c>
      <c r="E198" s="117">
        <v>590</v>
      </c>
      <c r="F198" s="117">
        <v>1868</v>
      </c>
      <c r="G198" s="117">
        <v>0</v>
      </c>
      <c r="H198" s="117">
        <v>5460</v>
      </c>
      <c r="I198" s="117">
        <v>19351</v>
      </c>
      <c r="J198" s="117">
        <v>24811</v>
      </c>
      <c r="K198" s="117">
        <v>81</v>
      </c>
      <c r="L198" s="20"/>
      <c r="M198" s="89">
        <v>42309</v>
      </c>
      <c r="N198" s="113">
        <f>Treasury!B198-'Check Treasury Past'!B198</f>
        <v>0</v>
      </c>
      <c r="O198" s="113">
        <f>Treasury!C198-'Check Treasury Past'!C198</f>
        <v>0</v>
      </c>
      <c r="P198" s="113">
        <f>Treasury!D198-'Check Treasury Past'!D198</f>
        <v>0</v>
      </c>
      <c r="Q198" s="113">
        <f>Treasury!E198-'Check Treasury Past'!E198</f>
        <v>0</v>
      </c>
      <c r="R198" s="113">
        <f>Treasury!F198-'Check Treasury Past'!F198</f>
        <v>0</v>
      </c>
      <c r="S198" s="113">
        <f>Treasury!G198-'Check Treasury Past'!G198</f>
        <v>0</v>
      </c>
      <c r="T198" s="113">
        <f>Treasury!H198-'Check Treasury Past'!H198</f>
        <v>0</v>
      </c>
      <c r="U198" s="113">
        <f>Treasury!I198-'Check Treasury Past'!I198</f>
        <v>0</v>
      </c>
      <c r="V198" s="113">
        <f>Treasury!J198-'Check Treasury Past'!J198</f>
        <v>0</v>
      </c>
      <c r="W198" s="113">
        <f>Treasury!K198-'Check Treasury Past'!K198</f>
        <v>0</v>
      </c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</row>
    <row r="199" spans="1:34" s="14" customFormat="1" ht="12.75" customHeight="1" x14ac:dyDescent="0.2">
      <c r="A199" s="110">
        <v>42339</v>
      </c>
      <c r="B199" s="117">
        <v>448</v>
      </c>
      <c r="C199" s="117">
        <v>636</v>
      </c>
      <c r="D199" s="117">
        <v>1084</v>
      </c>
      <c r="E199" s="117">
        <v>565</v>
      </c>
      <c r="F199" s="117">
        <v>1768</v>
      </c>
      <c r="G199" s="117">
        <v>0</v>
      </c>
      <c r="H199" s="117">
        <v>3417</v>
      </c>
      <c r="I199" s="117">
        <v>18052</v>
      </c>
      <c r="J199" s="117">
        <v>21469</v>
      </c>
      <c r="K199" s="117">
        <v>-54</v>
      </c>
      <c r="L199" s="20"/>
      <c r="M199" s="89">
        <v>42339</v>
      </c>
      <c r="N199" s="113">
        <f>Treasury!B199-'Check Treasury Past'!B199</f>
        <v>0</v>
      </c>
      <c r="O199" s="113">
        <f>Treasury!C199-'Check Treasury Past'!C199</f>
        <v>0</v>
      </c>
      <c r="P199" s="113">
        <f>Treasury!D199-'Check Treasury Past'!D199</f>
        <v>0</v>
      </c>
      <c r="Q199" s="113">
        <f>Treasury!E199-'Check Treasury Past'!E199</f>
        <v>0</v>
      </c>
      <c r="R199" s="113">
        <f>Treasury!F199-'Check Treasury Past'!F199</f>
        <v>0</v>
      </c>
      <c r="S199" s="113">
        <f>Treasury!G199-'Check Treasury Past'!G199</f>
        <v>0</v>
      </c>
      <c r="T199" s="113">
        <f>Treasury!H199-'Check Treasury Past'!H199</f>
        <v>0</v>
      </c>
      <c r="U199" s="113">
        <f>Treasury!I199-'Check Treasury Past'!I199</f>
        <v>0</v>
      </c>
      <c r="V199" s="113">
        <f>Treasury!J199-'Check Treasury Past'!J199</f>
        <v>0</v>
      </c>
      <c r="W199" s="113">
        <f>Treasury!K199-'Check Treasury Past'!K199</f>
        <v>0</v>
      </c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</row>
    <row r="200" spans="1:34" s="14" customFormat="1" ht="12.75" customHeight="1" x14ac:dyDescent="0.2">
      <c r="A200" s="110">
        <v>42370</v>
      </c>
      <c r="B200" s="117">
        <v>1260</v>
      </c>
      <c r="C200" s="117">
        <v>819</v>
      </c>
      <c r="D200" s="117">
        <v>2079</v>
      </c>
      <c r="E200" s="117">
        <v>595</v>
      </c>
      <c r="F200" s="117">
        <v>1858</v>
      </c>
      <c r="G200" s="117">
        <v>0</v>
      </c>
      <c r="H200" s="117">
        <v>4532</v>
      </c>
      <c r="I200" s="117">
        <v>21352</v>
      </c>
      <c r="J200" s="117">
        <v>25884</v>
      </c>
      <c r="K200" s="117">
        <v>102</v>
      </c>
      <c r="L200" s="20"/>
      <c r="M200" s="89">
        <v>42370</v>
      </c>
      <c r="N200" s="113">
        <f>Treasury!B200-'Check Treasury Past'!B200</f>
        <v>0</v>
      </c>
      <c r="O200" s="113">
        <f>Treasury!C200-'Check Treasury Past'!C200</f>
        <v>0</v>
      </c>
      <c r="P200" s="113">
        <f>Treasury!D200-'Check Treasury Past'!D200</f>
        <v>0</v>
      </c>
      <c r="Q200" s="113">
        <f>Treasury!E200-'Check Treasury Past'!E200</f>
        <v>0</v>
      </c>
      <c r="R200" s="113">
        <f>Treasury!F200-'Check Treasury Past'!F200</f>
        <v>0</v>
      </c>
      <c r="S200" s="113">
        <f>Treasury!G200-'Check Treasury Past'!G200</f>
        <v>0</v>
      </c>
      <c r="T200" s="113">
        <f>Treasury!H200-'Check Treasury Past'!H200</f>
        <v>0</v>
      </c>
      <c r="U200" s="113">
        <f>Treasury!I200-'Check Treasury Past'!I200</f>
        <v>0</v>
      </c>
      <c r="V200" s="113">
        <f>Treasury!J200-'Check Treasury Past'!J200</f>
        <v>0</v>
      </c>
      <c r="W200" s="113">
        <f>Treasury!K200-'Check Treasury Past'!K200</f>
        <v>0</v>
      </c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</row>
    <row r="201" spans="1:34" s="14" customFormat="1" ht="12.75" customHeight="1" x14ac:dyDescent="0.2">
      <c r="A201" s="110">
        <v>42401</v>
      </c>
      <c r="B201" s="117">
        <v>1917</v>
      </c>
      <c r="C201" s="117">
        <v>832</v>
      </c>
      <c r="D201" s="117">
        <v>2749</v>
      </c>
      <c r="E201" s="117">
        <v>595</v>
      </c>
      <c r="F201" s="117">
        <v>1858</v>
      </c>
      <c r="G201" s="117">
        <v>0</v>
      </c>
      <c r="H201" s="117">
        <v>5202</v>
      </c>
      <c r="I201" s="117">
        <v>20024</v>
      </c>
      <c r="J201" s="117">
        <v>25226</v>
      </c>
      <c r="K201" s="117">
        <v>101</v>
      </c>
      <c r="L201" s="20"/>
      <c r="M201" s="89">
        <v>42401</v>
      </c>
      <c r="N201" s="113">
        <f>Treasury!B201-'Check Treasury Past'!B201</f>
        <v>0</v>
      </c>
      <c r="O201" s="113">
        <f>Treasury!C201-'Check Treasury Past'!C201</f>
        <v>0</v>
      </c>
      <c r="P201" s="113">
        <f>Treasury!D201-'Check Treasury Past'!D201</f>
        <v>0</v>
      </c>
      <c r="Q201" s="113">
        <f>Treasury!E201-'Check Treasury Past'!E201</f>
        <v>0</v>
      </c>
      <c r="R201" s="113">
        <f>Treasury!F201-'Check Treasury Past'!F201</f>
        <v>0</v>
      </c>
      <c r="S201" s="113">
        <f>Treasury!G201-'Check Treasury Past'!G201</f>
        <v>0</v>
      </c>
      <c r="T201" s="113">
        <f>Treasury!H201-'Check Treasury Past'!H201</f>
        <v>0</v>
      </c>
      <c r="U201" s="113">
        <f>Treasury!I201-'Check Treasury Past'!I201</f>
        <v>0</v>
      </c>
      <c r="V201" s="113">
        <f>Treasury!J201-'Check Treasury Past'!J201</f>
        <v>0</v>
      </c>
      <c r="W201" s="113">
        <f>Treasury!K201-'Check Treasury Past'!K201</f>
        <v>0</v>
      </c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</row>
    <row r="202" spans="1:34" s="14" customFormat="1" ht="12.75" customHeight="1" x14ac:dyDescent="0.2">
      <c r="A202" s="110">
        <v>42430</v>
      </c>
      <c r="B202" s="117">
        <v>2006</v>
      </c>
      <c r="C202" s="117">
        <v>756</v>
      </c>
      <c r="D202" s="117">
        <v>2762</v>
      </c>
      <c r="E202" s="117">
        <v>380</v>
      </c>
      <c r="F202" s="117">
        <v>1577</v>
      </c>
      <c r="G202" s="117">
        <v>0</v>
      </c>
      <c r="H202" s="117">
        <v>4719</v>
      </c>
      <c r="I202" s="117">
        <v>19539</v>
      </c>
      <c r="J202" s="117">
        <v>24258</v>
      </c>
      <c r="K202" s="117">
        <v>232</v>
      </c>
      <c r="L202" s="20"/>
      <c r="M202" s="89">
        <v>42430</v>
      </c>
      <c r="N202" s="113">
        <f>Treasury!B202-'Check Treasury Past'!B202</f>
        <v>0</v>
      </c>
      <c r="O202" s="113">
        <f>Treasury!C202-'Check Treasury Past'!C202</f>
        <v>0</v>
      </c>
      <c r="P202" s="113">
        <f>Treasury!D202-'Check Treasury Past'!D202</f>
        <v>0</v>
      </c>
      <c r="Q202" s="113">
        <f>Treasury!E202-'Check Treasury Past'!E202</f>
        <v>0</v>
      </c>
      <c r="R202" s="113">
        <f>Treasury!F202-'Check Treasury Past'!F202</f>
        <v>0</v>
      </c>
      <c r="S202" s="113">
        <f>Treasury!G202-'Check Treasury Past'!G202</f>
        <v>0</v>
      </c>
      <c r="T202" s="113">
        <f>Treasury!H202-'Check Treasury Past'!H202</f>
        <v>0</v>
      </c>
      <c r="U202" s="113">
        <f>Treasury!I202-'Check Treasury Past'!I202</f>
        <v>0</v>
      </c>
      <c r="V202" s="113">
        <f>Treasury!J202-'Check Treasury Past'!J202</f>
        <v>0</v>
      </c>
      <c r="W202" s="113">
        <f>Treasury!K202-'Check Treasury Past'!K202</f>
        <v>0</v>
      </c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</row>
    <row r="203" spans="1:34" s="14" customFormat="1" ht="12.75" customHeight="1" x14ac:dyDescent="0.2">
      <c r="A203" s="110">
        <v>42461</v>
      </c>
      <c r="B203" s="117">
        <v>2319</v>
      </c>
      <c r="C203" s="117">
        <v>801</v>
      </c>
      <c r="D203" s="117">
        <v>3120</v>
      </c>
      <c r="E203" s="117">
        <v>377</v>
      </c>
      <c r="F203" s="117">
        <v>1575</v>
      </c>
      <c r="G203" s="117">
        <v>0</v>
      </c>
      <c r="H203" s="117">
        <v>5072</v>
      </c>
      <c r="I203" s="117">
        <v>20354</v>
      </c>
      <c r="J203" s="117">
        <v>25426</v>
      </c>
      <c r="K203" s="117">
        <v>201</v>
      </c>
      <c r="L203" s="20"/>
      <c r="M203" s="89">
        <v>42461</v>
      </c>
      <c r="N203" s="113">
        <f>Treasury!B203-'Check Treasury Past'!B203</f>
        <v>0</v>
      </c>
      <c r="O203" s="113">
        <f>Treasury!C203-'Check Treasury Past'!C203</f>
        <v>0</v>
      </c>
      <c r="P203" s="113">
        <f>Treasury!D203-'Check Treasury Past'!D203</f>
        <v>0</v>
      </c>
      <c r="Q203" s="113">
        <f>Treasury!E203-'Check Treasury Past'!E203</f>
        <v>0</v>
      </c>
      <c r="R203" s="113">
        <f>Treasury!F203-'Check Treasury Past'!F203</f>
        <v>0</v>
      </c>
      <c r="S203" s="113">
        <f>Treasury!G203-'Check Treasury Past'!G203</f>
        <v>0</v>
      </c>
      <c r="T203" s="113">
        <f>Treasury!H203-'Check Treasury Past'!H203</f>
        <v>0</v>
      </c>
      <c r="U203" s="113">
        <f>Treasury!I203-'Check Treasury Past'!I203</f>
        <v>0</v>
      </c>
      <c r="V203" s="113">
        <f>Treasury!J203-'Check Treasury Past'!J203</f>
        <v>0</v>
      </c>
      <c r="W203" s="113">
        <f>Treasury!K203-'Check Treasury Past'!K203</f>
        <v>0</v>
      </c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</row>
    <row r="204" spans="1:34" s="14" customFormat="1" ht="12.75" customHeight="1" x14ac:dyDescent="0.2">
      <c r="A204" s="110">
        <v>42491</v>
      </c>
      <c r="B204" s="117">
        <v>2847</v>
      </c>
      <c r="C204" s="117">
        <v>629</v>
      </c>
      <c r="D204" s="117">
        <v>3476</v>
      </c>
      <c r="E204" s="117">
        <v>388</v>
      </c>
      <c r="F204" s="117">
        <v>1622</v>
      </c>
      <c r="G204" s="117">
        <v>0</v>
      </c>
      <c r="H204" s="117">
        <v>5486</v>
      </c>
      <c r="I204" s="117">
        <v>23071</v>
      </c>
      <c r="J204" s="117">
        <v>28557</v>
      </c>
      <c r="K204" s="117">
        <v>152</v>
      </c>
      <c r="L204" s="20"/>
      <c r="M204" s="89">
        <v>42491</v>
      </c>
      <c r="N204" s="113">
        <f>Treasury!B204-'Check Treasury Past'!B204</f>
        <v>0</v>
      </c>
      <c r="O204" s="113">
        <f>Treasury!C204-'Check Treasury Past'!C204</f>
        <v>0</v>
      </c>
      <c r="P204" s="113">
        <f>Treasury!D204-'Check Treasury Past'!D204</f>
        <v>0</v>
      </c>
      <c r="Q204" s="113">
        <f>Treasury!E204-'Check Treasury Past'!E204</f>
        <v>0</v>
      </c>
      <c r="R204" s="113">
        <f>Treasury!F204-'Check Treasury Past'!F204</f>
        <v>0</v>
      </c>
      <c r="S204" s="113">
        <f>Treasury!G204-'Check Treasury Past'!G204</f>
        <v>0</v>
      </c>
      <c r="T204" s="113">
        <f>Treasury!H204-'Check Treasury Past'!H204</f>
        <v>0</v>
      </c>
      <c r="U204" s="113">
        <f>Treasury!I204-'Check Treasury Past'!I204</f>
        <v>0</v>
      </c>
      <c r="V204" s="113">
        <f>Treasury!J204-'Check Treasury Past'!J204</f>
        <v>0</v>
      </c>
      <c r="W204" s="113">
        <f>Treasury!K204-'Check Treasury Past'!K204</f>
        <v>0</v>
      </c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</row>
    <row r="205" spans="1:34" s="14" customFormat="1" ht="12.75" customHeight="1" x14ac:dyDescent="0.2">
      <c r="A205" s="110">
        <v>42522</v>
      </c>
      <c r="B205" s="117">
        <v>2592</v>
      </c>
      <c r="C205" s="117">
        <v>821</v>
      </c>
      <c r="D205" s="117">
        <v>3413</v>
      </c>
      <c r="E205" s="117">
        <v>365</v>
      </c>
      <c r="F205" s="117">
        <v>1525</v>
      </c>
      <c r="G205" s="117">
        <v>0</v>
      </c>
      <c r="H205" s="117">
        <v>5303</v>
      </c>
      <c r="I205" s="117">
        <v>19858</v>
      </c>
      <c r="J205" s="117">
        <v>25161</v>
      </c>
      <c r="K205" s="117">
        <v>528</v>
      </c>
      <c r="L205" s="20"/>
      <c r="M205" s="89">
        <v>42522</v>
      </c>
      <c r="N205" s="113">
        <f>Treasury!B205-'Check Treasury Past'!B205</f>
        <v>0</v>
      </c>
      <c r="O205" s="113">
        <f>Treasury!C205-'Check Treasury Past'!C205</f>
        <v>0</v>
      </c>
      <c r="P205" s="113">
        <f>Treasury!D205-'Check Treasury Past'!D205</f>
        <v>0</v>
      </c>
      <c r="Q205" s="113">
        <f>Treasury!E205-'Check Treasury Past'!E205</f>
        <v>0</v>
      </c>
      <c r="R205" s="113">
        <f>Treasury!F205-'Check Treasury Past'!F205</f>
        <v>0</v>
      </c>
      <c r="S205" s="113">
        <f>Treasury!G205-'Check Treasury Past'!G205</f>
        <v>0</v>
      </c>
      <c r="T205" s="113">
        <f>Treasury!H205-'Check Treasury Past'!H205</f>
        <v>0</v>
      </c>
      <c r="U205" s="113">
        <f>Treasury!I205-'Check Treasury Past'!I205</f>
        <v>0</v>
      </c>
      <c r="V205" s="113">
        <f>Treasury!J205-'Check Treasury Past'!J205</f>
        <v>0</v>
      </c>
      <c r="W205" s="113">
        <f>Treasury!K205-'Check Treasury Past'!K205</f>
        <v>0</v>
      </c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</row>
    <row r="206" spans="1:34" s="14" customFormat="1" ht="12.75" customHeight="1" x14ac:dyDescent="0.2">
      <c r="A206" s="110">
        <v>42552</v>
      </c>
      <c r="B206" s="117">
        <v>2330</v>
      </c>
      <c r="C206" s="117">
        <v>1094</v>
      </c>
      <c r="D206" s="117">
        <v>3424</v>
      </c>
      <c r="E206" s="117">
        <v>364</v>
      </c>
      <c r="F206" s="117">
        <v>1520</v>
      </c>
      <c r="G206" s="117">
        <v>0</v>
      </c>
      <c r="H206" s="117">
        <v>5308</v>
      </c>
      <c r="I206" s="117">
        <v>18009</v>
      </c>
      <c r="J206" s="117">
        <v>23317</v>
      </c>
      <c r="K206" s="117">
        <v>458</v>
      </c>
      <c r="L206" s="20"/>
      <c r="M206" s="89">
        <v>42552</v>
      </c>
      <c r="N206" s="113">
        <f>Treasury!B206-'Check Treasury Past'!B206</f>
        <v>0</v>
      </c>
      <c r="O206" s="113">
        <f>Treasury!C206-'Check Treasury Past'!C206</f>
        <v>0</v>
      </c>
      <c r="P206" s="113">
        <f>Treasury!D206-'Check Treasury Past'!D206</f>
        <v>0</v>
      </c>
      <c r="Q206" s="113">
        <f>Treasury!E206-'Check Treasury Past'!E206</f>
        <v>0</v>
      </c>
      <c r="R206" s="113">
        <f>Treasury!F206-'Check Treasury Past'!F206</f>
        <v>0</v>
      </c>
      <c r="S206" s="113">
        <f>Treasury!G206-'Check Treasury Past'!G206</f>
        <v>0</v>
      </c>
      <c r="T206" s="113">
        <f>Treasury!H206-'Check Treasury Past'!H206</f>
        <v>0</v>
      </c>
      <c r="U206" s="113">
        <f>Treasury!I206-'Check Treasury Past'!I206</f>
        <v>0</v>
      </c>
      <c r="V206" s="113">
        <f>Treasury!J206-'Check Treasury Past'!J206</f>
        <v>0</v>
      </c>
      <c r="W206" s="113">
        <f>Treasury!K206-'Check Treasury Past'!K206</f>
        <v>0</v>
      </c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</row>
    <row r="207" spans="1:34" s="14" customFormat="1" ht="12.75" customHeight="1" x14ac:dyDescent="0.2">
      <c r="A207" s="110">
        <v>42583</v>
      </c>
      <c r="B207" s="117">
        <v>2255</v>
      </c>
      <c r="C207" s="117">
        <v>882</v>
      </c>
      <c r="D207" s="117">
        <v>3137</v>
      </c>
      <c r="E207" s="117">
        <v>358</v>
      </c>
      <c r="F207" s="117">
        <v>1496</v>
      </c>
      <c r="G207" s="117">
        <v>0</v>
      </c>
      <c r="H207" s="117">
        <v>4991</v>
      </c>
      <c r="I207" s="117">
        <v>19863</v>
      </c>
      <c r="J207" s="117">
        <v>24854</v>
      </c>
      <c r="K207" s="117">
        <v>463</v>
      </c>
      <c r="L207" s="20"/>
      <c r="M207" s="89">
        <v>42583</v>
      </c>
      <c r="N207" s="113">
        <f>Treasury!B207-'Check Treasury Past'!B207</f>
        <v>0</v>
      </c>
      <c r="O207" s="113">
        <f>Treasury!C207-'Check Treasury Past'!C207</f>
        <v>0</v>
      </c>
      <c r="P207" s="113">
        <f>Treasury!D207-'Check Treasury Past'!D207</f>
        <v>0</v>
      </c>
      <c r="Q207" s="113">
        <f>Treasury!E207-'Check Treasury Past'!E207</f>
        <v>0</v>
      </c>
      <c r="R207" s="113">
        <f>Treasury!F207-'Check Treasury Past'!F207</f>
        <v>0</v>
      </c>
      <c r="S207" s="113">
        <f>Treasury!G207-'Check Treasury Past'!G207</f>
        <v>0</v>
      </c>
      <c r="T207" s="113">
        <f>Treasury!H207-'Check Treasury Past'!H207</f>
        <v>0</v>
      </c>
      <c r="U207" s="113">
        <f>Treasury!I207-'Check Treasury Past'!I207</f>
        <v>0</v>
      </c>
      <c r="V207" s="113">
        <f>Treasury!J207-'Check Treasury Past'!J207</f>
        <v>0</v>
      </c>
      <c r="W207" s="113">
        <f>Treasury!K207-'Check Treasury Past'!K207</f>
        <v>0</v>
      </c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</row>
    <row r="208" spans="1:34" s="14" customFormat="1" ht="12.75" customHeight="1" x14ac:dyDescent="0.2">
      <c r="A208" s="110">
        <v>42614</v>
      </c>
      <c r="B208" s="117">
        <v>2582</v>
      </c>
      <c r="C208" s="117">
        <v>741</v>
      </c>
      <c r="D208" s="117">
        <v>3323</v>
      </c>
      <c r="E208" s="117">
        <v>364</v>
      </c>
      <c r="F208" s="117">
        <v>1482</v>
      </c>
      <c r="G208" s="117">
        <v>0</v>
      </c>
      <c r="H208" s="117">
        <v>5169</v>
      </c>
      <c r="I208" s="117">
        <v>19294</v>
      </c>
      <c r="J208" s="117">
        <v>24463</v>
      </c>
      <c r="K208" s="117">
        <v>463</v>
      </c>
      <c r="L208" s="20"/>
      <c r="M208" s="89">
        <v>42614</v>
      </c>
      <c r="N208" s="113">
        <f>Treasury!B208-'Check Treasury Past'!B208</f>
        <v>0</v>
      </c>
      <c r="O208" s="113">
        <f>Treasury!C208-'Check Treasury Past'!C208</f>
        <v>0</v>
      </c>
      <c r="P208" s="113">
        <f>Treasury!D208-'Check Treasury Past'!D208</f>
        <v>0</v>
      </c>
      <c r="Q208" s="113">
        <f>Treasury!E208-'Check Treasury Past'!E208</f>
        <v>0</v>
      </c>
      <c r="R208" s="113">
        <f>Treasury!F208-'Check Treasury Past'!F208</f>
        <v>0</v>
      </c>
      <c r="S208" s="113">
        <f>Treasury!G208-'Check Treasury Past'!G208</f>
        <v>0</v>
      </c>
      <c r="T208" s="113">
        <f>Treasury!H208-'Check Treasury Past'!H208</f>
        <v>0</v>
      </c>
      <c r="U208" s="113">
        <f>Treasury!I208-'Check Treasury Past'!I208</f>
        <v>0</v>
      </c>
      <c r="V208" s="113">
        <f>Treasury!J208-'Check Treasury Past'!J208</f>
        <v>0</v>
      </c>
      <c r="W208" s="113">
        <f>Treasury!K208-'Check Treasury Past'!K208</f>
        <v>0</v>
      </c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</row>
    <row r="209" spans="1:34" s="14" customFormat="1" ht="12.75" customHeight="1" x14ac:dyDescent="0.2">
      <c r="A209" s="110">
        <v>42644</v>
      </c>
      <c r="B209" s="117">
        <v>2490</v>
      </c>
      <c r="C209" s="117">
        <v>669</v>
      </c>
      <c r="D209" s="117">
        <v>3159</v>
      </c>
      <c r="E209" s="117">
        <v>363</v>
      </c>
      <c r="F209" s="117">
        <v>1476</v>
      </c>
      <c r="G209" s="117">
        <v>0</v>
      </c>
      <c r="H209" s="117">
        <v>4998</v>
      </c>
      <c r="I209" s="117">
        <v>19599</v>
      </c>
      <c r="J209" s="117">
        <v>24597</v>
      </c>
      <c r="K209" s="117">
        <v>393</v>
      </c>
      <c r="L209" s="20"/>
      <c r="M209" s="89">
        <v>42644</v>
      </c>
      <c r="N209" s="113">
        <f>Treasury!B209-'Check Treasury Past'!B209</f>
        <v>0</v>
      </c>
      <c r="O209" s="113">
        <f>Treasury!C209-'Check Treasury Past'!C209</f>
        <v>0</v>
      </c>
      <c r="P209" s="113">
        <f>Treasury!D209-'Check Treasury Past'!D209</f>
        <v>0</v>
      </c>
      <c r="Q209" s="113">
        <f>Treasury!E209-'Check Treasury Past'!E209</f>
        <v>0</v>
      </c>
      <c r="R209" s="113">
        <f>Treasury!F209-'Check Treasury Past'!F209</f>
        <v>0</v>
      </c>
      <c r="S209" s="113">
        <f>Treasury!G209-'Check Treasury Past'!G209</f>
        <v>0</v>
      </c>
      <c r="T209" s="113">
        <f>Treasury!H209-'Check Treasury Past'!H209</f>
        <v>0</v>
      </c>
      <c r="U209" s="113">
        <f>Treasury!I209-'Check Treasury Past'!I209</f>
        <v>0</v>
      </c>
      <c r="V209" s="113">
        <f>Treasury!J209-'Check Treasury Past'!J209</f>
        <v>0</v>
      </c>
      <c r="W209" s="113">
        <f>Treasury!K209-'Check Treasury Past'!K209</f>
        <v>0</v>
      </c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</row>
    <row r="210" spans="1:34" s="14" customFormat="1" ht="12.75" customHeight="1" x14ac:dyDescent="0.2">
      <c r="A210" s="110">
        <v>42675</v>
      </c>
      <c r="B210" s="117">
        <v>2398</v>
      </c>
      <c r="C210" s="117">
        <v>410</v>
      </c>
      <c r="D210" s="117">
        <v>2808</v>
      </c>
      <c r="E210" s="117">
        <v>358</v>
      </c>
      <c r="F210" s="117">
        <v>1456</v>
      </c>
      <c r="G210" s="117">
        <v>0</v>
      </c>
      <c r="H210" s="117">
        <v>4622</v>
      </c>
      <c r="I210" s="117">
        <v>18963</v>
      </c>
      <c r="J210" s="117">
        <v>23585</v>
      </c>
      <c r="K210" s="117">
        <v>284</v>
      </c>
      <c r="L210" s="20"/>
      <c r="M210" s="89">
        <v>42675</v>
      </c>
      <c r="N210" s="113">
        <f>Treasury!B210-'Check Treasury Past'!B210</f>
        <v>0</v>
      </c>
      <c r="O210" s="113">
        <f>Treasury!C210-'Check Treasury Past'!C210</f>
        <v>0</v>
      </c>
      <c r="P210" s="113">
        <f>Treasury!D210-'Check Treasury Past'!D210</f>
        <v>0</v>
      </c>
      <c r="Q210" s="113">
        <f>Treasury!E210-'Check Treasury Past'!E210</f>
        <v>0</v>
      </c>
      <c r="R210" s="113">
        <f>Treasury!F210-'Check Treasury Past'!F210</f>
        <v>0</v>
      </c>
      <c r="S210" s="113">
        <f>Treasury!G210-'Check Treasury Past'!G210</f>
        <v>0</v>
      </c>
      <c r="T210" s="113">
        <f>Treasury!H210-'Check Treasury Past'!H210</f>
        <v>0</v>
      </c>
      <c r="U210" s="113">
        <f>Treasury!I210-'Check Treasury Past'!I210</f>
        <v>0</v>
      </c>
      <c r="V210" s="113">
        <f>Treasury!J210-'Check Treasury Past'!J210</f>
        <v>0</v>
      </c>
      <c r="W210" s="113">
        <f>Treasury!K210-'Check Treasury Past'!K210</f>
        <v>0</v>
      </c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</row>
    <row r="211" spans="1:34" s="14" customFormat="1" ht="12.75" customHeight="1" x14ac:dyDescent="0.2">
      <c r="A211" s="110">
        <v>42705</v>
      </c>
      <c r="B211" s="117">
        <v>1562</v>
      </c>
      <c r="C211" s="117">
        <v>599</v>
      </c>
      <c r="D211" s="117">
        <v>2161</v>
      </c>
      <c r="E211" s="117">
        <v>364</v>
      </c>
      <c r="F211" s="117">
        <v>1481</v>
      </c>
      <c r="G211" s="117">
        <v>0</v>
      </c>
      <c r="H211" s="117">
        <v>4006</v>
      </c>
      <c r="I211" s="117">
        <v>21551</v>
      </c>
      <c r="J211" s="117">
        <v>25557</v>
      </c>
      <c r="K211" s="117">
        <v>94</v>
      </c>
      <c r="L211" s="20"/>
      <c r="M211" s="89">
        <v>42705</v>
      </c>
      <c r="N211" s="113">
        <f>Treasury!B211-'Check Treasury Past'!B211</f>
        <v>0</v>
      </c>
      <c r="O211" s="113">
        <f>Treasury!C211-'Check Treasury Past'!C211</f>
        <v>0</v>
      </c>
      <c r="P211" s="113">
        <f>Treasury!D211-'Check Treasury Past'!D211</f>
        <v>0</v>
      </c>
      <c r="Q211" s="113">
        <f>Treasury!E211-'Check Treasury Past'!E211</f>
        <v>0</v>
      </c>
      <c r="R211" s="113">
        <f>Treasury!F211-'Check Treasury Past'!F211</f>
        <v>0</v>
      </c>
      <c r="S211" s="113">
        <f>Treasury!G211-'Check Treasury Past'!G211</f>
        <v>0</v>
      </c>
      <c r="T211" s="113">
        <f>Treasury!H211-'Check Treasury Past'!H211</f>
        <v>0</v>
      </c>
      <c r="U211" s="113">
        <f>Treasury!I211-'Check Treasury Past'!I211</f>
        <v>0</v>
      </c>
      <c r="V211" s="113">
        <f>Treasury!J211-'Check Treasury Past'!J211</f>
        <v>0</v>
      </c>
      <c r="W211" s="113">
        <f>Treasury!K211-'Check Treasury Past'!K211</f>
        <v>0</v>
      </c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</row>
    <row r="212" spans="1:34" s="14" customFormat="1" ht="12.75" customHeight="1" x14ac:dyDescent="0.2">
      <c r="A212" s="110">
        <v>42736</v>
      </c>
      <c r="B212" s="117">
        <v>2355</v>
      </c>
      <c r="C212" s="117">
        <v>560</v>
      </c>
      <c r="D212" s="117">
        <v>2915</v>
      </c>
      <c r="E212" s="117">
        <v>351</v>
      </c>
      <c r="F212" s="117">
        <v>1405</v>
      </c>
      <c r="G212" s="117">
        <v>0</v>
      </c>
      <c r="H212" s="117">
        <v>4671</v>
      </c>
      <c r="I212" s="117">
        <v>20997</v>
      </c>
      <c r="J212" s="117">
        <v>25668</v>
      </c>
      <c r="K212" s="117">
        <v>319</v>
      </c>
      <c r="L212" s="20"/>
      <c r="M212" s="89">
        <v>42736</v>
      </c>
      <c r="N212" s="113">
        <f>Treasury!B212-'Check Treasury Past'!B212</f>
        <v>0</v>
      </c>
      <c r="O212" s="113">
        <f>Treasury!C212-'Check Treasury Past'!C212</f>
        <v>0</v>
      </c>
      <c r="P212" s="113">
        <f>Treasury!D212-'Check Treasury Past'!D212</f>
        <v>0</v>
      </c>
      <c r="Q212" s="113">
        <f>Treasury!E212-'Check Treasury Past'!E212</f>
        <v>0</v>
      </c>
      <c r="R212" s="113">
        <f>Treasury!F212-'Check Treasury Past'!F212</f>
        <v>0</v>
      </c>
      <c r="S212" s="113">
        <f>Treasury!G212-'Check Treasury Past'!G212</f>
        <v>0</v>
      </c>
      <c r="T212" s="113">
        <f>Treasury!H212-'Check Treasury Past'!H212</f>
        <v>0</v>
      </c>
      <c r="U212" s="113">
        <f>Treasury!I212-'Check Treasury Past'!I212</f>
        <v>0</v>
      </c>
      <c r="V212" s="113">
        <f>Treasury!J212-'Check Treasury Past'!J212</f>
        <v>0</v>
      </c>
      <c r="W212" s="113">
        <f>Treasury!K212-'Check Treasury Past'!K212</f>
        <v>0</v>
      </c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</row>
    <row r="213" spans="1:34" s="14" customFormat="1" ht="12.75" customHeight="1" x14ac:dyDescent="0.2">
      <c r="A213" s="110">
        <v>42767</v>
      </c>
      <c r="B213" s="117">
        <v>2610</v>
      </c>
      <c r="C213" s="117">
        <v>503</v>
      </c>
      <c r="D213" s="117">
        <v>3113</v>
      </c>
      <c r="E213" s="117">
        <v>355</v>
      </c>
      <c r="F213" s="117">
        <v>1420</v>
      </c>
      <c r="G213" s="117">
        <v>0</v>
      </c>
      <c r="H213" s="117">
        <v>4888</v>
      </c>
      <c r="I213" s="117">
        <v>20778</v>
      </c>
      <c r="J213" s="117">
        <v>25666</v>
      </c>
      <c r="K213" s="117">
        <v>190</v>
      </c>
      <c r="L213" s="20"/>
      <c r="M213" s="89">
        <v>42767</v>
      </c>
      <c r="N213" s="113">
        <f>Treasury!B213-'Check Treasury Past'!B213</f>
        <v>0</v>
      </c>
      <c r="O213" s="113">
        <f>Treasury!C213-'Check Treasury Past'!C213</f>
        <v>0</v>
      </c>
      <c r="P213" s="113">
        <f>Treasury!D213-'Check Treasury Past'!D213</f>
        <v>0</v>
      </c>
      <c r="Q213" s="113">
        <f>Treasury!E213-'Check Treasury Past'!E213</f>
        <v>0</v>
      </c>
      <c r="R213" s="113">
        <f>Treasury!F213-'Check Treasury Past'!F213</f>
        <v>0</v>
      </c>
      <c r="S213" s="113">
        <f>Treasury!G213-'Check Treasury Past'!G213</f>
        <v>0</v>
      </c>
      <c r="T213" s="113">
        <f>Treasury!H213-'Check Treasury Past'!H213</f>
        <v>0</v>
      </c>
      <c r="U213" s="113">
        <f>Treasury!I213-'Check Treasury Past'!I213</f>
        <v>0</v>
      </c>
      <c r="V213" s="113">
        <f>Treasury!J213-'Check Treasury Past'!J213</f>
        <v>0</v>
      </c>
      <c r="W213" s="113">
        <f>Treasury!K213-'Check Treasury Past'!K213</f>
        <v>0</v>
      </c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</row>
    <row r="214" spans="1:34" x14ac:dyDescent="0.2">
      <c r="A214" s="110">
        <v>42795</v>
      </c>
      <c r="B214" s="117">
        <v>3217</v>
      </c>
      <c r="C214" s="117">
        <v>513</v>
      </c>
      <c r="D214" s="117">
        <v>3730</v>
      </c>
      <c r="E214" s="117">
        <v>366</v>
      </c>
      <c r="F214" s="117">
        <v>1464</v>
      </c>
      <c r="G214" s="117">
        <v>0</v>
      </c>
      <c r="H214" s="117">
        <v>5560</v>
      </c>
      <c r="I214" s="117">
        <v>20990</v>
      </c>
      <c r="J214" s="117">
        <v>26550</v>
      </c>
      <c r="K214" s="117">
        <v>91</v>
      </c>
      <c r="M214" s="89">
        <v>42795</v>
      </c>
      <c r="N214" s="113">
        <f>Treasury!B214-'Check Treasury Past'!B214</f>
        <v>0</v>
      </c>
      <c r="O214" s="113">
        <f>Treasury!C214-'Check Treasury Past'!C214</f>
        <v>0</v>
      </c>
      <c r="P214" s="113">
        <f>Treasury!D214-'Check Treasury Past'!D214</f>
        <v>0</v>
      </c>
      <c r="Q214" s="113">
        <f>Treasury!E214-'Check Treasury Past'!E214</f>
        <v>0</v>
      </c>
      <c r="R214" s="113">
        <f>Treasury!F214-'Check Treasury Past'!F214</f>
        <v>0</v>
      </c>
      <c r="S214" s="113">
        <f>Treasury!G214-'Check Treasury Past'!G214</f>
        <v>0</v>
      </c>
      <c r="T214" s="113">
        <f>Treasury!H214-'Check Treasury Past'!H214</f>
        <v>0</v>
      </c>
      <c r="U214" s="113">
        <f>Treasury!I214-'Check Treasury Past'!I214</f>
        <v>0</v>
      </c>
      <c r="V214" s="113">
        <f>Treasury!J214-'Check Treasury Past'!J214</f>
        <v>0</v>
      </c>
      <c r="W214" s="113">
        <f>Treasury!K214-'Check Treasury Past'!K214</f>
        <v>0</v>
      </c>
    </row>
    <row r="215" spans="1:34" x14ac:dyDescent="0.2">
      <c r="A215" s="110">
        <v>42826</v>
      </c>
      <c r="B215" s="117">
        <v>3657</v>
      </c>
      <c r="C215" s="117">
        <v>617</v>
      </c>
      <c r="D215" s="117">
        <v>4274</v>
      </c>
      <c r="E215" s="117">
        <v>374</v>
      </c>
      <c r="F215" s="117">
        <v>1497</v>
      </c>
      <c r="G215" s="117">
        <v>0</v>
      </c>
      <c r="H215" s="117">
        <v>6145</v>
      </c>
      <c r="I215" s="117">
        <v>20606</v>
      </c>
      <c r="J215" s="117">
        <v>26751</v>
      </c>
      <c r="K215" s="117">
        <v>31</v>
      </c>
      <c r="M215" s="89">
        <v>42826</v>
      </c>
      <c r="N215" s="113">
        <f>Treasury!B215-'Check Treasury Past'!B215</f>
        <v>0</v>
      </c>
      <c r="O215" s="113">
        <f>Treasury!C215-'Check Treasury Past'!C215</f>
        <v>0</v>
      </c>
      <c r="P215" s="113">
        <f>Treasury!D215-'Check Treasury Past'!D215</f>
        <v>0</v>
      </c>
      <c r="Q215" s="113">
        <f>Treasury!E215-'Check Treasury Past'!E215</f>
        <v>0</v>
      </c>
      <c r="R215" s="113">
        <f>Treasury!F215-'Check Treasury Past'!F215</f>
        <v>0</v>
      </c>
      <c r="S215" s="113">
        <f>Treasury!G215-'Check Treasury Past'!G215</f>
        <v>0</v>
      </c>
      <c r="T215" s="113">
        <f>Treasury!H215-'Check Treasury Past'!H215</f>
        <v>0</v>
      </c>
      <c r="U215" s="113">
        <f>Treasury!I215-'Check Treasury Past'!I215</f>
        <v>0</v>
      </c>
      <c r="V215" s="113">
        <f>Treasury!J215-'Check Treasury Past'!J215</f>
        <v>0</v>
      </c>
      <c r="W215" s="113">
        <f>Treasury!K215-'Check Treasury Past'!K215</f>
        <v>0</v>
      </c>
    </row>
    <row r="216" spans="1:34" x14ac:dyDescent="0.2">
      <c r="A216" s="110">
        <v>42856</v>
      </c>
      <c r="B216" s="117">
        <v>3954</v>
      </c>
      <c r="C216" s="117">
        <v>531</v>
      </c>
      <c r="D216" s="117">
        <v>4485</v>
      </c>
      <c r="E216" s="117">
        <v>365</v>
      </c>
      <c r="F216" s="117">
        <v>1520</v>
      </c>
      <c r="G216" s="117">
        <v>0</v>
      </c>
      <c r="H216" s="117">
        <v>6370</v>
      </c>
      <c r="I216" s="117">
        <v>20344</v>
      </c>
      <c r="J216" s="117">
        <v>26714</v>
      </c>
      <c r="K216" s="117">
        <v>221</v>
      </c>
      <c r="M216" s="89">
        <v>42856</v>
      </c>
      <c r="N216" s="113">
        <f>Treasury!B216-'Check Treasury Past'!B216</f>
        <v>0</v>
      </c>
      <c r="O216" s="113">
        <f>Treasury!C216-'Check Treasury Past'!C216</f>
        <v>0</v>
      </c>
      <c r="P216" s="113">
        <f>Treasury!D216-'Check Treasury Past'!D216</f>
        <v>0</v>
      </c>
      <c r="Q216" s="113">
        <f>Treasury!E216-'Check Treasury Past'!E216</f>
        <v>0</v>
      </c>
      <c r="R216" s="113">
        <f>Treasury!F216-'Check Treasury Past'!F216</f>
        <v>0</v>
      </c>
      <c r="S216" s="113">
        <f>Treasury!G216-'Check Treasury Past'!G216</f>
        <v>0</v>
      </c>
      <c r="T216" s="113">
        <f>Treasury!H216-'Check Treasury Past'!H216</f>
        <v>0</v>
      </c>
      <c r="U216" s="113">
        <f>Treasury!I216-'Check Treasury Past'!I216</f>
        <v>0</v>
      </c>
      <c r="V216" s="113">
        <f>Treasury!J216-'Check Treasury Past'!J216</f>
        <v>0</v>
      </c>
      <c r="W216" s="113">
        <f>Treasury!K216-'Check Treasury Past'!K216</f>
        <v>0</v>
      </c>
    </row>
    <row r="217" spans="1:34" x14ac:dyDescent="0.2">
      <c r="A217" s="110">
        <v>42887</v>
      </c>
      <c r="B217" s="117">
        <v>3880</v>
      </c>
      <c r="C217" s="117">
        <v>712</v>
      </c>
      <c r="D217" s="117">
        <v>4592</v>
      </c>
      <c r="E217" s="117">
        <v>352</v>
      </c>
      <c r="F217" s="117">
        <v>1475</v>
      </c>
      <c r="G217" s="117">
        <v>0</v>
      </c>
      <c r="H217" s="117">
        <v>6419</v>
      </c>
      <c r="I217" s="117">
        <v>21068</v>
      </c>
      <c r="J217" s="117">
        <v>27487</v>
      </c>
      <c r="K217" s="117">
        <v>384</v>
      </c>
      <c r="M217" s="89">
        <v>42887</v>
      </c>
      <c r="N217" s="113">
        <f>Treasury!B217-'Check Treasury Past'!B217</f>
        <v>0</v>
      </c>
      <c r="O217" s="113">
        <f>Treasury!C217-'Check Treasury Past'!C217</f>
        <v>0</v>
      </c>
      <c r="P217" s="113">
        <f>Treasury!D217-'Check Treasury Past'!D217</f>
        <v>0</v>
      </c>
      <c r="Q217" s="113">
        <f>Treasury!E217-'Check Treasury Past'!E217</f>
        <v>0</v>
      </c>
      <c r="R217" s="113">
        <f>Treasury!F217-'Check Treasury Past'!F217</f>
        <v>0</v>
      </c>
      <c r="S217" s="113">
        <f>Treasury!G217-'Check Treasury Past'!G217</f>
        <v>0</v>
      </c>
      <c r="T217" s="113">
        <f>Treasury!H217-'Check Treasury Past'!H217</f>
        <v>0</v>
      </c>
      <c r="U217" s="113">
        <f>Treasury!I217-'Check Treasury Past'!I217</f>
        <v>0</v>
      </c>
      <c r="V217" s="113">
        <f>Treasury!J217-'Check Treasury Past'!J217</f>
        <v>0</v>
      </c>
      <c r="W217" s="113">
        <f>Treasury!K217-'Check Treasury Past'!K217</f>
        <v>0</v>
      </c>
    </row>
    <row r="218" spans="1:34" s="14" customFormat="1" x14ac:dyDescent="0.2">
      <c r="A218" s="110">
        <v>42917</v>
      </c>
      <c r="B218" s="117">
        <v>3677</v>
      </c>
      <c r="C218" s="117">
        <v>990</v>
      </c>
      <c r="D218" s="117">
        <v>4667</v>
      </c>
      <c r="E218" s="117">
        <v>341</v>
      </c>
      <c r="F218" s="117">
        <v>1455</v>
      </c>
      <c r="G218" s="117">
        <v>0</v>
      </c>
      <c r="H218" s="117">
        <v>6463</v>
      </c>
      <c r="I218" s="117">
        <v>18224</v>
      </c>
      <c r="J218" s="117">
        <v>24687</v>
      </c>
      <c r="K218" s="117">
        <v>449</v>
      </c>
      <c r="M218" s="89">
        <v>42917</v>
      </c>
      <c r="N218" s="113">
        <f>Treasury!B218-'Check Treasury Past'!B218</f>
        <v>0</v>
      </c>
      <c r="O218" s="113">
        <f>Treasury!C218-'Check Treasury Past'!C218</f>
        <v>0</v>
      </c>
      <c r="P218" s="113">
        <f>Treasury!D218-'Check Treasury Past'!D218</f>
        <v>0</v>
      </c>
      <c r="Q218" s="113">
        <f>Treasury!E218-'Check Treasury Past'!E218</f>
        <v>0</v>
      </c>
      <c r="R218" s="113">
        <f>Treasury!F218-'Check Treasury Past'!F218</f>
        <v>0</v>
      </c>
      <c r="S218" s="113">
        <f>Treasury!G218-'Check Treasury Past'!G218</f>
        <v>0</v>
      </c>
      <c r="T218" s="113">
        <f>Treasury!H218-'Check Treasury Past'!H218</f>
        <v>0</v>
      </c>
      <c r="U218" s="113">
        <f>Treasury!I218-'Check Treasury Past'!I218</f>
        <v>0</v>
      </c>
      <c r="V218" s="113">
        <f>Treasury!J218-'Check Treasury Past'!J218</f>
        <v>0</v>
      </c>
      <c r="W218" s="113">
        <f>Treasury!K218-'Check Treasury Past'!K218</f>
        <v>0</v>
      </c>
    </row>
    <row r="219" spans="1:34" s="14" customFormat="1" x14ac:dyDescent="0.2">
      <c r="A219" s="110">
        <v>42948</v>
      </c>
      <c r="B219" s="117">
        <v>4897</v>
      </c>
      <c r="C219" s="117">
        <v>289</v>
      </c>
      <c r="D219" s="117">
        <v>5186</v>
      </c>
      <c r="E219" s="117">
        <v>359</v>
      </c>
      <c r="F219" s="117">
        <v>1531</v>
      </c>
      <c r="G219" s="117">
        <v>0</v>
      </c>
      <c r="H219" s="117">
        <v>7076</v>
      </c>
      <c r="I219" s="117">
        <v>20707</v>
      </c>
      <c r="J219" s="117">
        <v>27783</v>
      </c>
      <c r="K219" s="117">
        <v>164</v>
      </c>
      <c r="M219" s="89">
        <v>42948</v>
      </c>
      <c r="N219" s="113">
        <f>Treasury!B219-'Check Treasury Past'!B219</f>
        <v>0</v>
      </c>
      <c r="O219" s="113">
        <f>Treasury!C219-'Check Treasury Past'!C219</f>
        <v>0</v>
      </c>
      <c r="P219" s="113">
        <f>Treasury!D219-'Check Treasury Past'!D219</f>
        <v>0</v>
      </c>
      <c r="Q219" s="113">
        <f>Treasury!E219-'Check Treasury Past'!E219</f>
        <v>0</v>
      </c>
      <c r="R219" s="113">
        <f>Treasury!F219-'Check Treasury Past'!F219</f>
        <v>0</v>
      </c>
      <c r="S219" s="113">
        <f>Treasury!G219-'Check Treasury Past'!G219</f>
        <v>0</v>
      </c>
      <c r="T219" s="113">
        <f>Treasury!H219-'Check Treasury Past'!H219</f>
        <v>0</v>
      </c>
      <c r="U219" s="113">
        <f>Treasury!I219-'Check Treasury Past'!I219</f>
        <v>0</v>
      </c>
      <c r="V219" s="113">
        <f>Treasury!J219-'Check Treasury Past'!J219</f>
        <v>0</v>
      </c>
      <c r="W219" s="113">
        <f>Treasury!K219-'Check Treasury Past'!K219</f>
        <v>0</v>
      </c>
    </row>
    <row r="220" spans="1:34" s="14" customFormat="1" x14ac:dyDescent="0.2">
      <c r="A220" s="110">
        <v>42979</v>
      </c>
      <c r="B220" s="117">
        <v>6192</v>
      </c>
      <c r="C220" s="117">
        <v>249</v>
      </c>
      <c r="D220" s="117">
        <v>6441</v>
      </c>
      <c r="E220" s="117">
        <v>355</v>
      </c>
      <c r="F220" s="117">
        <v>1522</v>
      </c>
      <c r="G220" s="117">
        <v>0</v>
      </c>
      <c r="H220" s="117">
        <v>8318</v>
      </c>
      <c r="I220" s="117">
        <v>21131</v>
      </c>
      <c r="J220" s="117">
        <v>29449</v>
      </c>
      <c r="K220" s="117">
        <v>152</v>
      </c>
      <c r="M220" s="89">
        <v>42979</v>
      </c>
      <c r="N220" s="113">
        <f>Treasury!B220-'Check Treasury Past'!B220</f>
        <v>0</v>
      </c>
      <c r="O220" s="113">
        <f>Treasury!C220-'Check Treasury Past'!C220</f>
        <v>0</v>
      </c>
      <c r="P220" s="113">
        <f>Treasury!D220-'Check Treasury Past'!D220</f>
        <v>0</v>
      </c>
      <c r="Q220" s="113">
        <f>Treasury!E220-'Check Treasury Past'!E220</f>
        <v>0</v>
      </c>
      <c r="R220" s="113">
        <f>Treasury!F220-'Check Treasury Past'!F220</f>
        <v>0</v>
      </c>
      <c r="S220" s="113">
        <f>Treasury!G220-'Check Treasury Past'!G220</f>
        <v>0</v>
      </c>
      <c r="T220" s="113">
        <f>Treasury!H220-'Check Treasury Past'!H220</f>
        <v>0</v>
      </c>
      <c r="U220" s="113">
        <f>Treasury!I220-'Check Treasury Past'!I220</f>
        <v>0</v>
      </c>
      <c r="V220" s="113">
        <f>Treasury!J220-'Check Treasury Past'!J220</f>
        <v>0</v>
      </c>
      <c r="W220" s="113">
        <f>Treasury!K220-'Check Treasury Past'!K220</f>
        <v>0</v>
      </c>
    </row>
    <row r="221" spans="1:34" s="14" customFormat="1" x14ac:dyDescent="0.2">
      <c r="A221" s="110">
        <v>43009</v>
      </c>
      <c r="B221" s="117">
        <v>4814</v>
      </c>
      <c r="C221" s="117">
        <v>197</v>
      </c>
      <c r="D221" s="117">
        <v>5011</v>
      </c>
      <c r="E221" s="117">
        <v>371</v>
      </c>
      <c r="F221" s="117">
        <v>1592</v>
      </c>
      <c r="G221" s="117">
        <v>0</v>
      </c>
      <c r="H221" s="117">
        <v>6974</v>
      </c>
      <c r="I221" s="117">
        <v>25811</v>
      </c>
      <c r="J221" s="117">
        <v>32785</v>
      </c>
      <c r="K221" s="117">
        <v>192</v>
      </c>
      <c r="M221" s="89">
        <v>43009</v>
      </c>
      <c r="N221" s="113">
        <f>Treasury!B221-'Check Treasury Past'!B221</f>
        <v>0</v>
      </c>
      <c r="O221" s="113">
        <f>Treasury!C221-'Check Treasury Past'!C221</f>
        <v>0</v>
      </c>
      <c r="P221" s="113">
        <f>Treasury!D221-'Check Treasury Past'!D221</f>
        <v>0</v>
      </c>
      <c r="Q221" s="113">
        <f>Treasury!E221-'Check Treasury Past'!E221</f>
        <v>0</v>
      </c>
      <c r="R221" s="113">
        <f>Treasury!F221-'Check Treasury Past'!F221</f>
        <v>0</v>
      </c>
      <c r="S221" s="113">
        <f>Treasury!G221-'Check Treasury Past'!G221</f>
        <v>0</v>
      </c>
      <c r="T221" s="113">
        <f>Treasury!H221-'Check Treasury Past'!H221</f>
        <v>0</v>
      </c>
      <c r="U221" s="113">
        <f>Treasury!I221-'Check Treasury Past'!I221</f>
        <v>0</v>
      </c>
      <c r="V221" s="113">
        <f>Treasury!J221-'Check Treasury Past'!J221</f>
        <v>0</v>
      </c>
      <c r="W221" s="113">
        <f>Treasury!K221-'Check Treasury Past'!K221</f>
        <v>0</v>
      </c>
    </row>
    <row r="222" spans="1:34" s="14" customFormat="1" x14ac:dyDescent="0.2">
      <c r="A222" s="110">
        <v>43040</v>
      </c>
      <c r="B222" s="117">
        <v>5042</v>
      </c>
      <c r="C222" s="117">
        <v>274</v>
      </c>
      <c r="D222" s="117">
        <v>5316</v>
      </c>
      <c r="E222" s="117">
        <v>363</v>
      </c>
      <c r="F222" s="117">
        <v>1607</v>
      </c>
      <c r="G222" s="117">
        <v>0</v>
      </c>
      <c r="H222" s="117">
        <v>7286</v>
      </c>
      <c r="I222" s="117">
        <v>25228</v>
      </c>
      <c r="J222" s="117">
        <v>32514</v>
      </c>
      <c r="K222" s="117">
        <v>-29</v>
      </c>
      <c r="M222" s="89">
        <v>43040</v>
      </c>
      <c r="N222" s="113">
        <f>Treasury!B222-'Check Treasury Past'!B222</f>
        <v>0</v>
      </c>
      <c r="O222" s="113">
        <f>Treasury!C222-'Check Treasury Past'!C222</f>
        <v>0</v>
      </c>
      <c r="P222" s="113">
        <f>Treasury!D222-'Check Treasury Past'!D222</f>
        <v>0</v>
      </c>
      <c r="Q222" s="113">
        <f>Treasury!E222-'Check Treasury Past'!E222</f>
        <v>0</v>
      </c>
      <c r="R222" s="113">
        <f>Treasury!F222-'Check Treasury Past'!F222</f>
        <v>0</v>
      </c>
      <c r="S222" s="113">
        <f>Treasury!G222-'Check Treasury Past'!G222</f>
        <v>0</v>
      </c>
      <c r="T222" s="113">
        <f>Treasury!H222-'Check Treasury Past'!H222</f>
        <v>0</v>
      </c>
      <c r="U222" s="113">
        <f>Treasury!I222-'Check Treasury Past'!I222</f>
        <v>0</v>
      </c>
      <c r="V222" s="113">
        <f>Treasury!J222-'Check Treasury Past'!J222</f>
        <v>0</v>
      </c>
      <c r="W222" s="113">
        <f>Treasury!K222-'Check Treasury Past'!K222</f>
        <v>0</v>
      </c>
    </row>
    <row r="223" spans="1:34" s="14" customFormat="1" x14ac:dyDescent="0.2">
      <c r="A223" s="110">
        <v>43070</v>
      </c>
      <c r="B223" s="117">
        <v>2288</v>
      </c>
      <c r="C223" s="117">
        <v>192</v>
      </c>
      <c r="D223" s="117">
        <v>2480</v>
      </c>
      <c r="E223" s="117">
        <v>344</v>
      </c>
      <c r="F223" s="117">
        <v>1567</v>
      </c>
      <c r="G223" s="117">
        <v>0</v>
      </c>
      <c r="H223" s="117">
        <v>4391</v>
      </c>
      <c r="I223" s="117">
        <v>24752</v>
      </c>
      <c r="J223" s="117">
        <v>29143</v>
      </c>
      <c r="K223" s="117">
        <v>68</v>
      </c>
      <c r="M223" s="89">
        <v>43070</v>
      </c>
      <c r="N223" s="113">
        <f>Treasury!B223-'Check Treasury Past'!B223</f>
        <v>0</v>
      </c>
      <c r="O223" s="113">
        <f>Treasury!C223-'Check Treasury Past'!C223</f>
        <v>0</v>
      </c>
      <c r="P223" s="113">
        <f>Treasury!D223-'Check Treasury Past'!D223</f>
        <v>0</v>
      </c>
      <c r="Q223" s="113">
        <f>Treasury!E223-'Check Treasury Past'!E223</f>
        <v>0</v>
      </c>
      <c r="R223" s="113">
        <f>Treasury!F223-'Check Treasury Past'!F223</f>
        <v>0</v>
      </c>
      <c r="S223" s="113">
        <f>Treasury!G223-'Check Treasury Past'!G223</f>
        <v>0</v>
      </c>
      <c r="T223" s="113">
        <f>Treasury!H223-'Check Treasury Past'!H223</f>
        <v>0</v>
      </c>
      <c r="U223" s="113">
        <f>Treasury!I223-'Check Treasury Past'!I223</f>
        <v>0</v>
      </c>
      <c r="V223" s="113">
        <f>Treasury!J223-'Check Treasury Past'!J223</f>
        <v>0</v>
      </c>
      <c r="W223" s="113">
        <f>Treasury!K223-'Check Treasury Past'!K223</f>
        <v>0</v>
      </c>
    </row>
    <row r="224" spans="1:34" s="14" customFormat="1" x14ac:dyDescent="0.2">
      <c r="A224" s="110">
        <v>43101</v>
      </c>
      <c r="B224" s="117">
        <v>2142</v>
      </c>
      <c r="C224" s="117">
        <v>272</v>
      </c>
      <c r="D224" s="117">
        <v>2414</v>
      </c>
      <c r="E224" s="117">
        <v>337</v>
      </c>
      <c r="F224" s="117">
        <v>1547</v>
      </c>
      <c r="G224" s="117">
        <v>0</v>
      </c>
      <c r="H224" s="117">
        <v>4298</v>
      </c>
      <c r="I224" s="117">
        <v>24961</v>
      </c>
      <c r="J224" s="117">
        <v>29259</v>
      </c>
      <c r="K224" s="117">
        <v>249</v>
      </c>
      <c r="M224" s="89">
        <v>43101</v>
      </c>
      <c r="N224" s="113">
        <f>Treasury!B224-'Check Treasury Past'!B224</f>
        <v>0</v>
      </c>
      <c r="O224" s="113">
        <f>Treasury!C224-'Check Treasury Past'!C224</f>
        <v>0</v>
      </c>
      <c r="P224" s="113">
        <f>Treasury!D224-'Check Treasury Past'!D224</f>
        <v>0</v>
      </c>
      <c r="Q224" s="113">
        <f>Treasury!E224-'Check Treasury Past'!E224</f>
        <v>0</v>
      </c>
      <c r="R224" s="113">
        <f>Treasury!F224-'Check Treasury Past'!F224</f>
        <v>0</v>
      </c>
      <c r="S224" s="113">
        <f>Treasury!G224-'Check Treasury Past'!G224</f>
        <v>0</v>
      </c>
      <c r="T224" s="113">
        <f>Treasury!H224-'Check Treasury Past'!H224</f>
        <v>0</v>
      </c>
      <c r="U224" s="113">
        <f>Treasury!I224-'Check Treasury Past'!I224</f>
        <v>0</v>
      </c>
      <c r="V224" s="113">
        <f>Treasury!J224-'Check Treasury Past'!J224</f>
        <v>0</v>
      </c>
      <c r="W224" s="113">
        <f>Treasury!K224-'Check Treasury Past'!K224</f>
        <v>0</v>
      </c>
    </row>
    <row r="225" spans="1:23" s="14" customFormat="1" x14ac:dyDescent="0.2">
      <c r="A225" s="110">
        <v>43132</v>
      </c>
      <c r="B225" s="117">
        <v>2327</v>
      </c>
      <c r="C225" s="117">
        <v>125</v>
      </c>
      <c r="D225" s="117">
        <v>2452</v>
      </c>
      <c r="E225" s="117">
        <v>341</v>
      </c>
      <c r="F225" s="117">
        <v>1562</v>
      </c>
      <c r="G225" s="117">
        <v>0</v>
      </c>
      <c r="H225" s="117">
        <v>4355</v>
      </c>
      <c r="I225" s="117">
        <v>24295</v>
      </c>
      <c r="J225" s="117">
        <v>28650</v>
      </c>
      <c r="K225" s="117">
        <v>107</v>
      </c>
      <c r="M225" s="89">
        <v>43132</v>
      </c>
      <c r="N225" s="113">
        <f>Treasury!B225-'Check Treasury Past'!B225</f>
        <v>0</v>
      </c>
      <c r="O225" s="113">
        <f>Treasury!C225-'Check Treasury Past'!C225</f>
        <v>0</v>
      </c>
      <c r="P225" s="113">
        <f>Treasury!D225-'Check Treasury Past'!D225</f>
        <v>0</v>
      </c>
      <c r="Q225" s="113">
        <f>Treasury!E225-'Check Treasury Past'!E225</f>
        <v>0</v>
      </c>
      <c r="R225" s="113">
        <f>Treasury!F225-'Check Treasury Past'!F225</f>
        <v>0</v>
      </c>
      <c r="S225" s="113">
        <f>Treasury!G225-'Check Treasury Past'!G225</f>
        <v>0</v>
      </c>
      <c r="T225" s="113">
        <f>Treasury!H225-'Check Treasury Past'!H225</f>
        <v>0</v>
      </c>
      <c r="U225" s="113">
        <f>Treasury!I225-'Check Treasury Past'!I225</f>
        <v>0</v>
      </c>
      <c r="V225" s="113">
        <f>Treasury!J225-'Check Treasury Past'!J225</f>
        <v>0</v>
      </c>
      <c r="W225" s="113">
        <f>Treasury!K225-'Check Treasury Past'!K225</f>
        <v>0</v>
      </c>
    </row>
    <row r="226" spans="1:23" s="14" customFormat="1" x14ac:dyDescent="0.2">
      <c r="A226" s="110">
        <v>43160</v>
      </c>
      <c r="B226" s="117">
        <v>3697</v>
      </c>
      <c r="C226" s="117">
        <v>160</v>
      </c>
      <c r="D226" s="117">
        <v>3857</v>
      </c>
      <c r="E226" s="117">
        <v>342</v>
      </c>
      <c r="F226" s="117">
        <v>1570</v>
      </c>
      <c r="G226" s="117">
        <v>0</v>
      </c>
      <c r="H226" s="117">
        <v>5769</v>
      </c>
      <c r="I226" s="117">
        <v>24368</v>
      </c>
      <c r="J226" s="117">
        <v>30137</v>
      </c>
      <c r="K226" s="117">
        <v>79</v>
      </c>
      <c r="M226" s="89">
        <v>43160</v>
      </c>
      <c r="N226" s="113">
        <f>Treasury!B226-'Check Treasury Past'!B226</f>
        <v>0</v>
      </c>
      <c r="O226" s="113">
        <f>Treasury!C226-'Check Treasury Past'!C226</f>
        <v>0</v>
      </c>
      <c r="P226" s="113">
        <f>Treasury!D226-'Check Treasury Past'!D226</f>
        <v>0</v>
      </c>
      <c r="Q226" s="113">
        <f>Treasury!E226-'Check Treasury Past'!E226</f>
        <v>0</v>
      </c>
      <c r="R226" s="113">
        <f>Treasury!F226-'Check Treasury Past'!F226</f>
        <v>0</v>
      </c>
      <c r="S226" s="113">
        <f>Treasury!G226-'Check Treasury Past'!G226</f>
        <v>0</v>
      </c>
      <c r="T226" s="113">
        <f>Treasury!H226-'Check Treasury Past'!H226</f>
        <v>0</v>
      </c>
      <c r="U226" s="113">
        <f>Treasury!I226-'Check Treasury Past'!I226</f>
        <v>0</v>
      </c>
      <c r="V226" s="113">
        <f>Treasury!J226-'Check Treasury Past'!J226</f>
        <v>0</v>
      </c>
      <c r="W226" s="113">
        <f>Treasury!K226-'Check Treasury Past'!K226</f>
        <v>0</v>
      </c>
    </row>
    <row r="227" spans="1:23" s="14" customFormat="1" x14ac:dyDescent="0.2">
      <c r="A227" s="110">
        <v>43191</v>
      </c>
      <c r="B227" s="117">
        <v>4057</v>
      </c>
      <c r="C227" s="117">
        <v>192</v>
      </c>
      <c r="D227" s="117">
        <v>4249</v>
      </c>
      <c r="E227" s="117">
        <v>345</v>
      </c>
      <c r="F227" s="117">
        <v>1588</v>
      </c>
      <c r="G227" s="117">
        <v>0</v>
      </c>
      <c r="H227" s="117">
        <v>6182</v>
      </c>
      <c r="I227" s="117">
        <v>22970</v>
      </c>
      <c r="J227" s="117">
        <v>29152</v>
      </c>
      <c r="K227" s="117">
        <v>89</v>
      </c>
      <c r="M227" s="89">
        <v>43191</v>
      </c>
      <c r="N227" s="113">
        <f>Treasury!B227-'Check Treasury Past'!B227</f>
        <v>0</v>
      </c>
      <c r="O227" s="113">
        <f>Treasury!C227-'Check Treasury Past'!C227</f>
        <v>0</v>
      </c>
      <c r="P227" s="113">
        <f>Treasury!D227-'Check Treasury Past'!D227</f>
        <v>0</v>
      </c>
      <c r="Q227" s="113">
        <f>Treasury!E227-'Check Treasury Past'!E227</f>
        <v>0</v>
      </c>
      <c r="R227" s="113">
        <f>Treasury!F227-'Check Treasury Past'!F227</f>
        <v>0</v>
      </c>
      <c r="S227" s="113">
        <f>Treasury!G227-'Check Treasury Past'!G227</f>
        <v>0</v>
      </c>
      <c r="T227" s="113">
        <f>Treasury!H227-'Check Treasury Past'!H227</f>
        <v>0</v>
      </c>
      <c r="U227" s="113">
        <f>Treasury!I227-'Check Treasury Past'!I227</f>
        <v>0</v>
      </c>
      <c r="V227" s="113">
        <f>Treasury!J227-'Check Treasury Past'!J227</f>
        <v>0</v>
      </c>
      <c r="W227" s="113">
        <f>Treasury!K227-'Check Treasury Past'!K227</f>
        <v>0</v>
      </c>
    </row>
    <row r="228" spans="1:23" s="14" customFormat="1" x14ac:dyDescent="0.2">
      <c r="A228" s="110">
        <v>43221</v>
      </c>
      <c r="B228" s="117">
        <v>4890</v>
      </c>
      <c r="C228" s="117">
        <v>251</v>
      </c>
      <c r="D228" s="117">
        <v>5141</v>
      </c>
      <c r="E228" s="117">
        <v>345</v>
      </c>
      <c r="F228" s="117">
        <v>1587</v>
      </c>
      <c r="G228" s="117">
        <v>0</v>
      </c>
      <c r="H228" s="117">
        <v>7073</v>
      </c>
      <c r="I228" s="117">
        <v>23667</v>
      </c>
      <c r="J228" s="117">
        <v>30740</v>
      </c>
      <c r="K228" s="117">
        <v>149</v>
      </c>
      <c r="M228" s="89">
        <v>43221</v>
      </c>
      <c r="N228" s="113">
        <f>Treasury!B228-'Check Treasury Past'!B228</f>
        <v>0</v>
      </c>
      <c r="O228" s="113">
        <f>Treasury!C228-'Check Treasury Past'!C228</f>
        <v>0</v>
      </c>
      <c r="P228" s="113">
        <f>Treasury!D228-'Check Treasury Past'!D228</f>
        <v>0</v>
      </c>
      <c r="Q228" s="113">
        <f>Treasury!E228-'Check Treasury Past'!E228</f>
        <v>0</v>
      </c>
      <c r="R228" s="113">
        <f>Treasury!F228-'Check Treasury Past'!F228</f>
        <v>0</v>
      </c>
      <c r="S228" s="113">
        <f>Treasury!G228-'Check Treasury Past'!G228</f>
        <v>0</v>
      </c>
      <c r="T228" s="113">
        <f>Treasury!H228-'Check Treasury Past'!H228</f>
        <v>0</v>
      </c>
      <c r="U228" s="113">
        <f>Treasury!I228-'Check Treasury Past'!I228</f>
        <v>0</v>
      </c>
      <c r="V228" s="113">
        <f>Treasury!J228-'Check Treasury Past'!J228</f>
        <v>0</v>
      </c>
      <c r="W228" s="113">
        <f>Treasury!K228-'Check Treasury Past'!K228</f>
        <v>0</v>
      </c>
    </row>
    <row r="229" spans="1:23" x14ac:dyDescent="0.2">
      <c r="A229" s="110">
        <v>43252</v>
      </c>
      <c r="B229" s="116">
        <v>4372</v>
      </c>
      <c r="C229" s="117">
        <v>274</v>
      </c>
      <c r="D229" s="117">
        <v>4646</v>
      </c>
      <c r="E229" s="117">
        <v>420</v>
      </c>
      <c r="F229" s="117">
        <v>1627</v>
      </c>
      <c r="G229" s="117">
        <v>0</v>
      </c>
      <c r="H229" s="117">
        <v>6693</v>
      </c>
      <c r="I229" s="117">
        <v>25547</v>
      </c>
      <c r="J229" s="117">
        <v>32240</v>
      </c>
      <c r="K229" s="117">
        <v>34</v>
      </c>
      <c r="M229" s="89">
        <v>43252</v>
      </c>
      <c r="N229" s="113">
        <f>Treasury!B229-'Check Treasury Past'!B229</f>
        <v>0</v>
      </c>
      <c r="O229" s="113">
        <f>Treasury!C229-'Check Treasury Past'!C229</f>
        <v>0</v>
      </c>
      <c r="P229" s="113">
        <f>Treasury!D229-'Check Treasury Past'!D229</f>
        <v>0</v>
      </c>
      <c r="Q229" s="113">
        <f>Treasury!E229-'Check Treasury Past'!E229</f>
        <v>0</v>
      </c>
      <c r="R229" s="113">
        <f>Treasury!F229-'Check Treasury Past'!F229</f>
        <v>0</v>
      </c>
      <c r="S229" s="113">
        <f>Treasury!G229-'Check Treasury Past'!G229</f>
        <v>0</v>
      </c>
      <c r="T229" s="113">
        <f>Treasury!H229-'Check Treasury Past'!H229</f>
        <v>0</v>
      </c>
      <c r="U229" s="113">
        <f>Treasury!I229-'Check Treasury Past'!I229</f>
        <v>0</v>
      </c>
      <c r="V229" s="113">
        <f>Treasury!J229-'Check Treasury Past'!J229</f>
        <v>0</v>
      </c>
      <c r="W229" s="113">
        <f>Treasury!K229-'Check Treasury Past'!K229</f>
        <v>0</v>
      </c>
    </row>
    <row r="230" spans="1:23" x14ac:dyDescent="0.2">
      <c r="A230" s="110">
        <v>43282</v>
      </c>
      <c r="B230" s="117">
        <v>3888</v>
      </c>
      <c r="C230" s="117">
        <v>233</v>
      </c>
      <c r="D230" s="117">
        <v>4121</v>
      </c>
      <c r="E230" s="117">
        <v>415</v>
      </c>
      <c r="F230" s="117">
        <v>1998</v>
      </c>
      <c r="G230" s="117">
        <v>0</v>
      </c>
      <c r="H230" s="117">
        <v>6534</v>
      </c>
      <c r="I230" s="117">
        <v>23321</v>
      </c>
      <c r="J230" s="117">
        <v>29855</v>
      </c>
      <c r="K230" s="117">
        <v>17</v>
      </c>
      <c r="M230" s="89">
        <v>43282</v>
      </c>
      <c r="N230" s="113">
        <f>Treasury!B230-'Check Treasury Past'!B230</f>
        <v>0</v>
      </c>
      <c r="O230" s="113">
        <f>Treasury!C230-'Check Treasury Past'!C230</f>
        <v>0</v>
      </c>
      <c r="P230" s="113">
        <f>Treasury!D230-'Check Treasury Past'!D230</f>
        <v>0</v>
      </c>
      <c r="Q230" s="113">
        <f>Treasury!E230-'Check Treasury Past'!E230</f>
        <v>0</v>
      </c>
      <c r="R230" s="113">
        <f>Treasury!F230-'Check Treasury Past'!F230</f>
        <v>0</v>
      </c>
      <c r="S230" s="113">
        <f>Treasury!G230-'Check Treasury Past'!G230</f>
        <v>0</v>
      </c>
      <c r="T230" s="113">
        <f>Treasury!H230-'Check Treasury Past'!H230</f>
        <v>0</v>
      </c>
      <c r="U230" s="113">
        <f>Treasury!I230-'Check Treasury Past'!I230</f>
        <v>0</v>
      </c>
      <c r="V230" s="113">
        <f>Treasury!J230-'Check Treasury Past'!J230</f>
        <v>0</v>
      </c>
      <c r="W230" s="113">
        <f>Treasury!K230-'Check Treasury Past'!K230</f>
        <v>0</v>
      </c>
    </row>
    <row r="231" spans="1:23" x14ac:dyDescent="0.2">
      <c r="A231" s="110">
        <v>43313</v>
      </c>
      <c r="B231" s="117">
        <v>4263</v>
      </c>
      <c r="C231" s="117">
        <v>741</v>
      </c>
      <c r="D231" s="117">
        <v>5004</v>
      </c>
      <c r="E231" s="117">
        <v>426</v>
      </c>
      <c r="F231" s="117">
        <v>2047</v>
      </c>
      <c r="G231" s="117">
        <v>0</v>
      </c>
      <c r="H231" s="117">
        <v>7477</v>
      </c>
      <c r="I231" s="117">
        <v>23985</v>
      </c>
      <c r="J231" s="117">
        <v>31462</v>
      </c>
      <c r="K231" s="117">
        <v>-71</v>
      </c>
      <c r="M231" s="89">
        <v>43313</v>
      </c>
      <c r="N231" s="113">
        <f>Treasury!B231-'Check Treasury Past'!B231</f>
        <v>0</v>
      </c>
      <c r="O231" s="113">
        <f>Treasury!C231-'Check Treasury Past'!C231</f>
        <v>0</v>
      </c>
      <c r="P231" s="113">
        <f>Treasury!D231-'Check Treasury Past'!D231</f>
        <v>0</v>
      </c>
      <c r="Q231" s="113">
        <f>Treasury!E231-'Check Treasury Past'!E231</f>
        <v>0</v>
      </c>
      <c r="R231" s="113">
        <f>Treasury!F231-'Check Treasury Past'!F231</f>
        <v>0</v>
      </c>
      <c r="S231" s="113">
        <f>Treasury!G231-'Check Treasury Past'!G231</f>
        <v>0</v>
      </c>
      <c r="T231" s="113">
        <f>Treasury!H231-'Check Treasury Past'!H231</f>
        <v>0</v>
      </c>
      <c r="U231" s="113">
        <f>Treasury!I231-'Check Treasury Past'!I231</f>
        <v>0</v>
      </c>
      <c r="V231" s="113">
        <f>Treasury!J231-'Check Treasury Past'!J231</f>
        <v>0</v>
      </c>
      <c r="W231" s="113">
        <f>Treasury!K231-'Check Treasury Past'!K231</f>
        <v>0</v>
      </c>
    </row>
    <row r="232" spans="1:23" x14ac:dyDescent="0.2">
      <c r="A232" s="110">
        <v>43344</v>
      </c>
      <c r="B232" s="117">
        <v>4227</v>
      </c>
      <c r="C232" s="117">
        <v>895</v>
      </c>
      <c r="D232" s="117">
        <v>5122</v>
      </c>
      <c r="E232" s="117">
        <v>424</v>
      </c>
      <c r="F232" s="117">
        <v>2052</v>
      </c>
      <c r="G232" s="117">
        <v>0</v>
      </c>
      <c r="H232" s="117">
        <v>7598</v>
      </c>
      <c r="I232" s="117">
        <v>23036</v>
      </c>
      <c r="J232" s="117">
        <v>30634</v>
      </c>
      <c r="K232" s="117">
        <v>-49</v>
      </c>
      <c r="M232" s="89">
        <v>43344</v>
      </c>
      <c r="N232" s="113">
        <f>Treasury!B232-'Check Treasury Past'!B232</f>
        <v>0</v>
      </c>
      <c r="O232" s="113">
        <f>Treasury!C232-'Check Treasury Past'!C232</f>
        <v>0</v>
      </c>
      <c r="P232" s="113">
        <f>Treasury!D232-'Check Treasury Past'!D232</f>
        <v>0</v>
      </c>
      <c r="Q232" s="113">
        <f>Treasury!E232-'Check Treasury Past'!E232</f>
        <v>0</v>
      </c>
      <c r="R232" s="113">
        <f>Treasury!F232-'Check Treasury Past'!F232</f>
        <v>0</v>
      </c>
      <c r="S232" s="113">
        <f>Treasury!G232-'Check Treasury Past'!G232</f>
        <v>0</v>
      </c>
      <c r="T232" s="113">
        <f>Treasury!H232-'Check Treasury Past'!H232</f>
        <v>0</v>
      </c>
      <c r="U232" s="113">
        <f>Treasury!I232-'Check Treasury Past'!I232</f>
        <v>0</v>
      </c>
      <c r="V232" s="113">
        <f>Treasury!J232-'Check Treasury Past'!J232</f>
        <v>0</v>
      </c>
      <c r="W232" s="113">
        <f>Treasury!K232-'Check Treasury Past'!K232</f>
        <v>0</v>
      </c>
    </row>
    <row r="233" spans="1:23" x14ac:dyDescent="0.2">
      <c r="A233" s="110">
        <v>43374</v>
      </c>
      <c r="B233" s="117">
        <v>3782</v>
      </c>
      <c r="C233" s="117">
        <v>657</v>
      </c>
      <c r="D233" s="117">
        <v>4439</v>
      </c>
      <c r="E233" s="117">
        <v>423</v>
      </c>
      <c r="F233" s="117">
        <v>2036</v>
      </c>
      <c r="G233" s="117">
        <v>0</v>
      </c>
      <c r="H233" s="117">
        <v>6898</v>
      </c>
      <c r="I233" s="117">
        <v>20747</v>
      </c>
      <c r="J233" s="117">
        <v>27645</v>
      </c>
      <c r="K233" s="117">
        <v>-17</v>
      </c>
      <c r="M233" s="89">
        <v>43374</v>
      </c>
      <c r="N233" s="113">
        <f>Treasury!B233-'Check Treasury Past'!B233</f>
        <v>0</v>
      </c>
      <c r="O233" s="113">
        <f>Treasury!C233-'Check Treasury Past'!C233</f>
        <v>0</v>
      </c>
      <c r="P233" s="113">
        <f>Treasury!D233-'Check Treasury Past'!D233</f>
        <v>0</v>
      </c>
      <c r="Q233" s="113">
        <f>Treasury!E233-'Check Treasury Past'!E233</f>
        <v>0</v>
      </c>
      <c r="R233" s="113">
        <f>Treasury!F233-'Check Treasury Past'!F233</f>
        <v>0</v>
      </c>
      <c r="S233" s="113">
        <f>Treasury!G233-'Check Treasury Past'!G233</f>
        <v>0</v>
      </c>
      <c r="T233" s="113">
        <f>Treasury!H233-'Check Treasury Past'!H233</f>
        <v>0</v>
      </c>
      <c r="U233" s="113">
        <f>Treasury!I233-'Check Treasury Past'!I233</f>
        <v>0</v>
      </c>
      <c r="V233" s="113">
        <f>Treasury!J233-'Check Treasury Past'!J233</f>
        <v>0</v>
      </c>
      <c r="W233" s="113">
        <f>Treasury!K233-'Check Treasury Past'!K233</f>
        <v>0</v>
      </c>
    </row>
    <row r="234" spans="1:23" x14ac:dyDescent="0.2">
      <c r="A234" s="110">
        <v>43405</v>
      </c>
      <c r="B234" s="117">
        <v>2355</v>
      </c>
      <c r="C234" s="117">
        <v>808</v>
      </c>
      <c r="D234" s="117">
        <v>3163</v>
      </c>
      <c r="E234" s="117">
        <v>404</v>
      </c>
      <c r="F234" s="117">
        <v>1880</v>
      </c>
      <c r="G234" s="117">
        <v>0</v>
      </c>
      <c r="H234" s="117">
        <v>5447</v>
      </c>
      <c r="I234" s="117">
        <v>20902</v>
      </c>
      <c r="J234" s="117">
        <v>26349</v>
      </c>
      <c r="K234" s="117">
        <v>182</v>
      </c>
      <c r="M234" s="89">
        <v>43405</v>
      </c>
      <c r="N234" s="113">
        <f>Treasury!B234-'Check Treasury Past'!B234</f>
        <v>0</v>
      </c>
      <c r="O234" s="113">
        <f>Treasury!C234-'Check Treasury Past'!C234</f>
        <v>0</v>
      </c>
      <c r="P234" s="113">
        <f>Treasury!D234-'Check Treasury Past'!D234</f>
        <v>0</v>
      </c>
      <c r="Q234" s="113">
        <f>Treasury!E234-'Check Treasury Past'!E234</f>
        <v>0</v>
      </c>
      <c r="R234" s="113">
        <f>Treasury!F234-'Check Treasury Past'!F234</f>
        <v>0</v>
      </c>
      <c r="S234" s="113">
        <f>Treasury!G234-'Check Treasury Past'!G234</f>
        <v>0</v>
      </c>
      <c r="T234" s="113">
        <f>Treasury!H234-'Check Treasury Past'!H234</f>
        <v>0</v>
      </c>
      <c r="U234" s="113">
        <f>Treasury!I234-'Check Treasury Past'!I234</f>
        <v>0</v>
      </c>
      <c r="V234" s="113">
        <f>Treasury!J234-'Check Treasury Past'!J234</f>
        <v>0</v>
      </c>
      <c r="W234" s="113">
        <f>Treasury!K234-'Check Treasury Past'!K234</f>
        <v>0</v>
      </c>
    </row>
    <row r="235" spans="1:23" x14ac:dyDescent="0.2">
      <c r="A235" s="110">
        <v>43435</v>
      </c>
      <c r="B235" s="117">
        <v>1525</v>
      </c>
      <c r="C235" s="117">
        <v>925</v>
      </c>
      <c r="D235" s="117">
        <v>2450</v>
      </c>
      <c r="E235" s="117">
        <v>454</v>
      </c>
      <c r="F235" s="117">
        <v>1923</v>
      </c>
      <c r="G235" s="117">
        <v>0</v>
      </c>
      <c r="H235" s="117">
        <v>4827</v>
      </c>
      <c r="I235" s="117">
        <v>21473</v>
      </c>
      <c r="J235" s="117">
        <v>26300</v>
      </c>
      <c r="K235" s="117">
        <v>235</v>
      </c>
      <c r="M235" s="89">
        <v>43435</v>
      </c>
      <c r="N235" s="113">
        <f>Treasury!B235-'Check Treasury Past'!B235</f>
        <v>0</v>
      </c>
      <c r="O235" s="113">
        <f>Treasury!C235-'Check Treasury Past'!C235</f>
        <v>0</v>
      </c>
      <c r="P235" s="113">
        <f>Treasury!D235-'Check Treasury Past'!D235</f>
        <v>0</v>
      </c>
      <c r="Q235" s="113">
        <f>Treasury!E235-'Check Treasury Past'!E235</f>
        <v>0</v>
      </c>
      <c r="R235" s="113">
        <f>Treasury!F235-'Check Treasury Past'!F235</f>
        <v>0</v>
      </c>
      <c r="S235" s="113">
        <f>Treasury!G235-'Check Treasury Past'!G235</f>
        <v>0</v>
      </c>
      <c r="T235" s="113">
        <f>Treasury!H235-'Check Treasury Past'!H235</f>
        <v>0</v>
      </c>
      <c r="U235" s="113">
        <f>Treasury!I235-'Check Treasury Past'!I235</f>
        <v>0</v>
      </c>
      <c r="V235" s="113">
        <f>Treasury!J235-'Check Treasury Past'!J235</f>
        <v>0</v>
      </c>
      <c r="W235" s="113">
        <f>Treasury!K235-'Check Treasury Past'!K235</f>
        <v>0</v>
      </c>
    </row>
    <row r="236" spans="1:23" x14ac:dyDescent="0.2">
      <c r="A236" s="110">
        <v>43466</v>
      </c>
      <c r="B236" s="117">
        <v>1622</v>
      </c>
      <c r="C236" s="117">
        <v>979</v>
      </c>
      <c r="D236" s="117">
        <v>2601</v>
      </c>
      <c r="E236" s="117">
        <v>444</v>
      </c>
      <c r="F236" s="117">
        <v>1881</v>
      </c>
      <c r="G236" s="117">
        <v>0</v>
      </c>
      <c r="H236" s="117">
        <v>4926</v>
      </c>
      <c r="I236" s="117">
        <v>24608</v>
      </c>
      <c r="J236" s="117">
        <v>29534</v>
      </c>
      <c r="K236" s="117">
        <v>144</v>
      </c>
      <c r="M236" s="89">
        <v>43466</v>
      </c>
      <c r="N236" s="113">
        <f>Treasury!B236-'Check Treasury Past'!B236</f>
        <v>0</v>
      </c>
      <c r="O236" s="113">
        <f>Treasury!C236-'Check Treasury Past'!C236</f>
        <v>0</v>
      </c>
      <c r="P236" s="113">
        <f>Treasury!D236-'Check Treasury Past'!D236</f>
        <v>0</v>
      </c>
      <c r="Q236" s="113">
        <f>Treasury!E236-'Check Treasury Past'!E236</f>
        <v>0</v>
      </c>
      <c r="R236" s="113">
        <f>Treasury!F236-'Check Treasury Past'!F236</f>
        <v>0</v>
      </c>
      <c r="S236" s="113">
        <f>Treasury!G236-'Check Treasury Past'!G236</f>
        <v>0</v>
      </c>
      <c r="T236" s="113">
        <f>Treasury!H236-'Check Treasury Past'!H236</f>
        <v>0</v>
      </c>
      <c r="U236" s="113">
        <f>Treasury!I236-'Check Treasury Past'!I236</f>
        <v>0</v>
      </c>
      <c r="V236" s="113">
        <f>Treasury!J236-'Check Treasury Past'!J236</f>
        <v>0</v>
      </c>
      <c r="W236" s="113">
        <f>Treasury!K236-'Check Treasury Past'!K236</f>
        <v>0</v>
      </c>
    </row>
    <row r="237" spans="1:23" x14ac:dyDescent="0.2">
      <c r="A237" s="110">
        <v>43497</v>
      </c>
      <c r="B237" s="117">
        <v>1812</v>
      </c>
      <c r="C237" s="117">
        <v>945</v>
      </c>
      <c r="D237" s="117">
        <v>2757</v>
      </c>
      <c r="E237" s="117">
        <v>444</v>
      </c>
      <c r="F237" s="117">
        <v>1894</v>
      </c>
      <c r="G237" s="117">
        <v>0</v>
      </c>
      <c r="H237" s="117">
        <v>5095</v>
      </c>
      <c r="I237" s="117">
        <v>23691</v>
      </c>
      <c r="J237" s="117">
        <v>28786</v>
      </c>
      <c r="K237" s="117">
        <v>-25</v>
      </c>
      <c r="M237" s="89">
        <v>43497</v>
      </c>
      <c r="N237" s="113">
        <f>Treasury!B237-'Check Treasury Past'!B237</f>
        <v>0</v>
      </c>
      <c r="O237" s="113">
        <f>Treasury!C237-'Check Treasury Past'!C237</f>
        <v>0</v>
      </c>
      <c r="P237" s="113">
        <f>Treasury!D237-'Check Treasury Past'!D237</f>
        <v>0</v>
      </c>
      <c r="Q237" s="113">
        <f>Treasury!E237-'Check Treasury Past'!E237</f>
        <v>0</v>
      </c>
      <c r="R237" s="113">
        <f>Treasury!F237-'Check Treasury Past'!F237</f>
        <v>0</v>
      </c>
      <c r="S237" s="113">
        <f>Treasury!G237-'Check Treasury Past'!G237</f>
        <v>0</v>
      </c>
      <c r="T237" s="113">
        <f>Treasury!H237-'Check Treasury Past'!H237</f>
        <v>0</v>
      </c>
      <c r="U237" s="113">
        <f>Treasury!I237-'Check Treasury Past'!I237</f>
        <v>0</v>
      </c>
      <c r="V237" s="113">
        <f>Treasury!J237-'Check Treasury Past'!J237</f>
        <v>0</v>
      </c>
      <c r="W237" s="113">
        <f>Treasury!K237-'Check Treasury Past'!K237</f>
        <v>0</v>
      </c>
    </row>
    <row r="238" spans="1:23" x14ac:dyDescent="0.2">
      <c r="A238" s="110">
        <v>43525</v>
      </c>
      <c r="B238" s="117">
        <v>2506</v>
      </c>
      <c r="C238" s="117">
        <v>1412</v>
      </c>
      <c r="D238" s="117">
        <v>3918</v>
      </c>
      <c r="E238" s="117">
        <v>442</v>
      </c>
      <c r="F238" s="117">
        <v>1775</v>
      </c>
      <c r="G238" s="117">
        <v>0</v>
      </c>
      <c r="H238" s="117">
        <v>6135</v>
      </c>
      <c r="I238" s="117">
        <v>21581</v>
      </c>
      <c r="J238" s="117">
        <v>27716</v>
      </c>
      <c r="K238" s="117">
        <v>54</v>
      </c>
      <c r="M238" s="89">
        <v>43525</v>
      </c>
      <c r="N238" s="113">
        <f>Treasury!B238-'Check Treasury Past'!B238</f>
        <v>0</v>
      </c>
      <c r="O238" s="113">
        <f>Treasury!C238-'Check Treasury Past'!C238</f>
        <v>0</v>
      </c>
      <c r="P238" s="113">
        <f>Treasury!D238-'Check Treasury Past'!D238</f>
        <v>0</v>
      </c>
      <c r="Q238" s="113">
        <f>Treasury!E238-'Check Treasury Past'!E238</f>
        <v>0</v>
      </c>
      <c r="R238" s="113">
        <f>Treasury!F238-'Check Treasury Past'!F238</f>
        <v>0</v>
      </c>
      <c r="S238" s="113">
        <f>Treasury!G238-'Check Treasury Past'!G238</f>
        <v>0</v>
      </c>
      <c r="T238" s="113">
        <f>Treasury!H238-'Check Treasury Past'!H238</f>
        <v>0</v>
      </c>
      <c r="U238" s="113">
        <f>Treasury!I238-'Check Treasury Past'!I238</f>
        <v>0</v>
      </c>
      <c r="V238" s="113">
        <f>Treasury!J238-'Check Treasury Past'!J238</f>
        <v>0</v>
      </c>
      <c r="W238" s="113">
        <f>Treasury!K238-'Check Treasury Past'!K238</f>
        <v>0</v>
      </c>
    </row>
    <row r="239" spans="1:23" x14ac:dyDescent="0.2">
      <c r="A239" s="110">
        <v>43585</v>
      </c>
      <c r="B239" s="117">
        <v>2359</v>
      </c>
      <c r="C239" s="117">
        <v>1523</v>
      </c>
      <c r="D239" s="117">
        <v>3882</v>
      </c>
      <c r="E239" s="117">
        <v>501</v>
      </c>
      <c r="F239" s="117">
        <v>1802</v>
      </c>
      <c r="G239" s="117">
        <v>0</v>
      </c>
      <c r="H239" s="117">
        <v>6185</v>
      </c>
      <c r="I239" s="117">
        <v>21007</v>
      </c>
      <c r="J239" s="117">
        <v>27192</v>
      </c>
      <c r="K239" s="117">
        <v>134</v>
      </c>
      <c r="M239" s="89">
        <v>43585</v>
      </c>
      <c r="N239" s="113">
        <f>Treasury!B239-'Check Treasury Past'!B239</f>
        <v>0</v>
      </c>
      <c r="O239" s="113">
        <f>Treasury!C239-'Check Treasury Past'!C239</f>
        <v>0</v>
      </c>
      <c r="P239" s="113">
        <f>Treasury!D239-'Check Treasury Past'!D239</f>
        <v>0</v>
      </c>
      <c r="Q239" s="113">
        <f>Treasury!E239-'Check Treasury Past'!E239</f>
        <v>0</v>
      </c>
      <c r="R239" s="113">
        <f>Treasury!F239-'Check Treasury Past'!F239</f>
        <v>0</v>
      </c>
      <c r="S239" s="113">
        <f>Treasury!G239-'Check Treasury Past'!G239</f>
        <v>0</v>
      </c>
      <c r="T239" s="113">
        <f>Treasury!H239-'Check Treasury Past'!H239</f>
        <v>0</v>
      </c>
      <c r="U239" s="113">
        <f>Treasury!I239-'Check Treasury Past'!I239</f>
        <v>0</v>
      </c>
      <c r="V239" s="113">
        <f>Treasury!J239-'Check Treasury Past'!J239</f>
        <v>0</v>
      </c>
      <c r="W239" s="113">
        <f>Treasury!K239-'Check Treasury Past'!K239</f>
        <v>0</v>
      </c>
    </row>
    <row r="240" spans="1:23" x14ac:dyDescent="0.2">
      <c r="A240" s="110">
        <v>43616</v>
      </c>
      <c r="B240" s="117">
        <v>3707</v>
      </c>
      <c r="C240" s="117">
        <v>1061</v>
      </c>
      <c r="D240" s="117">
        <v>4768</v>
      </c>
      <c r="E240" s="117">
        <v>511</v>
      </c>
      <c r="F240" s="117">
        <v>1785</v>
      </c>
      <c r="G240" s="117">
        <v>0</v>
      </c>
      <c r="H240" s="117">
        <v>7064</v>
      </c>
      <c r="I240" s="117">
        <v>22165</v>
      </c>
      <c r="J240" s="117">
        <v>29229</v>
      </c>
      <c r="K240" s="117">
        <v>136</v>
      </c>
      <c r="M240" s="89">
        <v>43616</v>
      </c>
      <c r="N240" s="113">
        <f>Treasury!B240-'Check Treasury Past'!B240</f>
        <v>0</v>
      </c>
      <c r="O240" s="113">
        <f>Treasury!C240-'Check Treasury Past'!C240</f>
        <v>0</v>
      </c>
      <c r="P240" s="113">
        <f>Treasury!D240-'Check Treasury Past'!D240</f>
        <v>0</v>
      </c>
      <c r="Q240" s="113">
        <f>Treasury!E240-'Check Treasury Past'!E240</f>
        <v>0</v>
      </c>
      <c r="R240" s="113">
        <f>Treasury!F240-'Check Treasury Past'!F240</f>
        <v>0</v>
      </c>
      <c r="S240" s="113">
        <f>Treasury!G240-'Check Treasury Past'!G240</f>
        <v>0</v>
      </c>
      <c r="T240" s="113">
        <f>Treasury!H240-'Check Treasury Past'!H240</f>
        <v>0</v>
      </c>
      <c r="U240" s="113">
        <f>Treasury!I240-'Check Treasury Past'!I240</f>
        <v>0</v>
      </c>
      <c r="V240" s="113">
        <f>Treasury!J240-'Check Treasury Past'!J240</f>
        <v>0</v>
      </c>
      <c r="W240" s="113">
        <f>Treasury!K240-'Check Treasury Past'!K240</f>
        <v>0</v>
      </c>
    </row>
    <row r="241" spans="1:23" x14ac:dyDescent="0.2">
      <c r="A241" s="110">
        <v>43646</v>
      </c>
      <c r="B241" s="117">
        <v>4683</v>
      </c>
      <c r="C241" s="117">
        <v>475</v>
      </c>
      <c r="D241" s="117">
        <v>5158</v>
      </c>
      <c r="E241" s="117">
        <v>494</v>
      </c>
      <c r="F241" s="117">
        <v>1826</v>
      </c>
      <c r="G241" s="117">
        <v>0</v>
      </c>
      <c r="H241" s="117">
        <v>7478</v>
      </c>
      <c r="I241" s="117">
        <v>21790</v>
      </c>
      <c r="J241" s="117">
        <v>29268</v>
      </c>
      <c r="K241" s="117">
        <v>197</v>
      </c>
      <c r="M241" s="89">
        <v>43646</v>
      </c>
      <c r="N241" s="113">
        <f>Treasury!B241-'Check Treasury Past'!B241</f>
        <v>0</v>
      </c>
      <c r="O241" s="113">
        <f>Treasury!C241-'Check Treasury Past'!C241</f>
        <v>0</v>
      </c>
      <c r="P241" s="113">
        <f>Treasury!D241-'Check Treasury Past'!D241</f>
        <v>0</v>
      </c>
      <c r="Q241" s="113">
        <f>Treasury!E241-'Check Treasury Past'!E241</f>
        <v>0</v>
      </c>
      <c r="R241" s="113">
        <f>Treasury!F241-'Check Treasury Past'!F241</f>
        <v>0</v>
      </c>
      <c r="S241" s="113">
        <f>Treasury!G241-'Check Treasury Past'!G241</f>
        <v>0</v>
      </c>
      <c r="T241" s="113">
        <f>Treasury!H241-'Check Treasury Past'!H241</f>
        <v>0</v>
      </c>
      <c r="U241" s="113">
        <f>Treasury!I241-'Check Treasury Past'!I241</f>
        <v>0</v>
      </c>
      <c r="V241" s="113">
        <f>Treasury!J241-'Check Treasury Past'!J241</f>
        <v>0</v>
      </c>
      <c r="W241" s="113">
        <f>Treasury!K241-'Check Treasury Past'!K241</f>
        <v>0</v>
      </c>
    </row>
    <row r="242" spans="1:23" x14ac:dyDescent="0.2">
      <c r="A242" s="110">
        <v>43677</v>
      </c>
      <c r="B242" s="117">
        <v>4137</v>
      </c>
      <c r="C242" s="117">
        <v>577</v>
      </c>
      <c r="D242" s="117">
        <v>4714</v>
      </c>
      <c r="E242" s="117">
        <v>541</v>
      </c>
      <c r="F242" s="117">
        <v>1836</v>
      </c>
      <c r="G242" s="117">
        <v>0</v>
      </c>
      <c r="H242" s="117">
        <v>7091</v>
      </c>
      <c r="I242" s="117">
        <v>19837</v>
      </c>
      <c r="J242" s="117">
        <v>26928</v>
      </c>
      <c r="K242" s="117">
        <v>-4</v>
      </c>
      <c r="M242" s="89">
        <v>43647</v>
      </c>
      <c r="N242" s="113">
        <f>Treasury!B242-'Check Treasury Past'!B242</f>
        <v>0</v>
      </c>
      <c r="O242" s="113">
        <f>Treasury!C242-'Check Treasury Past'!C242</f>
        <v>0</v>
      </c>
      <c r="P242" s="113">
        <f>Treasury!D242-'Check Treasury Past'!D242</f>
        <v>0</v>
      </c>
      <c r="Q242" s="113">
        <f>Treasury!E242-'Check Treasury Past'!E242</f>
        <v>0</v>
      </c>
      <c r="R242" s="113">
        <f>Treasury!F242-'Check Treasury Past'!F242</f>
        <v>0</v>
      </c>
      <c r="S242" s="113">
        <f>Treasury!G242-'Check Treasury Past'!G242</f>
        <v>0</v>
      </c>
      <c r="T242" s="113">
        <f>Treasury!H242-'Check Treasury Past'!H242</f>
        <v>0</v>
      </c>
      <c r="U242" s="113">
        <f>Treasury!I242-'Check Treasury Past'!I242</f>
        <v>0</v>
      </c>
      <c r="V242" s="113">
        <f>Treasury!J242-'Check Treasury Past'!J242</f>
        <v>0</v>
      </c>
      <c r="W242" s="113">
        <f>Treasury!K242-'Check Treasury Past'!K242</f>
        <v>0</v>
      </c>
    </row>
    <row r="243" spans="1:23" x14ac:dyDescent="0.2">
      <c r="A243" s="110">
        <v>43708</v>
      </c>
      <c r="B243" s="117">
        <v>4404</v>
      </c>
      <c r="C243" s="117">
        <v>995</v>
      </c>
      <c r="D243" s="117">
        <v>5399</v>
      </c>
      <c r="E243" s="117">
        <v>563</v>
      </c>
      <c r="F243" s="117">
        <v>1911</v>
      </c>
      <c r="G243" s="117">
        <v>0</v>
      </c>
      <c r="H243" s="117">
        <v>7873</v>
      </c>
      <c r="I243" s="117">
        <v>19735</v>
      </c>
      <c r="J243" s="117">
        <v>27608</v>
      </c>
      <c r="K243" s="117">
        <v>220</v>
      </c>
      <c r="M243" s="89">
        <v>43678</v>
      </c>
      <c r="N243" s="113">
        <f>Treasury!B243-'Check Treasury Past'!B243</f>
        <v>0</v>
      </c>
      <c r="O243" s="113">
        <f>Treasury!C243-'Check Treasury Past'!C243</f>
        <v>0</v>
      </c>
      <c r="P243" s="113">
        <f>Treasury!D243-'Check Treasury Past'!D243</f>
        <v>0</v>
      </c>
      <c r="Q243" s="113">
        <f>Treasury!E243-'Check Treasury Past'!E243</f>
        <v>0</v>
      </c>
      <c r="R243" s="113">
        <f>Treasury!F243-'Check Treasury Past'!F243</f>
        <v>0</v>
      </c>
      <c r="S243" s="113">
        <f>Treasury!G243-'Check Treasury Past'!G243</f>
        <v>0</v>
      </c>
      <c r="T243" s="113">
        <f>Treasury!H243-'Check Treasury Past'!H243</f>
        <v>0</v>
      </c>
      <c r="U243" s="113">
        <f>Treasury!I243-'Check Treasury Past'!I243</f>
        <v>0</v>
      </c>
      <c r="V243" s="113">
        <f>Treasury!J243-'Check Treasury Past'!J243</f>
        <v>0</v>
      </c>
      <c r="W243" s="113">
        <f>Treasury!K243-'Check Treasury Past'!K243</f>
        <v>0</v>
      </c>
    </row>
    <row r="244" spans="1:23" x14ac:dyDescent="0.2">
      <c r="A244" s="110">
        <v>43738</v>
      </c>
      <c r="B244" s="117">
        <v>5153</v>
      </c>
      <c r="C244" s="117">
        <v>956</v>
      </c>
      <c r="D244" s="117">
        <v>6109</v>
      </c>
      <c r="E244" s="117">
        <v>564</v>
      </c>
      <c r="F244" s="117">
        <v>1915</v>
      </c>
      <c r="G244" s="117">
        <v>0</v>
      </c>
      <c r="H244" s="117">
        <v>8588</v>
      </c>
      <c r="I244" s="117">
        <v>20734</v>
      </c>
      <c r="J244" s="117">
        <v>29322</v>
      </c>
      <c r="K244" s="117">
        <v>-5</v>
      </c>
      <c r="M244" s="89">
        <v>43709</v>
      </c>
      <c r="N244" s="113">
        <f>Treasury!B244-'Check Treasury Past'!B244</f>
        <v>0</v>
      </c>
      <c r="O244" s="113">
        <f>Treasury!C244-'Check Treasury Past'!C244</f>
        <v>0</v>
      </c>
      <c r="P244" s="113">
        <f>Treasury!D244-'Check Treasury Past'!D244</f>
        <v>0</v>
      </c>
      <c r="Q244" s="113">
        <f>Treasury!E244-'Check Treasury Past'!E244</f>
        <v>0</v>
      </c>
      <c r="R244" s="113">
        <f>Treasury!F244-'Check Treasury Past'!F244</f>
        <v>0</v>
      </c>
      <c r="S244" s="113">
        <f>Treasury!G244-'Check Treasury Past'!G244</f>
        <v>0</v>
      </c>
      <c r="T244" s="113">
        <f>Treasury!H244-'Check Treasury Past'!H244</f>
        <v>0</v>
      </c>
      <c r="U244" s="113">
        <f>Treasury!I244-'Check Treasury Past'!I244</f>
        <v>0</v>
      </c>
      <c r="V244" s="113">
        <f>Treasury!J244-'Check Treasury Past'!J244</f>
        <v>0</v>
      </c>
      <c r="W244" s="113">
        <f>Treasury!K244-'Check Treasury Past'!K244</f>
        <v>0</v>
      </c>
    </row>
    <row r="245" spans="1:23" x14ac:dyDescent="0.2">
      <c r="A245" s="110">
        <v>43769</v>
      </c>
      <c r="B245" s="117">
        <v>5670</v>
      </c>
      <c r="C245" s="117">
        <v>892</v>
      </c>
      <c r="D245" s="117">
        <v>6562</v>
      </c>
      <c r="E245" s="117">
        <v>557</v>
      </c>
      <c r="F245" s="117">
        <v>1893</v>
      </c>
      <c r="G245" s="117">
        <v>0</v>
      </c>
      <c r="H245" s="117">
        <v>9012</v>
      </c>
      <c r="I245" s="117">
        <v>18402</v>
      </c>
      <c r="J245" s="117">
        <v>27414</v>
      </c>
      <c r="K245" s="117">
        <v>80</v>
      </c>
      <c r="M245" s="89">
        <v>43739</v>
      </c>
      <c r="N245" s="113">
        <f>Treasury!B245-'Check Treasury Past'!B245</f>
        <v>0</v>
      </c>
      <c r="O245" s="113">
        <f>Treasury!C245-'Check Treasury Past'!C245</f>
        <v>0</v>
      </c>
      <c r="P245" s="113">
        <f>Treasury!D245-'Check Treasury Past'!D245</f>
        <v>0</v>
      </c>
      <c r="Q245" s="113">
        <f>Treasury!E245-'Check Treasury Past'!E245</f>
        <v>0</v>
      </c>
      <c r="R245" s="113">
        <f>Treasury!F245-'Check Treasury Past'!F245</f>
        <v>0</v>
      </c>
      <c r="S245" s="113">
        <f>Treasury!G245-'Check Treasury Past'!G245</f>
        <v>0</v>
      </c>
      <c r="T245" s="113">
        <f>Treasury!H245-'Check Treasury Past'!H245</f>
        <v>0</v>
      </c>
      <c r="U245" s="113">
        <f>Treasury!I245-'Check Treasury Past'!I245</f>
        <v>0</v>
      </c>
      <c r="V245" s="113">
        <f>Treasury!J245-'Check Treasury Past'!J245</f>
        <v>0</v>
      </c>
      <c r="W245" s="113">
        <f>Treasury!K245-'Check Treasury Past'!K245</f>
        <v>0</v>
      </c>
    </row>
    <row r="246" spans="1:23" x14ac:dyDescent="0.2">
      <c r="A246" s="110">
        <v>43799</v>
      </c>
      <c r="B246" s="117">
        <v>4870</v>
      </c>
      <c r="C246" s="117">
        <v>943</v>
      </c>
      <c r="D246" s="117">
        <v>5813</v>
      </c>
      <c r="E246" s="117">
        <v>554</v>
      </c>
      <c r="F246" s="117">
        <v>1869</v>
      </c>
      <c r="G246" s="117">
        <v>0</v>
      </c>
      <c r="H246" s="117">
        <v>8236</v>
      </c>
      <c r="I246" s="117">
        <v>20366</v>
      </c>
      <c r="J246" s="117">
        <v>28602</v>
      </c>
      <c r="K246" s="117">
        <v>86</v>
      </c>
      <c r="M246" s="89">
        <v>43799</v>
      </c>
      <c r="N246" s="113">
        <f>Treasury!B246-'Check Treasury Past'!B246</f>
        <v>0</v>
      </c>
      <c r="O246" s="113">
        <f>Treasury!C246-'Check Treasury Past'!C246</f>
        <v>0</v>
      </c>
      <c r="P246" s="113">
        <f>Treasury!D246-'Check Treasury Past'!D246</f>
        <v>0</v>
      </c>
      <c r="Q246" s="113">
        <f>Treasury!E246-'Check Treasury Past'!E246</f>
        <v>0</v>
      </c>
      <c r="R246" s="113">
        <f>Treasury!F246-'Check Treasury Past'!F246</f>
        <v>0</v>
      </c>
      <c r="S246" s="113">
        <f>Treasury!G246-'Check Treasury Past'!G246</f>
        <v>0</v>
      </c>
      <c r="T246" s="113">
        <f>Treasury!H246-'Check Treasury Past'!H246</f>
        <v>0</v>
      </c>
      <c r="U246" s="113">
        <f>Treasury!I246-'Check Treasury Past'!I246</f>
        <v>0</v>
      </c>
      <c r="V246" s="113">
        <f>Treasury!J246-'Check Treasury Past'!J246</f>
        <v>0</v>
      </c>
      <c r="W246" s="113">
        <f>Treasury!K246-'Check Treasury Past'!K246</f>
        <v>0</v>
      </c>
    </row>
    <row r="247" spans="1:23" x14ac:dyDescent="0.2">
      <c r="A247" s="110">
        <v>43830</v>
      </c>
      <c r="B247" s="117">
        <v>4351</v>
      </c>
      <c r="C247" s="117">
        <v>792</v>
      </c>
      <c r="D247" s="117">
        <v>5143</v>
      </c>
      <c r="E247" s="117">
        <v>531</v>
      </c>
      <c r="F247" s="117">
        <v>1778</v>
      </c>
      <c r="G247" s="117">
        <v>0</v>
      </c>
      <c r="H247" s="117">
        <v>7452</v>
      </c>
      <c r="I247" s="117">
        <v>19006</v>
      </c>
      <c r="J247" s="117">
        <v>26458</v>
      </c>
      <c r="K247" s="117">
        <v>205</v>
      </c>
      <c r="M247" s="89">
        <v>43830</v>
      </c>
      <c r="N247" s="113">
        <f>Treasury!B247-'Check Treasury Past'!B247</f>
        <v>0</v>
      </c>
      <c r="O247" s="113">
        <f>Treasury!C247-'Check Treasury Past'!C247</f>
        <v>0</v>
      </c>
      <c r="P247" s="113">
        <f>Treasury!D247-'Check Treasury Past'!D247</f>
        <v>0</v>
      </c>
      <c r="Q247" s="113">
        <f>Treasury!E247-'Check Treasury Past'!E247</f>
        <v>0</v>
      </c>
      <c r="R247" s="113">
        <f>Treasury!F247-'Check Treasury Past'!F247</f>
        <v>0</v>
      </c>
      <c r="S247" s="113">
        <f>Treasury!G247-'Check Treasury Past'!G247</f>
        <v>0</v>
      </c>
      <c r="T247" s="113">
        <f>Treasury!H247-'Check Treasury Past'!H247</f>
        <v>0</v>
      </c>
      <c r="U247" s="113">
        <f>Treasury!I247-'Check Treasury Past'!I247</f>
        <v>0</v>
      </c>
      <c r="V247" s="113">
        <f>Treasury!J247-'Check Treasury Past'!J247</f>
        <v>0</v>
      </c>
      <c r="W247" s="113">
        <f>Treasury!K247-'Check Treasury Past'!K247</f>
        <v>0</v>
      </c>
    </row>
    <row r="248" spans="1:23" x14ac:dyDescent="0.2">
      <c r="A248" s="110">
        <v>43861</v>
      </c>
      <c r="B248" s="117">
        <v>3980</v>
      </c>
      <c r="C248" s="117">
        <v>785</v>
      </c>
      <c r="D248" s="117">
        <v>4765</v>
      </c>
      <c r="E248" s="117">
        <v>542</v>
      </c>
      <c r="F248" s="117">
        <v>1834</v>
      </c>
      <c r="G248" s="117">
        <v>0</v>
      </c>
      <c r="H248" s="117">
        <v>7141</v>
      </c>
      <c r="I248" s="117">
        <v>22901</v>
      </c>
      <c r="J248" s="117">
        <v>30042</v>
      </c>
      <c r="K248" s="117">
        <v>61</v>
      </c>
      <c r="M248" s="89">
        <v>43861</v>
      </c>
      <c r="N248" s="113">
        <f>Treasury!B248-'Check Treasury Past'!B248</f>
        <v>0</v>
      </c>
      <c r="O248" s="113">
        <f>Treasury!C248-'Check Treasury Past'!C248</f>
        <v>0</v>
      </c>
      <c r="P248" s="113">
        <f>Treasury!D248-'Check Treasury Past'!D248</f>
        <v>0</v>
      </c>
      <c r="Q248" s="113">
        <f>Treasury!E248-'Check Treasury Past'!E248</f>
        <v>0</v>
      </c>
      <c r="R248" s="113">
        <f>Treasury!F248-'Check Treasury Past'!F248</f>
        <v>0</v>
      </c>
      <c r="S248" s="113">
        <f>Treasury!G248-'Check Treasury Past'!G248</f>
        <v>0</v>
      </c>
      <c r="T248" s="113">
        <f>Treasury!H248-'Check Treasury Past'!H248</f>
        <v>0</v>
      </c>
      <c r="U248" s="113">
        <f>Treasury!I248-'Check Treasury Past'!I248</f>
        <v>0</v>
      </c>
      <c r="V248" s="113">
        <f>Treasury!J248-'Check Treasury Past'!J248</f>
        <v>0</v>
      </c>
      <c r="W248" s="113">
        <f>Treasury!K248-'Check Treasury Past'!K248</f>
        <v>0</v>
      </c>
    </row>
    <row r="249" spans="1:23" x14ac:dyDescent="0.2">
      <c r="A249" s="110">
        <v>43890</v>
      </c>
      <c r="B249" s="117">
        <v>4398</v>
      </c>
      <c r="C249" s="117">
        <v>1267</v>
      </c>
      <c r="D249" s="117">
        <v>5665</v>
      </c>
      <c r="E249" s="117">
        <v>558</v>
      </c>
      <c r="F249" s="117">
        <v>1889</v>
      </c>
      <c r="G249" s="117">
        <v>0</v>
      </c>
      <c r="H249" s="117">
        <v>8112</v>
      </c>
      <c r="I249" s="117">
        <v>22994</v>
      </c>
      <c r="J249" s="117">
        <v>31106</v>
      </c>
      <c r="K249" s="117">
        <v>181</v>
      </c>
      <c r="M249" s="89">
        <v>43889</v>
      </c>
      <c r="N249" s="113">
        <f>Treasury!B249-'Check Treasury Past'!B249</f>
        <v>0</v>
      </c>
      <c r="O249" s="113">
        <f>Treasury!C249-'Check Treasury Past'!C249</f>
        <v>0</v>
      </c>
      <c r="P249" s="113">
        <f>Treasury!D249-'Check Treasury Past'!D249</f>
        <v>0</v>
      </c>
      <c r="Q249" s="113">
        <f>Treasury!E249-'Check Treasury Past'!E249</f>
        <v>0</v>
      </c>
      <c r="R249" s="113">
        <f>Treasury!F249-'Check Treasury Past'!F249</f>
        <v>0</v>
      </c>
      <c r="S249" s="113">
        <f>Treasury!G249-'Check Treasury Past'!G249</f>
        <v>0</v>
      </c>
      <c r="T249" s="113">
        <f>Treasury!H249-'Check Treasury Past'!H249</f>
        <v>0</v>
      </c>
      <c r="U249" s="113">
        <f>Treasury!I249-'Check Treasury Past'!I249</f>
        <v>0</v>
      </c>
      <c r="V249" s="113">
        <f>Treasury!J249-'Check Treasury Past'!J249</f>
        <v>0</v>
      </c>
      <c r="W249" s="113">
        <f>Treasury!K249-'Check Treasury Past'!K249</f>
        <v>0</v>
      </c>
    </row>
    <row r="250" spans="1:23" x14ac:dyDescent="0.2">
      <c r="A250" s="110">
        <v>43921</v>
      </c>
      <c r="B250" s="117">
        <v>3134</v>
      </c>
      <c r="C250" s="117">
        <v>2102</v>
      </c>
      <c r="D250" s="117">
        <v>5236</v>
      </c>
      <c r="E250" s="117">
        <v>578</v>
      </c>
      <c r="F250" s="117">
        <v>1963</v>
      </c>
      <c r="G250" s="117">
        <v>0</v>
      </c>
      <c r="H250" s="117">
        <v>7777</v>
      </c>
      <c r="I250" s="117">
        <v>31389</v>
      </c>
      <c r="J250" s="117">
        <v>39166</v>
      </c>
      <c r="K250" s="117">
        <v>-39</v>
      </c>
      <c r="M250" s="89">
        <v>43921</v>
      </c>
      <c r="N250" s="113">
        <f>Treasury!B250-'Check Treasury Past'!B250</f>
        <v>0</v>
      </c>
      <c r="O250" s="113">
        <f>Treasury!C250-'Check Treasury Past'!C250</f>
        <v>0</v>
      </c>
      <c r="P250" s="113">
        <f>Treasury!D250-'Check Treasury Past'!D250</f>
        <v>0</v>
      </c>
      <c r="Q250" s="113">
        <f>Treasury!E250-'Check Treasury Past'!E250</f>
        <v>0</v>
      </c>
      <c r="R250" s="113">
        <f>Treasury!F250-'Check Treasury Past'!F250</f>
        <v>0</v>
      </c>
      <c r="S250" s="113">
        <f>Treasury!G250-'Check Treasury Past'!G250</f>
        <v>0</v>
      </c>
      <c r="T250" s="113">
        <f>Treasury!H250-'Check Treasury Past'!H250</f>
        <v>0</v>
      </c>
      <c r="U250" s="113">
        <f>Treasury!I250-'Check Treasury Past'!I250</f>
        <v>0</v>
      </c>
      <c r="V250" s="113">
        <f>Treasury!J250-'Check Treasury Past'!J250</f>
        <v>0</v>
      </c>
      <c r="W250" s="113">
        <f>Treasury!K250-'Check Treasury Past'!K250</f>
        <v>0</v>
      </c>
    </row>
    <row r="251" spans="1:23" x14ac:dyDescent="0.2">
      <c r="A251" s="110">
        <v>43951</v>
      </c>
      <c r="B251" s="117">
        <v>1464</v>
      </c>
      <c r="C251" s="117">
        <v>1049</v>
      </c>
      <c r="D251" s="117">
        <v>2513</v>
      </c>
      <c r="E251" s="117">
        <v>616</v>
      </c>
      <c r="F251" s="117">
        <v>1957</v>
      </c>
      <c r="G251" s="117">
        <v>0</v>
      </c>
      <c r="H251" s="117">
        <v>5086</v>
      </c>
      <c r="I251" s="117">
        <v>28186</v>
      </c>
      <c r="J251" s="117">
        <v>33272</v>
      </c>
      <c r="K251" s="117">
        <v>67</v>
      </c>
      <c r="M251" s="89">
        <v>43951</v>
      </c>
      <c r="N251" s="113">
        <f>Treasury!B251-'Check Treasury Past'!B251</f>
        <v>0</v>
      </c>
      <c r="O251" s="113">
        <f>Treasury!C251-'Check Treasury Past'!C251</f>
        <v>0</v>
      </c>
      <c r="P251" s="113">
        <f>Treasury!D251-'Check Treasury Past'!D251</f>
        <v>0</v>
      </c>
      <c r="Q251" s="113">
        <f>Treasury!E251-'Check Treasury Past'!E251</f>
        <v>0</v>
      </c>
      <c r="R251" s="113">
        <f>Treasury!F251-'Check Treasury Past'!F251</f>
        <v>0</v>
      </c>
      <c r="S251" s="113">
        <f>Treasury!G251-'Check Treasury Past'!G251</f>
        <v>0</v>
      </c>
      <c r="T251" s="113">
        <f>Treasury!H251-'Check Treasury Past'!H251</f>
        <v>0</v>
      </c>
      <c r="U251" s="113">
        <f>Treasury!I251-'Check Treasury Past'!I251</f>
        <v>0</v>
      </c>
      <c r="V251" s="113">
        <f>Treasury!J251-'Check Treasury Past'!J251</f>
        <v>0</v>
      </c>
      <c r="W251" s="113">
        <f>Treasury!K251-'Check Treasury Past'!K251</f>
        <v>0</v>
      </c>
    </row>
    <row r="252" spans="1:23" x14ac:dyDescent="0.2">
      <c r="A252" s="110">
        <v>43982</v>
      </c>
      <c r="B252" s="117">
        <v>1603</v>
      </c>
      <c r="C252" s="117">
        <v>2205</v>
      </c>
      <c r="D252" s="117">
        <v>3808</v>
      </c>
      <c r="E252" s="117">
        <v>671</v>
      </c>
      <c r="F252" s="117">
        <v>1883</v>
      </c>
      <c r="G252" s="117">
        <v>0</v>
      </c>
      <c r="H252" s="117">
        <v>6362</v>
      </c>
      <c r="I252" s="117">
        <v>24830</v>
      </c>
      <c r="J252" s="117">
        <v>31192</v>
      </c>
      <c r="K252" s="117">
        <v>61</v>
      </c>
      <c r="M252" s="89">
        <v>43982</v>
      </c>
      <c r="N252" s="113">
        <f>Treasury!B252-'Check Treasury Past'!B252</f>
        <v>0</v>
      </c>
      <c r="O252" s="113">
        <f>Treasury!C252-'Check Treasury Past'!C252</f>
        <v>0</v>
      </c>
      <c r="P252" s="113">
        <f>Treasury!D252-'Check Treasury Past'!D252</f>
        <v>0</v>
      </c>
      <c r="Q252" s="113">
        <f>Treasury!E252-'Check Treasury Past'!E252</f>
        <v>0</v>
      </c>
      <c r="R252" s="113">
        <f>Treasury!F252-'Check Treasury Past'!F252</f>
        <v>0</v>
      </c>
      <c r="S252" s="113">
        <f>Treasury!G252-'Check Treasury Past'!G252</f>
        <v>0</v>
      </c>
      <c r="T252" s="113">
        <f>Treasury!H252-'Check Treasury Past'!H252</f>
        <v>0</v>
      </c>
      <c r="U252" s="113">
        <f>Treasury!I252-'Check Treasury Past'!I252</f>
        <v>0</v>
      </c>
      <c r="V252" s="113">
        <f>Treasury!J252-'Check Treasury Past'!J252</f>
        <v>0</v>
      </c>
      <c r="W252" s="113">
        <f>Treasury!K252-'Check Treasury Past'!K252</f>
        <v>0</v>
      </c>
    </row>
    <row r="253" spans="1:23" x14ac:dyDescent="0.2">
      <c r="A253" s="110">
        <v>44012</v>
      </c>
      <c r="B253" s="117">
        <v>4175</v>
      </c>
      <c r="C253" s="117">
        <v>1369</v>
      </c>
      <c r="D253" s="117">
        <v>5544</v>
      </c>
      <c r="E253" s="117">
        <v>652</v>
      </c>
      <c r="F253" s="117">
        <v>1878</v>
      </c>
      <c r="G253" s="117">
        <v>0</v>
      </c>
      <c r="H253" s="117">
        <v>8074</v>
      </c>
      <c r="I253" s="117">
        <v>24874</v>
      </c>
      <c r="J253" s="117">
        <v>32948</v>
      </c>
      <c r="K253" s="117">
        <v>-14</v>
      </c>
      <c r="M253" s="89">
        <v>44012</v>
      </c>
      <c r="N253" s="113">
        <f>Treasury!B253-'Check Treasury Past'!B253</f>
        <v>0</v>
      </c>
      <c r="O253" s="113">
        <f>Treasury!C253-'Check Treasury Past'!C253</f>
        <v>0</v>
      </c>
      <c r="P253" s="113">
        <f>Treasury!D253-'Check Treasury Past'!D253</f>
        <v>0</v>
      </c>
      <c r="Q253" s="113">
        <f>Treasury!E253-'Check Treasury Past'!E253</f>
        <v>0</v>
      </c>
      <c r="R253" s="113">
        <f>Treasury!F253-'Check Treasury Past'!F253</f>
        <v>0</v>
      </c>
      <c r="S253" s="113">
        <f>Treasury!G253-'Check Treasury Past'!G253</f>
        <v>0</v>
      </c>
      <c r="T253" s="113">
        <f>Treasury!H253-'Check Treasury Past'!H253</f>
        <v>0</v>
      </c>
      <c r="U253" s="113">
        <f>Treasury!I253-'Check Treasury Past'!I253</f>
        <v>0</v>
      </c>
      <c r="V253" s="113">
        <f>Treasury!J253-'Check Treasury Past'!J253</f>
        <v>0</v>
      </c>
      <c r="W253" s="113">
        <f>Treasury!K253-'Check Treasury Past'!K253</f>
        <v>0</v>
      </c>
    </row>
    <row r="254" spans="1:23" x14ac:dyDescent="0.2">
      <c r="A254" s="110">
        <v>44043</v>
      </c>
      <c r="B254" s="117">
        <v>4437</v>
      </c>
      <c r="C254" s="117">
        <v>909</v>
      </c>
      <c r="D254" s="117">
        <v>5346</v>
      </c>
      <c r="E254" s="117">
        <v>643</v>
      </c>
      <c r="F254" s="117">
        <v>1853</v>
      </c>
      <c r="G254" s="117">
        <v>0</v>
      </c>
      <c r="H254" s="117">
        <v>7842</v>
      </c>
      <c r="I254" s="117">
        <v>20778</v>
      </c>
      <c r="J254" s="117">
        <v>28620</v>
      </c>
      <c r="K254" s="117">
        <v>167</v>
      </c>
      <c r="M254" s="89">
        <v>44042</v>
      </c>
      <c r="N254" s="113">
        <f>Treasury!B254-'Check Treasury Past'!B254</f>
        <v>0</v>
      </c>
      <c r="O254" s="113">
        <f>Treasury!C254-'Check Treasury Past'!C254</f>
        <v>0</v>
      </c>
      <c r="P254" s="113">
        <f>Treasury!D254-'Check Treasury Past'!D254</f>
        <v>0</v>
      </c>
      <c r="Q254" s="113">
        <f>Treasury!E254-'Check Treasury Past'!E254</f>
        <v>0</v>
      </c>
      <c r="R254" s="113">
        <f>Treasury!F254-'Check Treasury Past'!F254</f>
        <v>0</v>
      </c>
      <c r="S254" s="113">
        <f>Treasury!G254-'Check Treasury Past'!G254</f>
        <v>0</v>
      </c>
      <c r="T254" s="113">
        <f>Treasury!H254-'Check Treasury Past'!H254</f>
        <v>0</v>
      </c>
      <c r="U254" s="113">
        <f>Treasury!I254-'Check Treasury Past'!I254</f>
        <v>0</v>
      </c>
      <c r="V254" s="113">
        <f>Treasury!J254-'Check Treasury Past'!J254</f>
        <v>0</v>
      </c>
      <c r="W254" s="113">
        <f>Treasury!K254-'Check Treasury Past'!K254</f>
        <v>0</v>
      </c>
    </row>
    <row r="255" spans="1:23" x14ac:dyDescent="0.2">
      <c r="A255" s="110">
        <v>44074</v>
      </c>
      <c r="B255" s="117">
        <v>4967</v>
      </c>
      <c r="C255" s="117">
        <v>1091</v>
      </c>
      <c r="D255" s="117">
        <v>6058</v>
      </c>
      <c r="E255" s="117">
        <v>640</v>
      </c>
      <c r="F255" s="117">
        <v>1845</v>
      </c>
      <c r="G255" s="117">
        <v>0</v>
      </c>
      <c r="H255" s="117">
        <v>8543</v>
      </c>
      <c r="I255" s="117">
        <v>15860</v>
      </c>
      <c r="J255" s="117">
        <v>24403</v>
      </c>
      <c r="K255" s="117">
        <v>283</v>
      </c>
      <c r="M255" s="89">
        <v>44074</v>
      </c>
      <c r="N255" s="113">
        <f>Treasury!B255-'Check Treasury Past'!B255</f>
        <v>0</v>
      </c>
      <c r="O255" s="113">
        <f>Treasury!C255-'Check Treasury Past'!C255</f>
        <v>0</v>
      </c>
      <c r="P255" s="113">
        <f>Treasury!D255-'Check Treasury Past'!D255</f>
        <v>0</v>
      </c>
      <c r="Q255" s="113">
        <f>Treasury!E255-'Check Treasury Past'!E255</f>
        <v>0</v>
      </c>
      <c r="R255" s="113">
        <f>Treasury!F255-'Check Treasury Past'!F255</f>
        <v>0</v>
      </c>
      <c r="S255" s="113">
        <f>Treasury!G255-'Check Treasury Past'!G255</f>
        <v>0</v>
      </c>
      <c r="T255" s="113">
        <f>Treasury!H255-'Check Treasury Past'!H255</f>
        <v>0</v>
      </c>
      <c r="U255" s="113">
        <f>Treasury!I255-'Check Treasury Past'!I255</f>
        <v>0</v>
      </c>
      <c r="V255" s="113">
        <f>Treasury!J255-'Check Treasury Past'!J255</f>
        <v>0</v>
      </c>
      <c r="W255" s="113">
        <f>Treasury!K255-'Check Treasury Past'!K255</f>
        <v>0</v>
      </c>
    </row>
    <row r="256" spans="1:23" x14ac:dyDescent="0.2">
      <c r="A256" s="110">
        <v>44104</v>
      </c>
      <c r="B256" s="117">
        <v>5849</v>
      </c>
      <c r="C256" s="117">
        <v>1395</v>
      </c>
      <c r="D256" s="117">
        <v>7244</v>
      </c>
      <c r="E256" s="117">
        <v>708</v>
      </c>
      <c r="F256" s="117">
        <v>1855</v>
      </c>
      <c r="G256" s="117">
        <v>0</v>
      </c>
      <c r="H256" s="117">
        <v>9807</v>
      </c>
      <c r="I256" s="117">
        <v>11857</v>
      </c>
      <c r="J256" s="117">
        <v>21664</v>
      </c>
      <c r="K256" s="117">
        <v>179</v>
      </c>
      <c r="M256" s="89">
        <v>44104</v>
      </c>
      <c r="N256" s="113">
        <f>Treasury!B256-'Check Treasury Past'!B256</f>
        <v>0</v>
      </c>
      <c r="O256" s="113">
        <f>Treasury!C256-'Check Treasury Past'!C256</f>
        <v>0</v>
      </c>
      <c r="P256" s="113">
        <f>Treasury!D256-'Check Treasury Past'!D256</f>
        <v>0</v>
      </c>
      <c r="Q256" s="113">
        <f>Treasury!E256-'Check Treasury Past'!E256</f>
        <v>0</v>
      </c>
      <c r="R256" s="113">
        <f>Treasury!F256-'Check Treasury Past'!F256</f>
        <v>0</v>
      </c>
      <c r="S256" s="113">
        <f>Treasury!G256-'Check Treasury Past'!G256</f>
        <v>0</v>
      </c>
      <c r="T256" s="113">
        <f>Treasury!H256-'Check Treasury Past'!H256</f>
        <v>0</v>
      </c>
      <c r="U256" s="113">
        <f>Treasury!I256-'Check Treasury Past'!I256</f>
        <v>0</v>
      </c>
      <c r="V256" s="113">
        <f>Treasury!J256-'Check Treasury Past'!J256</f>
        <v>0</v>
      </c>
      <c r="W256" s="113">
        <f>Treasury!K256-'Check Treasury Past'!K256</f>
        <v>0</v>
      </c>
    </row>
    <row r="257" spans="1:23" x14ac:dyDescent="0.2">
      <c r="A257" s="110">
        <v>44135</v>
      </c>
      <c r="B257" s="117">
        <v>5425</v>
      </c>
      <c r="C257" s="117">
        <v>458</v>
      </c>
      <c r="D257" s="117">
        <v>5883</v>
      </c>
      <c r="E257" s="117">
        <v>706</v>
      </c>
      <c r="F257" s="117">
        <v>1850</v>
      </c>
      <c r="G257" s="117">
        <v>0</v>
      </c>
      <c r="H257" s="117">
        <v>8439</v>
      </c>
      <c r="I257" s="117">
        <v>11658</v>
      </c>
      <c r="J257" s="117">
        <v>20097</v>
      </c>
      <c r="K257" s="117">
        <v>109</v>
      </c>
      <c r="M257" s="89">
        <v>44134</v>
      </c>
      <c r="N257" s="113">
        <f>Treasury!B257-'Check Treasury Past'!B257</f>
        <v>0</v>
      </c>
      <c r="O257" s="113">
        <f>Treasury!C257-'Check Treasury Past'!C257</f>
        <v>0</v>
      </c>
      <c r="P257" s="113">
        <f>Treasury!D257-'Check Treasury Past'!D257</f>
        <v>0</v>
      </c>
      <c r="Q257" s="113">
        <f>Treasury!E257-'Check Treasury Past'!E257</f>
        <v>0</v>
      </c>
      <c r="R257" s="113">
        <f>Treasury!F257-'Check Treasury Past'!F257</f>
        <v>0</v>
      </c>
      <c r="S257" s="113">
        <f>Treasury!G257-'Check Treasury Past'!G257</f>
        <v>0</v>
      </c>
      <c r="T257" s="113">
        <f>Treasury!H257-'Check Treasury Past'!H257</f>
        <v>0</v>
      </c>
      <c r="U257" s="113">
        <f>Treasury!I257-'Check Treasury Past'!I257</f>
        <v>0</v>
      </c>
      <c r="V257" s="113">
        <f>Treasury!J257-'Check Treasury Past'!J257</f>
        <v>0</v>
      </c>
      <c r="W257" s="113">
        <f>Treasury!K257-'Check Treasury Past'!K257</f>
        <v>0</v>
      </c>
    </row>
    <row r="258" spans="1:23" x14ac:dyDescent="0.2">
      <c r="A258" s="110">
        <v>44165</v>
      </c>
      <c r="B258" s="117">
        <v>5597</v>
      </c>
      <c r="C258" s="117">
        <v>396</v>
      </c>
      <c r="D258" s="117">
        <v>5993</v>
      </c>
      <c r="E258" s="117">
        <v>675</v>
      </c>
      <c r="F258" s="117">
        <v>1768</v>
      </c>
      <c r="G258" s="117">
        <v>0</v>
      </c>
      <c r="H258" s="117">
        <v>8436</v>
      </c>
      <c r="I258" s="117">
        <v>11424</v>
      </c>
      <c r="J258" s="117">
        <v>19860</v>
      </c>
      <c r="K258" s="117">
        <v>318</v>
      </c>
      <c r="M258" s="89">
        <v>44165</v>
      </c>
      <c r="N258" s="113">
        <f>Treasury!B258-'Check Treasury Past'!B258</f>
        <v>0</v>
      </c>
      <c r="O258" s="113">
        <f>Treasury!C258-'Check Treasury Past'!C258</f>
        <v>0</v>
      </c>
      <c r="P258" s="113">
        <f>Treasury!D258-'Check Treasury Past'!D258</f>
        <v>0</v>
      </c>
      <c r="Q258" s="113">
        <f>Treasury!E258-'Check Treasury Past'!E258</f>
        <v>0</v>
      </c>
      <c r="R258" s="113">
        <f>Treasury!F258-'Check Treasury Past'!F258</f>
        <v>0</v>
      </c>
      <c r="S258" s="113">
        <f>Treasury!G258-'Check Treasury Past'!G258</f>
        <v>0</v>
      </c>
      <c r="T258" s="113">
        <f>Treasury!H258-'Check Treasury Past'!H258</f>
        <v>0</v>
      </c>
      <c r="U258" s="113">
        <f>Treasury!I258-'Check Treasury Past'!I258</f>
        <v>0</v>
      </c>
      <c r="V258" s="113">
        <f>Treasury!J258-'Check Treasury Past'!J258</f>
        <v>0</v>
      </c>
      <c r="W258" s="113">
        <f>Treasury!K258-'Check Treasury Past'!K258</f>
        <v>0</v>
      </c>
    </row>
    <row r="259" spans="1:23" x14ac:dyDescent="0.2">
      <c r="A259" s="110">
        <v>44196</v>
      </c>
      <c r="B259" s="117">
        <v>4930</v>
      </c>
      <c r="C259" s="117">
        <v>326</v>
      </c>
      <c r="D259" s="117">
        <v>5256</v>
      </c>
      <c r="E259" s="117">
        <v>666</v>
      </c>
      <c r="F259" s="117">
        <v>1744</v>
      </c>
      <c r="G259" s="117">
        <v>0</v>
      </c>
      <c r="H259" s="117">
        <v>7666</v>
      </c>
      <c r="I259" s="117">
        <v>11355</v>
      </c>
      <c r="J259" s="117">
        <v>19021</v>
      </c>
      <c r="K259" s="117">
        <v>347</v>
      </c>
      <c r="M259" s="89">
        <v>44196</v>
      </c>
      <c r="N259" s="113">
        <f>Treasury!B259-'Check Treasury Past'!B259</f>
        <v>0</v>
      </c>
      <c r="O259" s="113">
        <f>Treasury!C259-'Check Treasury Past'!C259</f>
        <v>0</v>
      </c>
      <c r="P259" s="113">
        <f>Treasury!D259-'Check Treasury Past'!D259</f>
        <v>0</v>
      </c>
      <c r="Q259" s="113">
        <f>Treasury!E259-'Check Treasury Past'!E259</f>
        <v>0</v>
      </c>
      <c r="R259" s="113">
        <f>Treasury!F259-'Check Treasury Past'!F259</f>
        <v>0</v>
      </c>
      <c r="S259" s="113">
        <f>Treasury!G259-'Check Treasury Past'!G259</f>
        <v>0</v>
      </c>
      <c r="T259" s="113">
        <f>Treasury!H259-'Check Treasury Past'!H259</f>
        <v>0</v>
      </c>
      <c r="U259" s="113">
        <f>Treasury!I259-'Check Treasury Past'!I259</f>
        <v>0</v>
      </c>
      <c r="V259" s="113">
        <f>Treasury!J259-'Check Treasury Past'!J259</f>
        <v>0</v>
      </c>
      <c r="W259" s="113">
        <f>Treasury!K259-'Check Treasury Past'!K259</f>
        <v>0</v>
      </c>
    </row>
    <row r="260" spans="1:23" x14ac:dyDescent="0.2">
      <c r="A260" s="110">
        <v>44227</v>
      </c>
      <c r="B260" s="117">
        <v>4323</v>
      </c>
      <c r="C260" s="117">
        <v>568</v>
      </c>
      <c r="D260" s="117">
        <v>4891</v>
      </c>
      <c r="E260" s="117">
        <v>667</v>
      </c>
      <c r="F260" s="117">
        <v>1745</v>
      </c>
      <c r="G260" s="117">
        <v>0</v>
      </c>
      <c r="H260" s="117">
        <v>7303</v>
      </c>
      <c r="I260" s="117">
        <v>11412</v>
      </c>
      <c r="J260" s="117">
        <v>18715</v>
      </c>
      <c r="K260" s="117">
        <v>271</v>
      </c>
      <c r="M260" s="89">
        <v>44227</v>
      </c>
      <c r="N260" s="113">
        <f>Treasury!B260-'Check Treasury Past'!B260</f>
        <v>0</v>
      </c>
      <c r="O260" s="113">
        <f>Treasury!C260-'Check Treasury Past'!C260</f>
        <v>0</v>
      </c>
      <c r="P260" s="113">
        <f>Treasury!D260-'Check Treasury Past'!D260</f>
        <v>0</v>
      </c>
      <c r="Q260" s="113">
        <f>Treasury!E260-'Check Treasury Past'!E260</f>
        <v>0</v>
      </c>
      <c r="R260" s="113">
        <f>Treasury!F260-'Check Treasury Past'!F260</f>
        <v>0</v>
      </c>
      <c r="S260" s="113">
        <f>Treasury!G260-'Check Treasury Past'!G260</f>
        <v>0</v>
      </c>
      <c r="T260" s="113">
        <f>Treasury!H260-'Check Treasury Past'!H260</f>
        <v>0</v>
      </c>
      <c r="U260" s="113">
        <f>Treasury!I260-'Check Treasury Past'!I260</f>
        <v>0</v>
      </c>
      <c r="V260" s="113">
        <f>Treasury!J260-'Check Treasury Past'!J260</f>
        <v>0</v>
      </c>
      <c r="W260" s="113">
        <f>Treasury!K260-'Check Treasury Past'!K260</f>
        <v>0</v>
      </c>
    </row>
    <row r="261" spans="1:23" s="14" customFormat="1" x14ac:dyDescent="0.2">
      <c r="A261" s="110">
        <v>44255</v>
      </c>
      <c r="B261" s="117">
        <v>3839</v>
      </c>
      <c r="C261" s="117">
        <v>282</v>
      </c>
      <c r="D261" s="117">
        <v>4121</v>
      </c>
      <c r="E261" s="117">
        <v>650</v>
      </c>
      <c r="F261" s="117">
        <v>1700</v>
      </c>
      <c r="G261" s="117">
        <v>0</v>
      </c>
      <c r="H261" s="117">
        <v>6471</v>
      </c>
      <c r="I261" s="117">
        <v>11585</v>
      </c>
      <c r="J261" s="117">
        <v>18056</v>
      </c>
      <c r="K261" s="117">
        <v>191</v>
      </c>
      <c r="M261" s="89">
        <v>44255</v>
      </c>
      <c r="N261" s="113">
        <f>Treasury!B261-'Check Treasury Past'!B261</f>
        <v>0</v>
      </c>
      <c r="O261" s="113">
        <f>Treasury!C261-'Check Treasury Past'!C261</f>
        <v>0</v>
      </c>
      <c r="P261" s="113">
        <f>Treasury!D261-'Check Treasury Past'!D261</f>
        <v>0</v>
      </c>
      <c r="Q261" s="113">
        <f>Treasury!E261-'Check Treasury Past'!E261</f>
        <v>0</v>
      </c>
      <c r="R261" s="113">
        <f>Treasury!F261-'Check Treasury Past'!F261</f>
        <v>0</v>
      </c>
      <c r="S261" s="113">
        <f>Treasury!G261-'Check Treasury Past'!G261</f>
        <v>0</v>
      </c>
      <c r="T261" s="113">
        <f>Treasury!H261-'Check Treasury Past'!H261</f>
        <v>0</v>
      </c>
      <c r="U261" s="113">
        <f>Treasury!I261-'Check Treasury Past'!I261</f>
        <v>0</v>
      </c>
      <c r="V261" s="113">
        <f>Treasury!J261-'Check Treasury Past'!J261</f>
        <v>0</v>
      </c>
      <c r="W261" s="113">
        <f>Treasury!K261-'Check Treasury Past'!K261</f>
        <v>0</v>
      </c>
    </row>
    <row r="262" spans="1:23" s="14" customFormat="1" x14ac:dyDescent="0.2">
      <c r="A262" s="110">
        <v>44286</v>
      </c>
      <c r="B262" s="117">
        <v>3717</v>
      </c>
      <c r="C262" s="117">
        <v>426</v>
      </c>
      <c r="D262" s="117">
        <v>4143</v>
      </c>
      <c r="E262" s="117">
        <v>665</v>
      </c>
      <c r="F262" s="117">
        <v>1760</v>
      </c>
      <c r="G262" s="117">
        <v>0</v>
      </c>
      <c r="H262" s="117">
        <v>6568</v>
      </c>
      <c r="I262" s="117">
        <v>11922</v>
      </c>
      <c r="J262" s="117">
        <v>18490</v>
      </c>
      <c r="K262" s="117">
        <v>68</v>
      </c>
      <c r="M262" s="89">
        <v>44286</v>
      </c>
      <c r="N262" s="113">
        <f>Treasury!B262-'Check Treasury Past'!B262</f>
        <v>0</v>
      </c>
      <c r="O262" s="113">
        <f>Treasury!C262-'Check Treasury Past'!C262</f>
        <v>0</v>
      </c>
      <c r="P262" s="113">
        <f>Treasury!D262-'Check Treasury Past'!D262</f>
        <v>0</v>
      </c>
      <c r="Q262" s="113">
        <f>Treasury!E262-'Check Treasury Past'!E262</f>
        <v>0</v>
      </c>
      <c r="R262" s="113">
        <f>Treasury!F262-'Check Treasury Past'!F262</f>
        <v>0</v>
      </c>
      <c r="S262" s="113">
        <f>Treasury!G262-'Check Treasury Past'!G262</f>
        <v>0</v>
      </c>
      <c r="T262" s="113">
        <f>Treasury!H262-'Check Treasury Past'!H262</f>
        <v>0</v>
      </c>
      <c r="U262" s="113">
        <f>Treasury!I262-'Check Treasury Past'!I262</f>
        <v>0</v>
      </c>
      <c r="V262" s="113">
        <f>Treasury!J262-'Check Treasury Past'!J262</f>
        <v>0</v>
      </c>
      <c r="W262" s="113">
        <f>Treasury!K262-'Check Treasury Past'!K262</f>
        <v>0</v>
      </c>
    </row>
    <row r="263" spans="1:23" s="14" customFormat="1" x14ac:dyDescent="0.2">
      <c r="A263" s="110">
        <v>44316</v>
      </c>
      <c r="B263" s="117">
        <v>4168</v>
      </c>
      <c r="C263" s="117">
        <v>506</v>
      </c>
      <c r="D263" s="117">
        <v>4674</v>
      </c>
      <c r="E263" s="117">
        <v>682</v>
      </c>
      <c r="F263" s="117">
        <v>1721</v>
      </c>
      <c r="G263" s="117">
        <v>0</v>
      </c>
      <c r="H263" s="117">
        <v>7077</v>
      </c>
      <c r="I263" s="117">
        <v>13076</v>
      </c>
      <c r="J263" s="117">
        <v>20153</v>
      </c>
      <c r="K263" s="117">
        <v>98</v>
      </c>
      <c r="M263" s="89">
        <v>44316</v>
      </c>
      <c r="N263" s="113">
        <f>Treasury!B263-'Check Treasury Past'!B263</f>
        <v>0</v>
      </c>
      <c r="O263" s="113">
        <f>Treasury!C263-'Check Treasury Past'!C263</f>
        <v>0</v>
      </c>
      <c r="P263" s="113">
        <f>Treasury!D263-'Check Treasury Past'!D263</f>
        <v>0</v>
      </c>
      <c r="Q263" s="113">
        <f>Treasury!E263-'Check Treasury Past'!E263</f>
        <v>0</v>
      </c>
      <c r="R263" s="113">
        <f>Treasury!F263-'Check Treasury Past'!F263</f>
        <v>0</v>
      </c>
      <c r="S263" s="113">
        <f>Treasury!G263-'Check Treasury Past'!G263</f>
        <v>0</v>
      </c>
      <c r="T263" s="113">
        <f>Treasury!H263-'Check Treasury Past'!H263</f>
        <v>0</v>
      </c>
      <c r="U263" s="113">
        <f>Treasury!I263-'Check Treasury Past'!I263</f>
        <v>0</v>
      </c>
      <c r="V263" s="113">
        <f>Treasury!J263-'Check Treasury Past'!J263</f>
        <v>0</v>
      </c>
      <c r="W263" s="113">
        <f>Treasury!K263-'Check Treasury Past'!K263</f>
        <v>0</v>
      </c>
    </row>
    <row r="264" spans="1:23" s="14" customFormat="1" x14ac:dyDescent="0.2">
      <c r="A264" s="110">
        <v>44347</v>
      </c>
      <c r="B264" s="117">
        <v>3827</v>
      </c>
      <c r="C264" s="117">
        <v>281</v>
      </c>
      <c r="D264" s="117">
        <v>4108</v>
      </c>
      <c r="E264" s="117">
        <v>685</v>
      </c>
      <c r="F264" s="117">
        <v>1728</v>
      </c>
      <c r="G264" s="117">
        <v>0</v>
      </c>
      <c r="H264" s="117">
        <v>6521</v>
      </c>
      <c r="I264" s="117">
        <v>12274</v>
      </c>
      <c r="J264" s="117">
        <v>18795</v>
      </c>
      <c r="K264" s="117">
        <v>198</v>
      </c>
      <c r="M264" s="89">
        <v>44347</v>
      </c>
      <c r="N264" s="113">
        <f>Treasury!B264-'Check Treasury Past'!B264</f>
        <v>0</v>
      </c>
      <c r="O264" s="113">
        <f>Treasury!C264-'Check Treasury Past'!C264</f>
        <v>0</v>
      </c>
      <c r="P264" s="113">
        <f>Treasury!D264-'Check Treasury Past'!D264</f>
        <v>0</v>
      </c>
      <c r="Q264" s="113">
        <f>Treasury!E264-'Check Treasury Past'!E264</f>
        <v>0</v>
      </c>
      <c r="R264" s="113">
        <f>Treasury!F264-'Check Treasury Past'!F264</f>
        <v>0</v>
      </c>
      <c r="S264" s="113">
        <f>Treasury!G264-'Check Treasury Past'!G264</f>
        <v>0</v>
      </c>
      <c r="T264" s="113">
        <f>Treasury!H264-'Check Treasury Past'!H264</f>
        <v>0</v>
      </c>
      <c r="U264" s="113">
        <f>Treasury!I264-'Check Treasury Past'!I264</f>
        <v>0</v>
      </c>
      <c r="V264" s="113">
        <f>Treasury!J264-'Check Treasury Past'!J264</f>
        <v>0</v>
      </c>
      <c r="W264" s="113">
        <f>Treasury!K264-'Check Treasury Past'!K264</f>
        <v>0</v>
      </c>
    </row>
    <row r="265" spans="1:23" s="14" customFormat="1" x14ac:dyDescent="0.2">
      <c r="A265" s="110">
        <v>44377</v>
      </c>
      <c r="B265" s="117">
        <v>3744</v>
      </c>
      <c r="C265" s="117">
        <v>555</v>
      </c>
      <c r="D265" s="117">
        <v>4299</v>
      </c>
      <c r="E265" s="117">
        <v>702</v>
      </c>
      <c r="F265" s="117">
        <v>1769</v>
      </c>
      <c r="G265" s="117">
        <v>0</v>
      </c>
      <c r="H265" s="117">
        <v>6770</v>
      </c>
      <c r="I265" s="117">
        <v>13207</v>
      </c>
      <c r="J265" s="117">
        <v>19977</v>
      </c>
      <c r="K265" s="117">
        <v>69</v>
      </c>
      <c r="M265" s="89">
        <v>44377</v>
      </c>
      <c r="N265" s="113">
        <f>Treasury!B265-'Check Treasury Past'!B265</f>
        <v>0</v>
      </c>
      <c r="O265" s="113">
        <f>Treasury!C265-'Check Treasury Past'!C265</f>
        <v>0</v>
      </c>
      <c r="P265" s="113">
        <f>Treasury!D265-'Check Treasury Past'!D265</f>
        <v>0</v>
      </c>
      <c r="Q265" s="113">
        <f>Treasury!E265-'Check Treasury Past'!E265</f>
        <v>0</v>
      </c>
      <c r="R265" s="113">
        <f>Treasury!F265-'Check Treasury Past'!F265</f>
        <v>0</v>
      </c>
      <c r="S265" s="113">
        <f>Treasury!G265-'Check Treasury Past'!G265</f>
        <v>0</v>
      </c>
      <c r="T265" s="113">
        <f>Treasury!H265-'Check Treasury Past'!H265</f>
        <v>0</v>
      </c>
      <c r="U265" s="113">
        <f>Treasury!I265-'Check Treasury Past'!I265</f>
        <v>0</v>
      </c>
      <c r="V265" s="113">
        <f>Treasury!J265-'Check Treasury Past'!J265</f>
        <v>0</v>
      </c>
      <c r="W265" s="113">
        <f>Treasury!K265-'Check Treasury Past'!K265</f>
        <v>0</v>
      </c>
    </row>
    <row r="266" spans="1:23" s="14" customFormat="1" x14ac:dyDescent="0.2">
      <c r="A266" s="110">
        <v>44408</v>
      </c>
      <c r="B266" s="117">
        <v>3491</v>
      </c>
      <c r="C266" s="117">
        <v>868</v>
      </c>
      <c r="D266" s="117">
        <v>4359</v>
      </c>
      <c r="E266" s="117">
        <v>702</v>
      </c>
      <c r="F266" s="117">
        <v>1770</v>
      </c>
      <c r="G266" s="117">
        <v>0</v>
      </c>
      <c r="H266" s="117">
        <v>6831</v>
      </c>
      <c r="I266" s="117">
        <v>10768</v>
      </c>
      <c r="J266" s="117">
        <v>17599</v>
      </c>
      <c r="K266" s="117">
        <v>42</v>
      </c>
      <c r="M266" s="89">
        <v>44408</v>
      </c>
      <c r="N266" s="113">
        <f>Treasury!B266-'Check Treasury Past'!B266</f>
        <v>0</v>
      </c>
      <c r="O266" s="113">
        <f>Treasury!C266-'Check Treasury Past'!C266</f>
        <v>0</v>
      </c>
      <c r="P266" s="113">
        <f>Treasury!D266-'Check Treasury Past'!D266</f>
        <v>0</v>
      </c>
      <c r="Q266" s="113">
        <f>Treasury!E266-'Check Treasury Past'!E266</f>
        <v>0</v>
      </c>
      <c r="R266" s="113">
        <f>Treasury!F266-'Check Treasury Past'!F266</f>
        <v>0</v>
      </c>
      <c r="S266" s="113">
        <f>Treasury!G266-'Check Treasury Past'!G266</f>
        <v>0</v>
      </c>
      <c r="T266" s="113">
        <f>Treasury!H266-'Check Treasury Past'!H266</f>
        <v>0</v>
      </c>
      <c r="U266" s="113">
        <f>Treasury!I266-'Check Treasury Past'!I266</f>
        <v>0</v>
      </c>
      <c r="V266" s="113">
        <f>Treasury!J266-'Check Treasury Past'!J266</f>
        <v>0</v>
      </c>
      <c r="W266" s="113">
        <f>Treasury!K266-'Check Treasury Past'!K266</f>
        <v>0</v>
      </c>
    </row>
    <row r="267" spans="1:23" s="14" customFormat="1" x14ac:dyDescent="0.2">
      <c r="A267" s="110">
        <v>44439</v>
      </c>
      <c r="B267" s="117">
        <v>3249</v>
      </c>
      <c r="C267" s="117">
        <v>609</v>
      </c>
      <c r="D267" s="117">
        <v>3858</v>
      </c>
      <c r="E267" s="117">
        <v>696</v>
      </c>
      <c r="F267" s="117">
        <v>4166</v>
      </c>
      <c r="G267" s="117">
        <v>0</v>
      </c>
      <c r="H267" s="117">
        <v>8720</v>
      </c>
      <c r="I267" s="117">
        <v>13902</v>
      </c>
      <c r="J267" s="117">
        <v>22622</v>
      </c>
      <c r="K267" s="117">
        <v>100</v>
      </c>
      <c r="M267" s="89">
        <v>44439</v>
      </c>
      <c r="N267" s="113">
        <f>Treasury!B267-'Check Treasury Past'!B267</f>
        <v>0</v>
      </c>
      <c r="O267" s="113">
        <f>Treasury!C267-'Check Treasury Past'!C267</f>
        <v>0</v>
      </c>
      <c r="P267" s="113">
        <f>Treasury!D267-'Check Treasury Past'!D267</f>
        <v>0</v>
      </c>
      <c r="Q267" s="113">
        <f>Treasury!E267-'Check Treasury Past'!E267</f>
        <v>0</v>
      </c>
      <c r="R267" s="113">
        <f>Treasury!F267-'Check Treasury Past'!F267</f>
        <v>0</v>
      </c>
      <c r="S267" s="113">
        <f>Treasury!G267-'Check Treasury Past'!G267</f>
        <v>0</v>
      </c>
      <c r="T267" s="113">
        <f>Treasury!H267-'Check Treasury Past'!H267</f>
        <v>0</v>
      </c>
      <c r="U267" s="113">
        <f>Treasury!I267-'Check Treasury Past'!I267</f>
        <v>0</v>
      </c>
      <c r="V267" s="113">
        <f>Treasury!J267-'Check Treasury Past'!J267</f>
        <v>0</v>
      </c>
      <c r="W267" s="113">
        <f>Treasury!K267-'Check Treasury Past'!K267</f>
        <v>0</v>
      </c>
    </row>
    <row r="268" spans="1:23" s="14" customFormat="1" x14ac:dyDescent="0.2">
      <c r="A268" s="110">
        <v>44469</v>
      </c>
      <c r="B268" s="117">
        <v>3297</v>
      </c>
      <c r="C268" s="117">
        <v>425</v>
      </c>
      <c r="D268" s="117">
        <v>3722</v>
      </c>
      <c r="E268" s="117">
        <v>702</v>
      </c>
      <c r="F268" s="117">
        <v>4321</v>
      </c>
      <c r="G268" s="117">
        <v>0</v>
      </c>
      <c r="H268" s="117">
        <v>8745</v>
      </c>
      <c r="I268" s="117">
        <v>13895</v>
      </c>
      <c r="J268" s="117">
        <v>22640</v>
      </c>
      <c r="K268" s="117">
        <v>118</v>
      </c>
      <c r="M268" s="89">
        <v>44469</v>
      </c>
      <c r="N268" s="113">
        <f>Treasury!B268-'Check Treasury Past'!B268</f>
        <v>0</v>
      </c>
      <c r="O268" s="113">
        <f>Treasury!C268-'Check Treasury Past'!C268</f>
        <v>0</v>
      </c>
      <c r="P268" s="113">
        <f>Treasury!D268-'Check Treasury Past'!D268</f>
        <v>0</v>
      </c>
      <c r="Q268" s="113">
        <f>Treasury!E268-'Check Treasury Past'!E268</f>
        <v>0</v>
      </c>
      <c r="R268" s="113">
        <f>Treasury!F268-'Check Treasury Past'!F268</f>
        <v>0</v>
      </c>
      <c r="S268" s="113">
        <f>Treasury!G268-'Check Treasury Past'!G268</f>
        <v>0</v>
      </c>
      <c r="T268" s="113">
        <f>Treasury!H268-'Check Treasury Past'!H268</f>
        <v>0</v>
      </c>
      <c r="U268" s="113">
        <f>Treasury!I268-'Check Treasury Past'!I268</f>
        <v>0</v>
      </c>
      <c r="V268" s="113">
        <f>Treasury!J268-'Check Treasury Past'!J268</f>
        <v>0</v>
      </c>
      <c r="W268" s="113">
        <f>Treasury!K268-'Check Treasury Past'!K268</f>
        <v>0</v>
      </c>
    </row>
    <row r="269" spans="1:23" s="14" customFormat="1" x14ac:dyDescent="0.2">
      <c r="A269" s="110">
        <v>44500</v>
      </c>
      <c r="B269" s="117">
        <v>3589</v>
      </c>
      <c r="C269" s="117">
        <v>430</v>
      </c>
      <c r="D269" s="117">
        <v>4019</v>
      </c>
      <c r="E269" s="117">
        <v>675</v>
      </c>
      <c r="F269" s="117">
        <v>4159</v>
      </c>
      <c r="G269" s="117">
        <v>0</v>
      </c>
      <c r="H269" s="117">
        <v>8853</v>
      </c>
      <c r="I269" s="117">
        <v>14573</v>
      </c>
      <c r="J269" s="117">
        <v>23426</v>
      </c>
      <c r="K269" s="117">
        <v>399</v>
      </c>
      <c r="M269" s="89">
        <v>44500</v>
      </c>
      <c r="N269" s="113">
        <f>Treasury!B269-'Check Treasury Past'!B269</f>
        <v>0</v>
      </c>
      <c r="O269" s="113">
        <f>Treasury!C269-'Check Treasury Past'!C269</f>
        <v>0</v>
      </c>
      <c r="P269" s="113">
        <f>Treasury!D269-'Check Treasury Past'!D269</f>
        <v>0</v>
      </c>
      <c r="Q269" s="113">
        <f>Treasury!E269-'Check Treasury Past'!E269</f>
        <v>0</v>
      </c>
      <c r="R269" s="113">
        <f>Treasury!F269-'Check Treasury Past'!F269</f>
        <v>0</v>
      </c>
      <c r="S269" s="113">
        <f>Treasury!G269-'Check Treasury Past'!G269</f>
        <v>0</v>
      </c>
      <c r="T269" s="113">
        <f>Treasury!H269-'Check Treasury Past'!H269</f>
        <v>0</v>
      </c>
      <c r="U269" s="113">
        <f>Treasury!I269-'Check Treasury Past'!I269</f>
        <v>0</v>
      </c>
      <c r="V269" s="113">
        <f>Treasury!J269-'Check Treasury Past'!J269</f>
        <v>0</v>
      </c>
      <c r="W269" s="113">
        <f>Treasury!K269-'Check Treasury Past'!K269</f>
        <v>0</v>
      </c>
    </row>
    <row r="270" spans="1:23" s="14" customFormat="1" x14ac:dyDescent="0.2">
      <c r="A270" s="110">
        <v>44530</v>
      </c>
      <c r="B270" s="117">
        <v>3839</v>
      </c>
      <c r="C270" s="117">
        <v>470</v>
      </c>
      <c r="D270" s="117">
        <v>4309</v>
      </c>
      <c r="E270" s="117">
        <v>701</v>
      </c>
      <c r="F270" s="117">
        <v>4344</v>
      </c>
      <c r="G270" s="117">
        <v>0</v>
      </c>
      <c r="H270" s="117">
        <v>9354</v>
      </c>
      <c r="I270" s="117">
        <v>12469</v>
      </c>
      <c r="J270" s="117">
        <v>21823</v>
      </c>
      <c r="K270" s="117">
        <v>292</v>
      </c>
      <c r="M270" s="89">
        <v>44530</v>
      </c>
      <c r="N270" s="113">
        <f>Treasury!B270-'Check Treasury Past'!B270</f>
        <v>0</v>
      </c>
      <c r="O270" s="113">
        <f>Treasury!C270-'Check Treasury Past'!C270</f>
        <v>0</v>
      </c>
      <c r="P270" s="113">
        <f>Treasury!D270-'Check Treasury Past'!D270</f>
        <v>0</v>
      </c>
      <c r="Q270" s="113">
        <f>Treasury!E270-'Check Treasury Past'!E270</f>
        <v>0</v>
      </c>
      <c r="R270" s="113">
        <f>Treasury!F270-'Check Treasury Past'!F270</f>
        <v>0</v>
      </c>
      <c r="S270" s="113">
        <f>Treasury!G270-'Check Treasury Past'!G270</f>
        <v>0</v>
      </c>
      <c r="T270" s="113">
        <f>Treasury!H270-'Check Treasury Past'!H270</f>
        <v>0</v>
      </c>
      <c r="U270" s="113">
        <f>Treasury!I270-'Check Treasury Past'!I270</f>
        <v>0</v>
      </c>
      <c r="V270" s="113">
        <f>Treasury!J270-'Check Treasury Past'!J270</f>
        <v>0</v>
      </c>
      <c r="W270" s="113">
        <f>Treasury!K270-'Check Treasury Past'!K270</f>
        <v>0</v>
      </c>
    </row>
    <row r="271" spans="1:23" s="14" customFormat="1" x14ac:dyDescent="0.2">
      <c r="A271" s="110">
        <v>44561</v>
      </c>
      <c r="B271" s="117">
        <v>3714</v>
      </c>
      <c r="C271" s="117">
        <v>549</v>
      </c>
      <c r="D271" s="117">
        <v>4263</v>
      </c>
      <c r="E271" s="117">
        <v>701</v>
      </c>
      <c r="F271" s="117">
        <v>4347</v>
      </c>
      <c r="G271" s="117">
        <v>0</v>
      </c>
      <c r="H271" s="117">
        <v>9311</v>
      </c>
      <c r="I271" s="117">
        <v>14274</v>
      </c>
      <c r="J271" s="117">
        <v>23585</v>
      </c>
      <c r="K271" s="117">
        <v>231</v>
      </c>
      <c r="M271" s="89">
        <v>44561</v>
      </c>
      <c r="N271" s="113">
        <f>Treasury!B271-'Check Treasury Past'!B271</f>
        <v>0</v>
      </c>
      <c r="O271" s="113">
        <f>Treasury!C271-'Check Treasury Past'!C271</f>
        <v>0</v>
      </c>
      <c r="P271" s="113">
        <f>Treasury!D271-'Check Treasury Past'!D271</f>
        <v>0</v>
      </c>
      <c r="Q271" s="113">
        <f>Treasury!E271-'Check Treasury Past'!E271</f>
        <v>0</v>
      </c>
      <c r="R271" s="113">
        <f>Treasury!F271-'Check Treasury Past'!F271</f>
        <v>0</v>
      </c>
      <c r="S271" s="113">
        <f>Treasury!G271-'Check Treasury Past'!G271</f>
        <v>0</v>
      </c>
      <c r="T271" s="113">
        <f>Treasury!H271-'Check Treasury Past'!H271</f>
        <v>0</v>
      </c>
      <c r="U271" s="113">
        <f>Treasury!I271-'Check Treasury Past'!I271</f>
        <v>0</v>
      </c>
      <c r="V271" s="113">
        <f>Treasury!J271-'Check Treasury Past'!J271</f>
        <v>0</v>
      </c>
      <c r="W271" s="113">
        <f>Treasury!K271-'Check Treasury Past'!K271</f>
        <v>0</v>
      </c>
    </row>
    <row r="272" spans="1:23" s="14" customFormat="1" x14ac:dyDescent="0.2">
      <c r="A272" s="110">
        <v>44592</v>
      </c>
      <c r="B272" s="117">
        <v>3648</v>
      </c>
      <c r="C272" s="117">
        <v>468</v>
      </c>
      <c r="D272" s="117">
        <v>4116</v>
      </c>
      <c r="E272" s="117">
        <v>726</v>
      </c>
      <c r="F272" s="117">
        <v>4502</v>
      </c>
      <c r="G272" s="117">
        <v>0</v>
      </c>
      <c r="H272" s="117">
        <v>9344</v>
      </c>
      <c r="I272" s="117">
        <v>12890</v>
      </c>
      <c r="J272" s="117">
        <v>22234</v>
      </c>
      <c r="K272" s="117">
        <v>277</v>
      </c>
      <c r="M272" s="89">
        <v>44592</v>
      </c>
      <c r="N272" s="113">
        <f>Treasury!B272-'Check Treasury Past'!B272</f>
        <v>0</v>
      </c>
      <c r="O272" s="113">
        <f>Treasury!C272-'Check Treasury Past'!C272</f>
        <v>0</v>
      </c>
      <c r="P272" s="113">
        <f>Treasury!D272-'Check Treasury Past'!D272</f>
        <v>0</v>
      </c>
      <c r="Q272" s="113">
        <f>Treasury!E272-'Check Treasury Past'!E272</f>
        <v>0</v>
      </c>
      <c r="R272" s="113">
        <f>Treasury!F272-'Check Treasury Past'!F272</f>
        <v>0</v>
      </c>
      <c r="S272" s="113">
        <f>Treasury!G272-'Check Treasury Past'!G272</f>
        <v>0</v>
      </c>
      <c r="T272" s="113">
        <f>Treasury!H272-'Check Treasury Past'!H272</f>
        <v>0</v>
      </c>
      <c r="U272" s="113">
        <f>Treasury!I272-'Check Treasury Past'!I272</f>
        <v>0</v>
      </c>
      <c r="V272" s="113">
        <f>Treasury!J272-'Check Treasury Past'!J272</f>
        <v>0</v>
      </c>
      <c r="W272" s="113">
        <f>Treasury!K272-'Check Treasury Past'!K272</f>
        <v>0</v>
      </c>
    </row>
    <row r="273" spans="1:23" s="14" customFormat="1" x14ac:dyDescent="0.2">
      <c r="A273" s="110">
        <v>44620</v>
      </c>
      <c r="B273" s="117">
        <v>3385</v>
      </c>
      <c r="C273" s="117">
        <v>387</v>
      </c>
      <c r="D273" s="117">
        <v>3772</v>
      </c>
      <c r="E273" s="117">
        <v>714</v>
      </c>
      <c r="F273" s="117">
        <v>4419</v>
      </c>
      <c r="G273" s="117">
        <v>0</v>
      </c>
      <c r="H273" s="117">
        <v>8905</v>
      </c>
      <c r="I273" s="117">
        <v>12689</v>
      </c>
      <c r="J273" s="117">
        <v>21594</v>
      </c>
      <c r="K273" s="117">
        <v>444</v>
      </c>
      <c r="M273" s="89">
        <v>44620</v>
      </c>
      <c r="N273" s="113">
        <f>Treasury!B273-'Check Treasury Past'!B273</f>
        <v>0</v>
      </c>
      <c r="O273" s="113">
        <f>Treasury!C273-'Check Treasury Past'!C273</f>
        <v>0</v>
      </c>
      <c r="P273" s="113">
        <f>Treasury!D273-'Check Treasury Past'!D273</f>
        <v>0</v>
      </c>
      <c r="Q273" s="113">
        <f>Treasury!E273-'Check Treasury Past'!E273</f>
        <v>0</v>
      </c>
      <c r="R273" s="113">
        <f>Treasury!F273-'Check Treasury Past'!F273</f>
        <v>0</v>
      </c>
      <c r="S273" s="113">
        <f>Treasury!G273-'Check Treasury Past'!G273</f>
        <v>0</v>
      </c>
      <c r="T273" s="113">
        <f>Treasury!H273-'Check Treasury Past'!H273</f>
        <v>0</v>
      </c>
      <c r="U273" s="113">
        <f>Treasury!I273-'Check Treasury Past'!I273</f>
        <v>0</v>
      </c>
      <c r="V273" s="113">
        <f>Treasury!J273-'Check Treasury Past'!J273</f>
        <v>0</v>
      </c>
      <c r="W273" s="113">
        <f>Treasury!K273-'Check Treasury Past'!K273</f>
        <v>0</v>
      </c>
    </row>
    <row r="274" spans="1:23" s="14" customFormat="1" x14ac:dyDescent="0.2">
      <c r="A274" s="110">
        <v>44651</v>
      </c>
      <c r="B274" s="117">
        <v>3848</v>
      </c>
      <c r="C274" s="117">
        <v>371</v>
      </c>
      <c r="D274" s="117">
        <v>4219</v>
      </c>
      <c r="E274" s="117">
        <v>703</v>
      </c>
      <c r="F274" s="117">
        <v>4214</v>
      </c>
      <c r="G274" s="117">
        <v>0</v>
      </c>
      <c r="H274" s="117">
        <v>9136</v>
      </c>
      <c r="I274" s="117">
        <v>14123</v>
      </c>
      <c r="J274" s="117">
        <v>23259</v>
      </c>
      <c r="K274" s="117">
        <v>646</v>
      </c>
      <c r="M274" s="89">
        <v>44651</v>
      </c>
      <c r="N274" s="113">
        <f>Treasury!B274-'Check Treasury Past'!B274</f>
        <v>0</v>
      </c>
      <c r="O274" s="113">
        <f>Treasury!C274-'Check Treasury Past'!C274</f>
        <v>0</v>
      </c>
      <c r="P274" s="113">
        <f>Treasury!D274-'Check Treasury Past'!D274</f>
        <v>0</v>
      </c>
      <c r="Q274" s="113">
        <f>Treasury!E274-'Check Treasury Past'!E274</f>
        <v>0</v>
      </c>
      <c r="R274" s="113">
        <f>Treasury!F274-'Check Treasury Past'!F274</f>
        <v>0</v>
      </c>
      <c r="S274" s="113">
        <f>Treasury!G274-'Check Treasury Past'!G274</f>
        <v>0</v>
      </c>
      <c r="T274" s="113">
        <f>Treasury!H274-'Check Treasury Past'!H274</f>
        <v>0</v>
      </c>
      <c r="U274" s="113">
        <f>Treasury!I274-'Check Treasury Past'!I274</f>
        <v>0</v>
      </c>
      <c r="V274" s="113">
        <f>Treasury!J274-'Check Treasury Past'!J274</f>
        <v>0</v>
      </c>
      <c r="W274" s="113">
        <f>Treasury!K274-'Check Treasury Past'!K274</f>
        <v>0</v>
      </c>
    </row>
    <row r="275" spans="1:23" s="14" customFormat="1" x14ac:dyDescent="0.2">
      <c r="A275" s="110">
        <v>44681</v>
      </c>
      <c r="B275" s="117">
        <v>3731</v>
      </c>
      <c r="C275" s="117">
        <v>474</v>
      </c>
      <c r="D275" s="117">
        <v>4205</v>
      </c>
      <c r="E275" s="117">
        <v>725</v>
      </c>
      <c r="F275" s="117">
        <v>4371</v>
      </c>
      <c r="G275" s="117">
        <v>0</v>
      </c>
      <c r="H275" s="117">
        <v>9301</v>
      </c>
      <c r="I275" s="117">
        <v>8936</v>
      </c>
      <c r="J275" s="117">
        <v>18237</v>
      </c>
      <c r="K275" s="117">
        <v>702</v>
      </c>
      <c r="M275" s="89">
        <v>44681</v>
      </c>
      <c r="N275" s="113">
        <f>Treasury!B275-'Check Treasury Past'!B275</f>
        <v>0</v>
      </c>
      <c r="O275" s="113">
        <f>Treasury!C275-'Check Treasury Past'!C275</f>
        <v>0</v>
      </c>
      <c r="P275" s="113">
        <f>Treasury!D275-'Check Treasury Past'!D275</f>
        <v>0</v>
      </c>
      <c r="Q275" s="113">
        <f>Treasury!E275-'Check Treasury Past'!E275</f>
        <v>0</v>
      </c>
      <c r="R275" s="113">
        <f>Treasury!F275-'Check Treasury Past'!F275</f>
        <v>0</v>
      </c>
      <c r="S275" s="113">
        <f>Treasury!G275-'Check Treasury Past'!G275</f>
        <v>0</v>
      </c>
      <c r="T275" s="113">
        <f>Treasury!H275-'Check Treasury Past'!H275</f>
        <v>0</v>
      </c>
      <c r="U275" s="113">
        <f>Treasury!I275-'Check Treasury Past'!I275</f>
        <v>0</v>
      </c>
      <c r="V275" s="113">
        <f>Treasury!J275-'Check Treasury Past'!J275</f>
        <v>0</v>
      </c>
      <c r="W275" s="113">
        <f>Treasury!K275-'Check Treasury Past'!K275</f>
        <v>0</v>
      </c>
    </row>
    <row r="276" spans="1:23" s="14" customFormat="1" x14ac:dyDescent="0.2">
      <c r="A276" s="110">
        <v>44712</v>
      </c>
      <c r="B276" s="117">
        <v>3143</v>
      </c>
      <c r="C276" s="117">
        <v>613</v>
      </c>
      <c r="D276" s="117">
        <v>3756</v>
      </c>
      <c r="E276" s="117">
        <v>726</v>
      </c>
      <c r="F276" s="117">
        <v>4410</v>
      </c>
      <c r="G276" s="117">
        <v>0</v>
      </c>
      <c r="H276" s="117">
        <v>8892</v>
      </c>
      <c r="I276" s="117">
        <v>13203</v>
      </c>
      <c r="J276" s="117">
        <v>22095</v>
      </c>
      <c r="K276" s="117">
        <v>732</v>
      </c>
      <c r="M276" s="89">
        <v>44712</v>
      </c>
      <c r="N276" s="113">
        <f>Treasury!B276-'Check Treasury Past'!B276</f>
        <v>0</v>
      </c>
      <c r="O276" s="113">
        <f>Treasury!C276-'Check Treasury Past'!C276</f>
        <v>0</v>
      </c>
      <c r="P276" s="113">
        <f>Treasury!D276-'Check Treasury Past'!D276</f>
        <v>0</v>
      </c>
      <c r="Q276" s="113">
        <f>Treasury!E276-'Check Treasury Past'!E276</f>
        <v>0</v>
      </c>
      <c r="R276" s="113">
        <f>Treasury!F276-'Check Treasury Past'!F276</f>
        <v>0</v>
      </c>
      <c r="S276" s="113">
        <f>Treasury!G276-'Check Treasury Past'!G276</f>
        <v>0</v>
      </c>
      <c r="T276" s="113">
        <f>Treasury!H276-'Check Treasury Past'!H276</f>
        <v>0</v>
      </c>
      <c r="U276" s="113">
        <f>Treasury!I276-'Check Treasury Past'!I276</f>
        <v>0</v>
      </c>
      <c r="V276" s="113">
        <f>Treasury!J276-'Check Treasury Past'!J276</f>
        <v>0</v>
      </c>
      <c r="W276" s="113">
        <f>Treasury!K276-'Check Treasury Past'!K276</f>
        <v>0</v>
      </c>
    </row>
    <row r="277" spans="1:23" s="14" customFormat="1" x14ac:dyDescent="0.2">
      <c r="A277" s="110">
        <v>44742</v>
      </c>
      <c r="B277" s="117">
        <v>3063</v>
      </c>
      <c r="C277" s="117">
        <v>714</v>
      </c>
      <c r="D277" s="117">
        <v>3777</v>
      </c>
      <c r="E277" s="117">
        <v>751</v>
      </c>
      <c r="F277" s="117">
        <v>4565</v>
      </c>
      <c r="G277" s="117">
        <v>0</v>
      </c>
      <c r="H277" s="117">
        <v>9093</v>
      </c>
      <c r="I277" s="117">
        <v>10911</v>
      </c>
      <c r="J277" s="117">
        <v>20004</v>
      </c>
      <c r="K277" s="117">
        <v>764</v>
      </c>
      <c r="L277" s="141"/>
      <c r="M277" s="89">
        <v>44742</v>
      </c>
      <c r="N277" s="113">
        <f>Treasury!B277-'Check Treasury Past'!B277</f>
        <v>0</v>
      </c>
      <c r="O277" s="113">
        <f>Treasury!C277-'Check Treasury Past'!C277</f>
        <v>0</v>
      </c>
      <c r="P277" s="113">
        <f>Treasury!D277-'Check Treasury Past'!D277</f>
        <v>0</v>
      </c>
      <c r="Q277" s="113">
        <f>Treasury!E277-'Check Treasury Past'!E277</f>
        <v>0</v>
      </c>
      <c r="R277" s="113">
        <f>Treasury!F277-'Check Treasury Past'!F277</f>
        <v>0</v>
      </c>
      <c r="S277" s="113">
        <f>Treasury!G277-'Check Treasury Past'!G277</f>
        <v>0</v>
      </c>
      <c r="T277" s="113">
        <f>Treasury!H277-'Check Treasury Past'!H277</f>
        <v>0</v>
      </c>
      <c r="U277" s="113">
        <f>Treasury!I277-'Check Treasury Past'!I277</f>
        <v>0</v>
      </c>
      <c r="V277" s="113">
        <f>Treasury!J277-'Check Treasury Past'!J277</f>
        <v>0</v>
      </c>
      <c r="W277" s="113">
        <f>Treasury!K277-'Check Treasury Past'!K277</f>
        <v>0</v>
      </c>
    </row>
    <row r="278" spans="1:23" s="14" customFormat="1" x14ac:dyDescent="0.2">
      <c r="A278" s="110">
        <v>44773</v>
      </c>
      <c r="B278" s="117">
        <v>3083</v>
      </c>
      <c r="C278" s="117">
        <v>697</v>
      </c>
      <c r="D278" s="117">
        <v>3780</v>
      </c>
      <c r="E278" s="117">
        <v>745</v>
      </c>
      <c r="F278" s="117">
        <v>4477</v>
      </c>
      <c r="G278" s="117">
        <v>0</v>
      </c>
      <c r="H278" s="117">
        <v>9002</v>
      </c>
      <c r="I278" s="117">
        <v>12159</v>
      </c>
      <c r="J278" s="117">
        <v>21161</v>
      </c>
      <c r="K278" s="117">
        <v>580</v>
      </c>
      <c r="L278" s="141"/>
      <c r="M278" s="89">
        <v>44773</v>
      </c>
      <c r="N278" s="113">
        <f>Treasury!B278-'Check Treasury Past'!B278</f>
        <v>0</v>
      </c>
      <c r="O278" s="113">
        <f>Treasury!C278-'Check Treasury Past'!C278</f>
        <v>0</v>
      </c>
      <c r="P278" s="113">
        <f>Treasury!D278-'Check Treasury Past'!D278</f>
        <v>0</v>
      </c>
      <c r="Q278" s="113">
        <f>Treasury!E278-'Check Treasury Past'!E278</f>
        <v>0</v>
      </c>
      <c r="R278" s="113">
        <f>Treasury!F278-'Check Treasury Past'!F278</f>
        <v>0</v>
      </c>
      <c r="S278" s="113">
        <f>Treasury!G278-'Check Treasury Past'!G278</f>
        <v>0</v>
      </c>
      <c r="T278" s="113">
        <f>Treasury!H278-'Check Treasury Past'!H278</f>
        <v>0</v>
      </c>
      <c r="U278" s="113">
        <f>Treasury!I278-'Check Treasury Past'!I278</f>
        <v>0</v>
      </c>
      <c r="V278" s="113">
        <f>Treasury!J278-'Check Treasury Past'!J278</f>
        <v>0</v>
      </c>
      <c r="W278" s="113">
        <f>Treasury!K278-'Check Treasury Past'!K278</f>
        <v>0</v>
      </c>
    </row>
    <row r="279" spans="1:23" s="14" customFormat="1" x14ac:dyDescent="0.2">
      <c r="A279" s="110">
        <v>44804</v>
      </c>
      <c r="B279" s="117">
        <v>3028</v>
      </c>
      <c r="C279" s="117">
        <v>511</v>
      </c>
      <c r="D279" s="117">
        <v>3539</v>
      </c>
      <c r="E279" s="117">
        <v>754</v>
      </c>
      <c r="F279" s="117">
        <v>4531</v>
      </c>
      <c r="G279" s="117">
        <v>0</v>
      </c>
      <c r="H279" s="117">
        <v>8824</v>
      </c>
      <c r="I279" s="117">
        <v>10624</v>
      </c>
      <c r="J279" s="117">
        <v>19448</v>
      </c>
      <c r="K279" s="117">
        <v>718</v>
      </c>
      <c r="L279" s="141"/>
      <c r="M279" s="89">
        <v>44804</v>
      </c>
      <c r="N279" s="113">
        <f>Treasury!B279-'Check Treasury Past'!B279</f>
        <v>0</v>
      </c>
      <c r="O279" s="113">
        <f>Treasury!C279-'Check Treasury Past'!C279</f>
        <v>0</v>
      </c>
      <c r="P279" s="113">
        <f>Treasury!D279-'Check Treasury Past'!D279</f>
        <v>0</v>
      </c>
      <c r="Q279" s="113">
        <f>Treasury!E279-'Check Treasury Past'!E279</f>
        <v>0</v>
      </c>
      <c r="R279" s="113">
        <f>Treasury!F279-'Check Treasury Past'!F279</f>
        <v>0</v>
      </c>
      <c r="S279" s="113">
        <f>Treasury!G279-'Check Treasury Past'!G279</f>
        <v>0</v>
      </c>
      <c r="T279" s="113">
        <f>Treasury!H279-'Check Treasury Past'!H279</f>
        <v>0</v>
      </c>
      <c r="U279" s="113">
        <f>Treasury!I279-'Check Treasury Past'!I279</f>
        <v>0</v>
      </c>
      <c r="V279" s="113">
        <f>Treasury!J279-'Check Treasury Past'!J279</f>
        <v>0</v>
      </c>
      <c r="W279" s="113">
        <f>Treasury!K279-'Check Treasury Past'!K279</f>
        <v>0</v>
      </c>
    </row>
    <row r="280" spans="1:23" s="14" customFormat="1" x14ac:dyDescent="0.2">
      <c r="A280" s="110">
        <v>44834</v>
      </c>
      <c r="B280" s="117">
        <v>2687</v>
      </c>
      <c r="C280" s="117">
        <v>448</v>
      </c>
      <c r="D280" s="117">
        <v>3135</v>
      </c>
      <c r="E280" s="117">
        <v>797</v>
      </c>
      <c r="F280" s="117">
        <v>4791</v>
      </c>
      <c r="G280" s="117">
        <v>0</v>
      </c>
      <c r="H280" s="117">
        <v>8723</v>
      </c>
      <c r="I280" s="117">
        <v>11222</v>
      </c>
      <c r="J280" s="117">
        <v>19945</v>
      </c>
      <c r="K280" s="117">
        <v>641</v>
      </c>
      <c r="L280" s="141"/>
      <c r="M280" s="89">
        <v>44834</v>
      </c>
      <c r="N280" s="113">
        <f>Treasury!B280-'Check Treasury Past'!B280</f>
        <v>0</v>
      </c>
      <c r="O280" s="113">
        <f>Treasury!C280-'Check Treasury Past'!C280</f>
        <v>0</v>
      </c>
      <c r="P280" s="113">
        <f>Treasury!D280-'Check Treasury Past'!D280</f>
        <v>0</v>
      </c>
      <c r="Q280" s="113">
        <f>Treasury!E280-'Check Treasury Past'!E280</f>
        <v>0</v>
      </c>
      <c r="R280" s="113">
        <f>Treasury!F280-'Check Treasury Past'!F280</f>
        <v>0</v>
      </c>
      <c r="S280" s="113">
        <f>Treasury!G280-'Check Treasury Past'!G280</f>
        <v>0</v>
      </c>
      <c r="T280" s="113">
        <f>Treasury!H280-'Check Treasury Past'!H280</f>
        <v>0</v>
      </c>
      <c r="U280" s="113">
        <f>Treasury!I280-'Check Treasury Past'!I280</f>
        <v>0</v>
      </c>
      <c r="V280" s="113">
        <f>Treasury!J280-'Check Treasury Past'!J280</f>
        <v>0</v>
      </c>
      <c r="W280" s="113">
        <f>Treasury!K280-'Check Treasury Past'!K280</f>
        <v>0</v>
      </c>
    </row>
    <row r="281" spans="1:23" s="14" customFormat="1" x14ac:dyDescent="0.2">
      <c r="A281" s="110">
        <v>44865</v>
      </c>
      <c r="B281" s="117">
        <v>2034</v>
      </c>
      <c r="C281" s="117">
        <v>531</v>
      </c>
      <c r="D281" s="117">
        <v>2565</v>
      </c>
      <c r="E281" s="117">
        <v>787</v>
      </c>
      <c r="F281" s="117">
        <v>4753</v>
      </c>
      <c r="G281" s="117">
        <v>0</v>
      </c>
      <c r="H281" s="117">
        <v>8105</v>
      </c>
      <c r="I281" s="117">
        <v>8996</v>
      </c>
      <c r="J281" s="117">
        <v>17101</v>
      </c>
      <c r="K281" s="117">
        <v>988</v>
      </c>
      <c r="L281" s="141"/>
      <c r="M281" s="89">
        <v>44865</v>
      </c>
      <c r="N281" s="113">
        <f>Treasury!B281-'Check Treasury Past'!B281</f>
        <v>0</v>
      </c>
      <c r="O281" s="113">
        <f>Treasury!C281-'Check Treasury Past'!C281</f>
        <v>0</v>
      </c>
      <c r="P281" s="113">
        <f>Treasury!D281-'Check Treasury Past'!D281</f>
        <v>0</v>
      </c>
      <c r="Q281" s="113">
        <f>Treasury!E281-'Check Treasury Past'!E281</f>
        <v>0</v>
      </c>
      <c r="R281" s="113">
        <f>Treasury!F281-'Check Treasury Past'!F281</f>
        <v>0</v>
      </c>
      <c r="S281" s="113">
        <f>Treasury!G281-'Check Treasury Past'!G281</f>
        <v>0</v>
      </c>
      <c r="T281" s="113">
        <f>Treasury!H281-'Check Treasury Past'!H281</f>
        <v>0</v>
      </c>
      <c r="U281" s="113">
        <f>Treasury!I281-'Check Treasury Past'!I281</f>
        <v>0</v>
      </c>
      <c r="V281" s="113">
        <f>Treasury!J281-'Check Treasury Past'!J281</f>
        <v>0</v>
      </c>
      <c r="W281" s="113">
        <f>Treasury!K281-'Check Treasury Past'!K281</f>
        <v>0</v>
      </c>
    </row>
    <row r="282" spans="1:23" s="14" customFormat="1" x14ac:dyDescent="0.2">
      <c r="A282" s="110">
        <v>44895</v>
      </c>
      <c r="B282" s="117">
        <v>1915</v>
      </c>
      <c r="C282" s="117">
        <v>660</v>
      </c>
      <c r="D282" s="117">
        <v>2575</v>
      </c>
      <c r="E282" s="117">
        <v>750</v>
      </c>
      <c r="F282" s="117">
        <v>4547</v>
      </c>
      <c r="G282" s="117">
        <v>0</v>
      </c>
      <c r="H282" s="117">
        <v>7872</v>
      </c>
      <c r="I282" s="117">
        <v>15751</v>
      </c>
      <c r="J282" s="117">
        <v>23623</v>
      </c>
      <c r="K282" s="117">
        <v>1257</v>
      </c>
      <c r="L282" s="141"/>
      <c r="M282" s="89">
        <v>44895</v>
      </c>
      <c r="N282" s="113">
        <f>Treasury!B282-'Check Treasury Past'!B282</f>
        <v>0</v>
      </c>
      <c r="O282" s="113">
        <f>Treasury!C282-'Check Treasury Past'!C282</f>
        <v>0</v>
      </c>
      <c r="P282" s="113">
        <f>Treasury!D282-'Check Treasury Past'!D282</f>
        <v>0</v>
      </c>
      <c r="Q282" s="113">
        <f>Treasury!E282-'Check Treasury Past'!E282</f>
        <v>0</v>
      </c>
      <c r="R282" s="113">
        <f>Treasury!F282-'Check Treasury Past'!F282</f>
        <v>0</v>
      </c>
      <c r="S282" s="113">
        <f>Treasury!G282-'Check Treasury Past'!G282</f>
        <v>0</v>
      </c>
      <c r="T282" s="113">
        <f>Treasury!H282-'Check Treasury Past'!H282</f>
        <v>0</v>
      </c>
      <c r="U282" s="113">
        <f>Treasury!I282-'Check Treasury Past'!I282</f>
        <v>0</v>
      </c>
      <c r="V282" s="113">
        <f>Treasury!J282-'Check Treasury Past'!J282</f>
        <v>0</v>
      </c>
      <c r="W282" s="113">
        <f>Treasury!K282-'Check Treasury Past'!K282</f>
        <v>0</v>
      </c>
    </row>
    <row r="283" spans="1:23" s="14" customFormat="1" x14ac:dyDescent="0.2">
      <c r="A283" s="110">
        <v>44926</v>
      </c>
      <c r="B283" s="117">
        <v>1503</v>
      </c>
      <c r="C283" s="117">
        <v>380</v>
      </c>
      <c r="D283" s="117">
        <v>1883</v>
      </c>
      <c r="E283" s="117">
        <v>761</v>
      </c>
      <c r="F283" s="117">
        <v>4533</v>
      </c>
      <c r="G283" s="117">
        <v>0</v>
      </c>
      <c r="H283" s="117">
        <v>7177</v>
      </c>
      <c r="I283" s="117">
        <v>15577</v>
      </c>
      <c r="J283" s="117">
        <v>22754</v>
      </c>
      <c r="K283" s="117">
        <v>1391</v>
      </c>
      <c r="L283" s="141"/>
      <c r="M283" s="89">
        <v>44926</v>
      </c>
      <c r="N283" s="113">
        <f>Treasury!B283-'Check Treasury Past'!B283</f>
        <v>0</v>
      </c>
      <c r="O283" s="113">
        <f>Treasury!C283-'Check Treasury Past'!C283</f>
        <v>0</v>
      </c>
      <c r="P283" s="113">
        <f>Treasury!D283-'Check Treasury Past'!D283</f>
        <v>0</v>
      </c>
      <c r="Q283" s="113">
        <f>Treasury!E283-'Check Treasury Past'!E283</f>
        <v>0</v>
      </c>
      <c r="R283" s="113">
        <f>Treasury!F283-'Check Treasury Past'!F283</f>
        <v>0</v>
      </c>
      <c r="S283" s="113">
        <f>Treasury!G283-'Check Treasury Past'!G283</f>
        <v>0</v>
      </c>
      <c r="T283" s="113">
        <f>Treasury!H283-'Check Treasury Past'!H283</f>
        <v>0</v>
      </c>
      <c r="U283" s="113">
        <f>Treasury!I283-'Check Treasury Past'!I283</f>
        <v>0</v>
      </c>
      <c r="V283" s="113">
        <f>Treasury!J283-'Check Treasury Past'!J283</f>
        <v>0</v>
      </c>
      <c r="W283" s="113">
        <f>Treasury!K283-'Check Treasury Past'!K283</f>
        <v>0</v>
      </c>
    </row>
    <row r="284" spans="1:23" s="14" customFormat="1" x14ac:dyDescent="0.2">
      <c r="A284" s="110">
        <v>44957</v>
      </c>
      <c r="B284" s="117">
        <v>1182</v>
      </c>
      <c r="C284" s="117">
        <v>586</v>
      </c>
      <c r="D284" s="117">
        <v>1768</v>
      </c>
      <c r="E284" s="117">
        <v>757</v>
      </c>
      <c r="F284" s="117">
        <v>4519</v>
      </c>
      <c r="G284" s="117">
        <v>0</v>
      </c>
      <c r="H284" s="117">
        <v>7044</v>
      </c>
      <c r="I284" s="117">
        <v>15887</v>
      </c>
      <c r="J284" s="117">
        <v>22931</v>
      </c>
      <c r="K284" s="117">
        <v>1260</v>
      </c>
      <c r="L284" s="141"/>
      <c r="M284" s="89">
        <v>44957</v>
      </c>
      <c r="N284" s="113">
        <f>Treasury!B284-'Check Treasury Past'!B284</f>
        <v>0</v>
      </c>
      <c r="O284" s="113">
        <f>Treasury!C284-'Check Treasury Past'!C284</f>
        <v>0</v>
      </c>
      <c r="P284" s="113">
        <f>Treasury!D284-'Check Treasury Past'!D284</f>
        <v>0</v>
      </c>
      <c r="Q284" s="113">
        <f>Treasury!E284-'Check Treasury Past'!E284</f>
        <v>0</v>
      </c>
      <c r="R284" s="113">
        <f>Treasury!F284-'Check Treasury Past'!F284</f>
        <v>0</v>
      </c>
      <c r="S284" s="113">
        <f>Treasury!G284-'Check Treasury Past'!G284</f>
        <v>0</v>
      </c>
      <c r="T284" s="113">
        <f>Treasury!H284-'Check Treasury Past'!H284</f>
        <v>0</v>
      </c>
      <c r="U284" s="113">
        <f>Treasury!I284-'Check Treasury Past'!I284</f>
        <v>0</v>
      </c>
      <c r="V284" s="113">
        <f>Treasury!J284-'Check Treasury Past'!J284</f>
        <v>0</v>
      </c>
      <c r="W284" s="113">
        <f>Treasury!K284-'Check Treasury Past'!K284</f>
        <v>0</v>
      </c>
    </row>
    <row r="285" spans="1:23" s="14" customFormat="1" x14ac:dyDescent="0.2">
      <c r="A285" s="110">
        <v>44985</v>
      </c>
      <c r="B285" s="117">
        <v>1042</v>
      </c>
      <c r="C285" s="117">
        <v>1147</v>
      </c>
      <c r="D285" s="117">
        <v>2189</v>
      </c>
      <c r="E285" s="117">
        <v>778</v>
      </c>
      <c r="F285" s="117">
        <v>4645</v>
      </c>
      <c r="G285" s="117">
        <v>0</v>
      </c>
      <c r="H285" s="117">
        <v>7612</v>
      </c>
      <c r="I285" s="117">
        <v>19640</v>
      </c>
      <c r="J285" s="117">
        <v>27252</v>
      </c>
      <c r="K285" s="117">
        <v>1080</v>
      </c>
      <c r="L285" s="141"/>
      <c r="M285" s="89">
        <v>44985</v>
      </c>
      <c r="N285" s="113">
        <f>Treasury!B285-'Check Treasury Past'!B285</f>
        <v>0</v>
      </c>
      <c r="O285" s="113">
        <f>Treasury!C285-'Check Treasury Past'!C285</f>
        <v>0</v>
      </c>
      <c r="P285" s="113">
        <f>Treasury!D285-'Check Treasury Past'!D285</f>
        <v>0</v>
      </c>
      <c r="Q285" s="113">
        <f>Treasury!E285-'Check Treasury Past'!E285</f>
        <v>0</v>
      </c>
      <c r="R285" s="113">
        <f>Treasury!F285-'Check Treasury Past'!F285</f>
        <v>0</v>
      </c>
      <c r="S285" s="113">
        <f>Treasury!G285-'Check Treasury Past'!G285</f>
        <v>0</v>
      </c>
      <c r="T285" s="113">
        <f>Treasury!H285-'Check Treasury Past'!H285</f>
        <v>0</v>
      </c>
      <c r="U285" s="113">
        <f>Treasury!I285-'Check Treasury Past'!I285</f>
        <v>0</v>
      </c>
      <c r="V285" s="113">
        <f>Treasury!J285-'Check Treasury Past'!J285</f>
        <v>0</v>
      </c>
      <c r="W285" s="113">
        <f>Treasury!K285-'Check Treasury Past'!K285</f>
        <v>0</v>
      </c>
    </row>
    <row r="286" spans="1:23" s="14" customFormat="1" x14ac:dyDescent="0.2">
      <c r="A286" s="110">
        <v>45016</v>
      </c>
      <c r="B286" s="117">
        <v>772</v>
      </c>
      <c r="C286" s="117">
        <v>603</v>
      </c>
      <c r="D286" s="117">
        <v>1375</v>
      </c>
      <c r="E286" s="117">
        <v>791</v>
      </c>
      <c r="F286" s="117">
        <v>4631</v>
      </c>
      <c r="G286" s="117">
        <v>0</v>
      </c>
      <c r="H286" s="117">
        <v>6797</v>
      </c>
      <c r="I286" s="117">
        <v>16735</v>
      </c>
      <c r="J286" s="117">
        <v>23532</v>
      </c>
      <c r="K286" s="117">
        <v>978</v>
      </c>
      <c r="L286" s="141"/>
      <c r="M286" s="89">
        <v>45016</v>
      </c>
      <c r="N286" s="113">
        <f>Treasury!B286-'Check Treasury Past'!B286</f>
        <v>0</v>
      </c>
      <c r="O286" s="113">
        <f>Treasury!C286-'Check Treasury Past'!C286</f>
        <v>0</v>
      </c>
      <c r="P286" s="113">
        <f>Treasury!D286-'Check Treasury Past'!D286</f>
        <v>0</v>
      </c>
      <c r="Q286" s="113">
        <f>Treasury!E286-'Check Treasury Past'!E286</f>
        <v>0</v>
      </c>
      <c r="R286" s="113">
        <f>Treasury!F286-'Check Treasury Past'!F286</f>
        <v>0</v>
      </c>
      <c r="S286" s="113">
        <f>Treasury!G286-'Check Treasury Past'!G286</f>
        <v>0</v>
      </c>
      <c r="T286" s="113">
        <f>Treasury!H286-'Check Treasury Past'!H286</f>
        <v>0</v>
      </c>
      <c r="U286" s="113">
        <f>Treasury!I286-'Check Treasury Past'!I286</f>
        <v>0</v>
      </c>
      <c r="V286" s="113">
        <f>Treasury!J286-'Check Treasury Past'!J286</f>
        <v>0</v>
      </c>
      <c r="W286" s="113">
        <f>Treasury!K286-'Check Treasury Past'!K286</f>
        <v>0</v>
      </c>
    </row>
    <row r="287" spans="1:23" s="14" customFormat="1" x14ac:dyDescent="0.2">
      <c r="A287" s="110">
        <v>45046</v>
      </c>
      <c r="B287" s="117">
        <v>769</v>
      </c>
      <c r="C287" s="117">
        <v>1137</v>
      </c>
      <c r="D287" s="117">
        <v>1906</v>
      </c>
      <c r="E287" s="117">
        <v>812</v>
      </c>
      <c r="F287" s="117">
        <v>4715</v>
      </c>
      <c r="G287" s="117">
        <v>0</v>
      </c>
      <c r="H287" s="117">
        <v>7433</v>
      </c>
      <c r="I287" s="117">
        <v>18454</v>
      </c>
      <c r="J287" s="117">
        <v>25887</v>
      </c>
      <c r="K287" s="117">
        <v>953</v>
      </c>
      <c r="L287" s="141"/>
      <c r="M287" s="89">
        <v>45046</v>
      </c>
      <c r="N287" s="113">
        <f>Treasury!B287-'Check Treasury Past'!B287</f>
        <v>0</v>
      </c>
      <c r="O287" s="113">
        <f>Treasury!C287-'Check Treasury Past'!C287</f>
        <v>0</v>
      </c>
      <c r="P287" s="113">
        <f>Treasury!D287-'Check Treasury Past'!D287</f>
        <v>0</v>
      </c>
      <c r="Q287" s="113">
        <f>Treasury!E287-'Check Treasury Past'!E287</f>
        <v>0</v>
      </c>
      <c r="R287" s="113">
        <f>Treasury!F287-'Check Treasury Past'!F287</f>
        <v>0</v>
      </c>
      <c r="S287" s="113">
        <f>Treasury!G287-'Check Treasury Past'!G287</f>
        <v>0</v>
      </c>
      <c r="T287" s="113">
        <f>Treasury!H287-'Check Treasury Past'!H287</f>
        <v>0</v>
      </c>
      <c r="U287" s="113">
        <f>Treasury!I287-'Check Treasury Past'!I287</f>
        <v>0</v>
      </c>
      <c r="V287" s="113">
        <f>Treasury!J287-'Check Treasury Past'!J287</f>
        <v>0</v>
      </c>
      <c r="W287" s="113">
        <f>Treasury!K287-'Check Treasury Past'!K287</f>
        <v>0</v>
      </c>
    </row>
    <row r="288" spans="1:23" s="14" customFormat="1" x14ac:dyDescent="0.2">
      <c r="A288" s="110">
        <v>45077</v>
      </c>
      <c r="B288" s="117">
        <v>1074</v>
      </c>
      <c r="C288" s="117">
        <v>737</v>
      </c>
      <c r="D288" s="117">
        <v>1811</v>
      </c>
      <c r="E288" s="117">
        <v>815</v>
      </c>
      <c r="F288" s="117">
        <v>4810</v>
      </c>
      <c r="G288" s="117">
        <v>0</v>
      </c>
      <c r="H288" s="117">
        <v>7436</v>
      </c>
      <c r="I288" s="117">
        <v>19033</v>
      </c>
      <c r="J288" s="117">
        <v>26469</v>
      </c>
      <c r="K288" s="117">
        <v>972</v>
      </c>
      <c r="L288" s="141"/>
      <c r="M288" s="89">
        <v>45077</v>
      </c>
      <c r="N288" s="113">
        <f>Treasury!B288-'Check Treasury Past'!B288</f>
        <v>0</v>
      </c>
      <c r="O288" s="113">
        <f>Treasury!C288-'Check Treasury Past'!C288</f>
        <v>0</v>
      </c>
      <c r="P288" s="113">
        <f>Treasury!D288-'Check Treasury Past'!D288</f>
        <v>0</v>
      </c>
      <c r="Q288" s="113">
        <f>Treasury!E288-'Check Treasury Past'!E288</f>
        <v>0</v>
      </c>
      <c r="R288" s="113">
        <f>Treasury!F288-'Check Treasury Past'!F288</f>
        <v>0</v>
      </c>
      <c r="S288" s="113">
        <f>Treasury!G288-'Check Treasury Past'!G288</f>
        <v>0</v>
      </c>
      <c r="T288" s="113">
        <f>Treasury!H288-'Check Treasury Past'!H288</f>
        <v>0</v>
      </c>
      <c r="U288" s="113">
        <f>Treasury!I288-'Check Treasury Past'!I288</f>
        <v>0</v>
      </c>
      <c r="V288" s="113">
        <f>Treasury!J288-'Check Treasury Past'!J288</f>
        <v>0</v>
      </c>
      <c r="W288" s="113">
        <f>Treasury!K288-'Check Treasury Past'!K288</f>
        <v>0</v>
      </c>
    </row>
    <row r="289" spans="1:23" s="14" customFormat="1" x14ac:dyDescent="0.2">
      <c r="A289" s="110">
        <v>45107</v>
      </c>
      <c r="B289" s="117">
        <v>1035</v>
      </c>
      <c r="C289" s="117">
        <v>531</v>
      </c>
      <c r="D289" s="117">
        <v>1566</v>
      </c>
      <c r="E289" s="117">
        <v>806</v>
      </c>
      <c r="F289" s="117">
        <v>4766</v>
      </c>
      <c r="G289" s="117">
        <v>0</v>
      </c>
      <c r="H289" s="117">
        <v>7138</v>
      </c>
      <c r="I289" s="117">
        <v>14787</v>
      </c>
      <c r="J289" s="117">
        <v>21925</v>
      </c>
      <c r="K289" s="117">
        <v>1047</v>
      </c>
      <c r="L289" s="141"/>
      <c r="M289" s="89">
        <v>45107</v>
      </c>
      <c r="N289" s="113">
        <f>Treasury!B289-'Check Treasury Past'!B289</f>
        <v>0</v>
      </c>
      <c r="O289" s="113">
        <f>Treasury!C289-'Check Treasury Past'!C289</f>
        <v>0</v>
      </c>
      <c r="P289" s="113">
        <f>Treasury!D289-'Check Treasury Past'!D289</f>
        <v>0</v>
      </c>
      <c r="Q289" s="113">
        <f>Treasury!E289-'Check Treasury Past'!E289</f>
        <v>0</v>
      </c>
      <c r="R289" s="113">
        <f>Treasury!F289-'Check Treasury Past'!F289</f>
        <v>0</v>
      </c>
      <c r="S289" s="113">
        <f>Treasury!G289-'Check Treasury Past'!G289</f>
        <v>0</v>
      </c>
      <c r="T289" s="113">
        <f>Treasury!H289-'Check Treasury Past'!H289</f>
        <v>0</v>
      </c>
      <c r="U289" s="113">
        <f>Treasury!I289-'Check Treasury Past'!I289</f>
        <v>0</v>
      </c>
      <c r="V289" s="113">
        <f>Treasury!J289-'Check Treasury Past'!J289</f>
        <v>0</v>
      </c>
      <c r="W289" s="113">
        <f>Treasury!K289-'Check Treasury Past'!K289</f>
        <v>0</v>
      </c>
    </row>
    <row r="290" spans="1:23" s="14" customFormat="1" x14ac:dyDescent="0.2">
      <c r="A290" s="110">
        <v>45138</v>
      </c>
      <c r="B290" s="117">
        <v>893</v>
      </c>
      <c r="C290" s="117">
        <v>543</v>
      </c>
      <c r="D290" s="117">
        <v>1436</v>
      </c>
      <c r="E290" s="117">
        <v>802</v>
      </c>
      <c r="F290" s="117">
        <v>4744</v>
      </c>
      <c r="G290" s="117">
        <v>0</v>
      </c>
      <c r="H290" s="117">
        <v>6982</v>
      </c>
      <c r="I290" s="117">
        <v>20627</v>
      </c>
      <c r="J290" s="117">
        <v>27609</v>
      </c>
      <c r="K290" s="117">
        <v>1130</v>
      </c>
      <c r="L290" s="141"/>
      <c r="M290" s="89">
        <v>45138</v>
      </c>
      <c r="N290" s="113">
        <f>Treasury!B290-'Check Treasury Past'!B290</f>
        <v>0</v>
      </c>
      <c r="O290" s="113">
        <f>Treasury!C290-'Check Treasury Past'!C290</f>
        <v>0</v>
      </c>
      <c r="P290" s="113">
        <f>Treasury!D290-'Check Treasury Past'!D290</f>
        <v>0</v>
      </c>
      <c r="Q290" s="113">
        <f>Treasury!E290-'Check Treasury Past'!E290</f>
        <v>0</v>
      </c>
      <c r="R290" s="113">
        <f>Treasury!F290-'Check Treasury Past'!F290</f>
        <v>0</v>
      </c>
      <c r="S290" s="113">
        <f>Treasury!G290-'Check Treasury Past'!G290</f>
        <v>0</v>
      </c>
      <c r="T290" s="113">
        <f>Treasury!H290-'Check Treasury Past'!H290</f>
        <v>0</v>
      </c>
      <c r="U290" s="113">
        <f>Treasury!I290-'Check Treasury Past'!I290</f>
        <v>0</v>
      </c>
      <c r="V290" s="113">
        <f>Treasury!J290-'Check Treasury Past'!J290</f>
        <v>0</v>
      </c>
      <c r="W290" s="113">
        <f>Treasury!K290-'Check Treasury Past'!K290</f>
        <v>0</v>
      </c>
    </row>
    <row r="291" spans="1:23" s="14" customFormat="1" x14ac:dyDescent="0.2">
      <c r="A291" s="110">
        <v>45169</v>
      </c>
      <c r="B291" s="117">
        <v>827</v>
      </c>
      <c r="C291" s="117">
        <v>512</v>
      </c>
      <c r="D291" s="117">
        <v>1339</v>
      </c>
      <c r="E291" s="117">
        <v>822</v>
      </c>
      <c r="F291" s="117">
        <v>4862</v>
      </c>
      <c r="G291" s="117">
        <v>0</v>
      </c>
      <c r="H291" s="117">
        <v>7023</v>
      </c>
      <c r="I291" s="117">
        <v>20344</v>
      </c>
      <c r="J291" s="117">
        <v>27367</v>
      </c>
      <c r="K291" s="117">
        <v>978</v>
      </c>
      <c r="L291" s="141"/>
      <c r="M291" s="89">
        <v>45169</v>
      </c>
      <c r="N291" s="113">
        <f>Treasury!B291-'Check Treasury Past'!B291</f>
        <v>0</v>
      </c>
      <c r="O291" s="113">
        <f>Treasury!C291-'Check Treasury Past'!C291</f>
        <v>0</v>
      </c>
      <c r="P291" s="113">
        <f>Treasury!D291-'Check Treasury Past'!D291</f>
        <v>0</v>
      </c>
      <c r="Q291" s="113">
        <f>Treasury!E291-'Check Treasury Past'!E291</f>
        <v>0</v>
      </c>
      <c r="R291" s="113">
        <f>Treasury!F291-'Check Treasury Past'!F291</f>
        <v>0</v>
      </c>
      <c r="S291" s="113">
        <f>Treasury!G291-'Check Treasury Past'!G291</f>
        <v>0</v>
      </c>
      <c r="T291" s="113">
        <f>Treasury!H291-'Check Treasury Past'!H291</f>
        <v>0</v>
      </c>
      <c r="U291" s="113">
        <f>Treasury!I291-'Check Treasury Past'!I291</f>
        <v>0</v>
      </c>
      <c r="V291" s="113">
        <f>Treasury!J291-'Check Treasury Past'!J291</f>
        <v>0</v>
      </c>
      <c r="W291" s="113">
        <f>Treasury!K291-'Check Treasury Past'!K291</f>
        <v>0</v>
      </c>
    </row>
    <row r="292" spans="1:23" s="14" customFormat="1" x14ac:dyDescent="0.2">
      <c r="A292" s="110">
        <v>45199</v>
      </c>
      <c r="B292" s="117">
        <v>896</v>
      </c>
      <c r="C292" s="117">
        <v>417</v>
      </c>
      <c r="D292" s="117">
        <v>1313</v>
      </c>
      <c r="E292" s="117">
        <v>799</v>
      </c>
      <c r="F292" s="117">
        <v>4843</v>
      </c>
      <c r="G292" s="117">
        <v>0</v>
      </c>
      <c r="H292" s="117">
        <v>6955</v>
      </c>
      <c r="I292" s="117">
        <v>21664</v>
      </c>
      <c r="J292" s="117">
        <v>28619</v>
      </c>
      <c r="K292" s="117">
        <v>1032</v>
      </c>
      <c r="L292" s="141"/>
      <c r="M292" s="89">
        <v>45199</v>
      </c>
      <c r="N292" s="113">
        <f>Treasury!B292-'Check Treasury Past'!B292</f>
        <v>0</v>
      </c>
      <c r="O292" s="113">
        <f>Treasury!C292-'Check Treasury Past'!C292</f>
        <v>0</v>
      </c>
      <c r="P292" s="113">
        <f>Treasury!D292-'Check Treasury Past'!D292</f>
        <v>0</v>
      </c>
      <c r="Q292" s="113">
        <f>Treasury!E292-'Check Treasury Past'!E292</f>
        <v>0</v>
      </c>
      <c r="R292" s="113">
        <f>Treasury!F292-'Check Treasury Past'!F292</f>
        <v>0</v>
      </c>
      <c r="S292" s="113">
        <f>Treasury!G292-'Check Treasury Past'!G292</f>
        <v>0</v>
      </c>
      <c r="T292" s="113">
        <f>Treasury!H292-'Check Treasury Past'!H292</f>
        <v>0</v>
      </c>
      <c r="U292" s="113">
        <f>Treasury!I292-'Check Treasury Past'!I292</f>
        <v>0</v>
      </c>
      <c r="V292" s="113">
        <f>Treasury!J292-'Check Treasury Past'!J292</f>
        <v>0</v>
      </c>
      <c r="W292" s="113">
        <f>Treasury!K292-'Check Treasury Past'!K292</f>
        <v>0</v>
      </c>
    </row>
    <row r="293" spans="1:23" s="14" customFormat="1" x14ac:dyDescent="0.2">
      <c r="A293" s="110">
        <v>45230</v>
      </c>
      <c r="B293" s="117">
        <v>1420</v>
      </c>
      <c r="C293" s="117">
        <v>325</v>
      </c>
      <c r="D293" s="117">
        <v>1745</v>
      </c>
      <c r="E293" s="117">
        <v>824</v>
      </c>
      <c r="F293" s="117">
        <v>4911</v>
      </c>
      <c r="G293" s="117">
        <v>0</v>
      </c>
      <c r="H293" s="117">
        <v>7480</v>
      </c>
      <c r="I293" s="117">
        <v>19799</v>
      </c>
      <c r="J293" s="117">
        <v>27279</v>
      </c>
      <c r="K293" s="117">
        <v>1053</v>
      </c>
      <c r="L293" s="141"/>
      <c r="M293" s="89">
        <v>45230</v>
      </c>
      <c r="N293" s="113">
        <f>Treasury!B293-'Check Treasury Past'!B293</f>
        <v>0</v>
      </c>
      <c r="O293" s="113">
        <f>Treasury!C293-'Check Treasury Past'!C293</f>
        <v>0</v>
      </c>
      <c r="P293" s="113">
        <f>Treasury!D293-'Check Treasury Past'!D293</f>
        <v>0</v>
      </c>
      <c r="Q293" s="113">
        <f>Treasury!E293-'Check Treasury Past'!E293</f>
        <v>0</v>
      </c>
      <c r="R293" s="113">
        <f>Treasury!F293-'Check Treasury Past'!F293</f>
        <v>0</v>
      </c>
      <c r="S293" s="113">
        <f>Treasury!G293-'Check Treasury Past'!G293</f>
        <v>0</v>
      </c>
      <c r="T293" s="113">
        <f>Treasury!H293-'Check Treasury Past'!H293</f>
        <v>0</v>
      </c>
      <c r="U293" s="113">
        <f>Treasury!I293-'Check Treasury Past'!I293</f>
        <v>0</v>
      </c>
      <c r="V293" s="113">
        <f>Treasury!J293-'Check Treasury Past'!J293</f>
        <v>0</v>
      </c>
      <c r="W293" s="113">
        <f>Treasury!K293-'Check Treasury Past'!K293</f>
        <v>0</v>
      </c>
    </row>
    <row r="294" spans="1:23" s="14" customFormat="1" x14ac:dyDescent="0.2">
      <c r="A294" s="110">
        <v>45260</v>
      </c>
      <c r="B294" s="117">
        <v>1442</v>
      </c>
      <c r="C294" s="117">
        <v>318</v>
      </c>
      <c r="D294" s="117">
        <v>1760</v>
      </c>
      <c r="E294" s="117">
        <v>764</v>
      </c>
      <c r="F294" s="117">
        <v>4697</v>
      </c>
      <c r="G294" s="117">
        <v>0</v>
      </c>
      <c r="H294" s="117">
        <v>7221</v>
      </c>
      <c r="I294" s="117">
        <v>24150</v>
      </c>
      <c r="J294" s="117">
        <v>31371</v>
      </c>
      <c r="K294" s="117">
        <v>1185</v>
      </c>
      <c r="L294" s="141"/>
      <c r="M294" s="89">
        <v>45260</v>
      </c>
      <c r="N294" s="113">
        <f>Treasury!B294-'Check Treasury Past'!B294</f>
        <v>0</v>
      </c>
      <c r="O294" s="113">
        <f>Treasury!C294-'Check Treasury Past'!C294</f>
        <v>0</v>
      </c>
      <c r="P294" s="113">
        <f>Treasury!D294-'Check Treasury Past'!D294</f>
        <v>0</v>
      </c>
      <c r="Q294" s="113">
        <f>Treasury!E294-'Check Treasury Past'!E294</f>
        <v>0</v>
      </c>
      <c r="R294" s="113">
        <f>Treasury!F294-'Check Treasury Past'!F294</f>
        <v>0</v>
      </c>
      <c r="S294" s="113">
        <f>Treasury!G294-'Check Treasury Past'!G294</f>
        <v>0</v>
      </c>
      <c r="T294" s="113">
        <f>Treasury!H294-'Check Treasury Past'!H294</f>
        <v>0</v>
      </c>
      <c r="U294" s="113">
        <f>Treasury!I294-'Check Treasury Past'!I294</f>
        <v>0</v>
      </c>
      <c r="V294" s="113">
        <f>Treasury!J294-'Check Treasury Past'!J294</f>
        <v>0</v>
      </c>
      <c r="W294" s="113">
        <f>Treasury!K294-'Check Treasury Past'!K294</f>
        <v>0</v>
      </c>
    </row>
    <row r="295" spans="1:23" s="14" customFormat="1" x14ac:dyDescent="0.2">
      <c r="A295" s="110">
        <v>45291</v>
      </c>
      <c r="B295" s="117">
        <v>1440</v>
      </c>
      <c r="C295" s="117">
        <v>300</v>
      </c>
      <c r="D295" s="117">
        <v>1740</v>
      </c>
      <c r="E295" s="117">
        <v>749</v>
      </c>
      <c r="F295" s="117">
        <v>4624</v>
      </c>
      <c r="G295" s="117">
        <v>0</v>
      </c>
      <c r="H295" s="117">
        <v>7113</v>
      </c>
      <c r="I295" s="117">
        <v>17365</v>
      </c>
      <c r="J295" s="117">
        <v>24478</v>
      </c>
      <c r="K295" s="117">
        <v>1251</v>
      </c>
      <c r="L295" s="141"/>
      <c r="M295" s="89">
        <v>45291</v>
      </c>
      <c r="N295" s="113">
        <f>Treasury!B295-'Check Treasury Past'!B295</f>
        <v>0</v>
      </c>
      <c r="O295" s="113">
        <f>Treasury!C295-'Check Treasury Past'!C295</f>
        <v>0</v>
      </c>
      <c r="P295" s="113">
        <f>Treasury!D295-'Check Treasury Past'!D295</f>
        <v>0</v>
      </c>
      <c r="Q295" s="113">
        <f>Treasury!E295-'Check Treasury Past'!E295</f>
        <v>0</v>
      </c>
      <c r="R295" s="113">
        <f>Treasury!F295-'Check Treasury Past'!F295</f>
        <v>0</v>
      </c>
      <c r="S295" s="113">
        <f>Treasury!G295-'Check Treasury Past'!G295</f>
        <v>0</v>
      </c>
      <c r="T295" s="113">
        <f>Treasury!H295-'Check Treasury Past'!H295</f>
        <v>0</v>
      </c>
      <c r="U295" s="113">
        <f>Treasury!I295-'Check Treasury Past'!I295</f>
        <v>0</v>
      </c>
      <c r="V295" s="113">
        <f>Treasury!J295-'Check Treasury Past'!J295</f>
        <v>0</v>
      </c>
      <c r="W295" s="113">
        <f>Treasury!K295-'Check Treasury Past'!K295</f>
        <v>0</v>
      </c>
    </row>
    <row r="296" spans="1:23" s="14" customFormat="1" x14ac:dyDescent="0.2">
      <c r="A296" s="110">
        <v>45322</v>
      </c>
      <c r="B296" s="117">
        <v>1348</v>
      </c>
      <c r="C296" s="117">
        <v>209</v>
      </c>
      <c r="D296" s="117">
        <v>1557</v>
      </c>
      <c r="E296" s="117">
        <v>763</v>
      </c>
      <c r="F296" s="117">
        <v>4750</v>
      </c>
      <c r="G296" s="117">
        <v>0</v>
      </c>
      <c r="H296" s="117">
        <v>7070</v>
      </c>
      <c r="I296" s="117">
        <v>22726</v>
      </c>
      <c r="J296" s="117">
        <v>29796</v>
      </c>
      <c r="K296" s="117">
        <v>1048</v>
      </c>
      <c r="L296" s="141"/>
      <c r="M296" s="89">
        <v>45322</v>
      </c>
      <c r="N296" s="113">
        <f>Treasury!B296-'Check Treasury Past'!B296</f>
        <v>0</v>
      </c>
      <c r="O296" s="113">
        <f>Treasury!C296-'Check Treasury Past'!C296</f>
        <v>0</v>
      </c>
      <c r="P296" s="113">
        <f>Treasury!D296-'Check Treasury Past'!D296</f>
        <v>0</v>
      </c>
      <c r="Q296" s="113">
        <f>Treasury!E296-'Check Treasury Past'!E296</f>
        <v>0</v>
      </c>
      <c r="R296" s="113">
        <f>Treasury!F296-'Check Treasury Past'!F296</f>
        <v>0</v>
      </c>
      <c r="S296" s="113">
        <f>Treasury!G296-'Check Treasury Past'!G296</f>
        <v>0</v>
      </c>
      <c r="T296" s="113">
        <f>Treasury!H296-'Check Treasury Past'!H296</f>
        <v>0</v>
      </c>
      <c r="U296" s="113">
        <f>Treasury!I296-'Check Treasury Past'!I296</f>
        <v>0</v>
      </c>
      <c r="V296" s="113">
        <f>Treasury!J296-'Check Treasury Past'!J296</f>
        <v>0</v>
      </c>
      <c r="W296" s="113">
        <f>Treasury!K296-'Check Treasury Past'!K296</f>
        <v>0</v>
      </c>
    </row>
    <row r="297" spans="1:23" s="14" customFormat="1" x14ac:dyDescent="0.2">
      <c r="A297" s="110">
        <v>45351</v>
      </c>
      <c r="B297" s="117">
        <v>1096</v>
      </c>
      <c r="C297" s="117">
        <v>812</v>
      </c>
      <c r="D297" s="117">
        <v>1908</v>
      </c>
      <c r="E297" s="117">
        <v>759</v>
      </c>
      <c r="F297" s="117">
        <v>4731</v>
      </c>
      <c r="G297" s="117">
        <v>0</v>
      </c>
      <c r="H297" s="117">
        <v>7398</v>
      </c>
      <c r="I297" s="117">
        <v>24314</v>
      </c>
      <c r="J297" s="117">
        <v>31712</v>
      </c>
      <c r="K297" s="117">
        <v>1039</v>
      </c>
      <c r="L297" s="141"/>
      <c r="M297" s="89">
        <v>45351</v>
      </c>
      <c r="N297" s="113">
        <f>Treasury!B297-'Check Treasury Past'!B297</f>
        <v>0</v>
      </c>
      <c r="O297" s="113">
        <f>Treasury!C297-'Check Treasury Past'!C297</f>
        <v>0</v>
      </c>
      <c r="P297" s="113">
        <f>Treasury!D297-'Check Treasury Past'!D297</f>
        <v>0</v>
      </c>
      <c r="Q297" s="113">
        <f>Treasury!E297-'Check Treasury Past'!E297</f>
        <v>0</v>
      </c>
      <c r="R297" s="113">
        <f>Treasury!F297-'Check Treasury Past'!F297</f>
        <v>0</v>
      </c>
      <c r="S297" s="113">
        <f>Treasury!G297-'Check Treasury Past'!G297</f>
        <v>0</v>
      </c>
      <c r="T297" s="113">
        <f>Treasury!H297-'Check Treasury Past'!H297</f>
        <v>0</v>
      </c>
      <c r="U297" s="113">
        <f>Treasury!I297-'Check Treasury Past'!I297</f>
        <v>0</v>
      </c>
      <c r="V297" s="113">
        <f>Treasury!J297-'Check Treasury Past'!J297</f>
        <v>0</v>
      </c>
      <c r="W297" s="113">
        <f>Treasury!K297-'Check Treasury Past'!K297</f>
        <v>0</v>
      </c>
    </row>
    <row r="298" spans="1:23" s="14" customFormat="1" x14ac:dyDescent="0.2">
      <c r="A298" s="110">
        <v>45382</v>
      </c>
      <c r="B298" s="117">
        <v>1048</v>
      </c>
      <c r="C298" s="117">
        <v>235</v>
      </c>
      <c r="D298" s="117">
        <v>1283</v>
      </c>
      <c r="E298" s="117">
        <v>764</v>
      </c>
      <c r="F298" s="117">
        <v>4836</v>
      </c>
      <c r="G298" s="117">
        <v>0</v>
      </c>
      <c r="H298" s="117">
        <v>6883</v>
      </c>
      <c r="I298" s="117">
        <v>20235</v>
      </c>
      <c r="J298" s="117">
        <v>27118</v>
      </c>
      <c r="K298" s="117">
        <v>858</v>
      </c>
      <c r="L298" s="141"/>
      <c r="M298" s="89">
        <v>45382</v>
      </c>
      <c r="N298" s="113">
        <f>Treasury!B298-'Check Treasury Past'!B298</f>
        <v>0</v>
      </c>
      <c r="O298" s="113">
        <f>Treasury!C298-'Check Treasury Past'!C298</f>
        <v>0</v>
      </c>
      <c r="P298" s="113">
        <f>Treasury!D298-'Check Treasury Past'!D298</f>
        <v>0</v>
      </c>
      <c r="Q298" s="113">
        <f>Treasury!E298-'Check Treasury Past'!E298</f>
        <v>0</v>
      </c>
      <c r="R298" s="113">
        <f>Treasury!F298-'Check Treasury Past'!F298</f>
        <v>0</v>
      </c>
      <c r="S298" s="113">
        <f>Treasury!G298-'Check Treasury Past'!G298</f>
        <v>0</v>
      </c>
      <c r="T298" s="113">
        <f>Treasury!H298-'Check Treasury Past'!H298</f>
        <v>0</v>
      </c>
      <c r="U298" s="113">
        <f>Treasury!I298-'Check Treasury Past'!I298</f>
        <v>0</v>
      </c>
      <c r="V298" s="113">
        <f>Treasury!J298-'Check Treasury Past'!J298</f>
        <v>0</v>
      </c>
      <c r="W298" s="113">
        <f>Treasury!K298-'Check Treasury Past'!K298</f>
        <v>0</v>
      </c>
    </row>
    <row r="299" spans="1:23" s="14" customFormat="1" x14ac:dyDescent="0.2">
      <c r="A299" s="110">
        <v>45412</v>
      </c>
      <c r="B299" s="117">
        <v>653</v>
      </c>
      <c r="C299" s="117">
        <v>223</v>
      </c>
      <c r="D299" s="117">
        <v>876</v>
      </c>
      <c r="E299" s="117">
        <v>752</v>
      </c>
      <c r="F299" s="117">
        <v>4832</v>
      </c>
      <c r="G299" s="117">
        <v>0</v>
      </c>
      <c r="H299" s="117">
        <v>6460</v>
      </c>
      <c r="I299" s="117">
        <v>25478</v>
      </c>
      <c r="J299" s="117">
        <v>31938</v>
      </c>
      <c r="K299" s="117">
        <v>827</v>
      </c>
      <c r="L299" s="141"/>
      <c r="M299" s="89">
        <v>45412</v>
      </c>
      <c r="N299" s="113">
        <f>Treasury!B299-'Check Treasury Past'!B299</f>
        <v>0</v>
      </c>
      <c r="O299" s="113">
        <f>Treasury!C299-'Check Treasury Past'!C299</f>
        <v>0</v>
      </c>
      <c r="P299" s="113">
        <f>Treasury!D299-'Check Treasury Past'!D299</f>
        <v>0</v>
      </c>
      <c r="Q299" s="113">
        <f>Treasury!E299-'Check Treasury Past'!E299</f>
        <v>0</v>
      </c>
      <c r="R299" s="113">
        <f>Treasury!F299-'Check Treasury Past'!F299</f>
        <v>0</v>
      </c>
      <c r="S299" s="113">
        <f>Treasury!G299-'Check Treasury Past'!G299</f>
        <v>0</v>
      </c>
      <c r="T299" s="113">
        <f>Treasury!H299-'Check Treasury Past'!H299</f>
        <v>0</v>
      </c>
      <c r="U299" s="113">
        <f>Treasury!I299-'Check Treasury Past'!I299</f>
        <v>0</v>
      </c>
      <c r="V299" s="113">
        <f>Treasury!J299-'Check Treasury Past'!J299</f>
        <v>0</v>
      </c>
      <c r="W299" s="113">
        <f>Treasury!K299-'Check Treasury Past'!K299</f>
        <v>0</v>
      </c>
    </row>
    <row r="300" spans="1:23" s="14" customFormat="1" x14ac:dyDescent="0.2">
      <c r="A300" s="110">
        <v>45443</v>
      </c>
      <c r="B300" s="117">
        <v>539</v>
      </c>
      <c r="C300" s="117">
        <v>233</v>
      </c>
      <c r="D300" s="117">
        <v>772</v>
      </c>
      <c r="E300" s="117">
        <v>710</v>
      </c>
      <c r="F300" s="117">
        <v>4758</v>
      </c>
      <c r="G300" s="117">
        <v>0</v>
      </c>
      <c r="H300" s="117">
        <v>6240</v>
      </c>
      <c r="I300" s="117">
        <v>23175</v>
      </c>
      <c r="J300" s="117">
        <v>29415</v>
      </c>
      <c r="K300" s="117">
        <v>1152</v>
      </c>
      <c r="L300" s="141"/>
      <c r="M300" s="89">
        <v>45443</v>
      </c>
      <c r="N300" s="113">
        <f>Treasury!B300-'Check Treasury Past'!B300</f>
        <v>0</v>
      </c>
      <c r="O300" s="113">
        <f>Treasury!C300-'Check Treasury Past'!C300</f>
        <v>0</v>
      </c>
      <c r="P300" s="113">
        <f>Treasury!D300-'Check Treasury Past'!D300</f>
        <v>0</v>
      </c>
      <c r="Q300" s="113">
        <f>Treasury!E300-'Check Treasury Past'!E300</f>
        <v>0</v>
      </c>
      <c r="R300" s="113">
        <f>Treasury!F300-'Check Treasury Past'!F300</f>
        <v>0</v>
      </c>
      <c r="S300" s="113">
        <f>Treasury!G300-'Check Treasury Past'!G300</f>
        <v>0</v>
      </c>
      <c r="T300" s="113">
        <f>Treasury!H300-'Check Treasury Past'!H300</f>
        <v>0</v>
      </c>
      <c r="U300" s="113">
        <f>Treasury!I300-'Check Treasury Past'!I300</f>
        <v>0</v>
      </c>
      <c r="V300" s="113">
        <f>Treasury!J300-'Check Treasury Past'!J300</f>
        <v>0</v>
      </c>
      <c r="W300" s="113">
        <f>Treasury!K300-'Check Treasury Past'!K300</f>
        <v>0</v>
      </c>
    </row>
    <row r="301" spans="1:23" s="14" customFormat="1" x14ac:dyDescent="0.2">
      <c r="A301" s="110">
        <v>45473</v>
      </c>
      <c r="B301" s="117">
        <v>408</v>
      </c>
      <c r="C301" s="117">
        <v>202</v>
      </c>
      <c r="D301" s="117">
        <v>610</v>
      </c>
      <c r="E301" s="117">
        <v>727</v>
      </c>
      <c r="F301" s="117">
        <v>4786</v>
      </c>
      <c r="G301" s="117">
        <v>0</v>
      </c>
      <c r="H301" s="117">
        <v>6123</v>
      </c>
      <c r="I301" s="117">
        <v>23214</v>
      </c>
      <c r="J301" s="117">
        <v>29337</v>
      </c>
      <c r="K301" s="117">
        <v>1013</v>
      </c>
      <c r="L301" s="141"/>
      <c r="M301" s="89">
        <v>45473</v>
      </c>
      <c r="N301" s="113">
        <f>Treasury!B301-'Check Treasury Past'!B301</f>
        <v>0</v>
      </c>
      <c r="O301" s="113">
        <f>Treasury!C301-'Check Treasury Past'!C301</f>
        <v>0</v>
      </c>
      <c r="P301" s="113">
        <f>Treasury!D301-'Check Treasury Past'!D301</f>
        <v>0</v>
      </c>
      <c r="Q301" s="113">
        <f>Treasury!E301-'Check Treasury Past'!E301</f>
        <v>0</v>
      </c>
      <c r="R301" s="113">
        <f>Treasury!F301-'Check Treasury Past'!F301</f>
        <v>0</v>
      </c>
      <c r="S301" s="113">
        <f>Treasury!G301-'Check Treasury Past'!G301</f>
        <v>0</v>
      </c>
      <c r="T301" s="113">
        <f>Treasury!H301-'Check Treasury Past'!H301</f>
        <v>0</v>
      </c>
      <c r="U301" s="113">
        <f>Treasury!I301-'Check Treasury Past'!I301</f>
        <v>0</v>
      </c>
      <c r="V301" s="113">
        <f>Treasury!J301-'Check Treasury Past'!J301</f>
        <v>0</v>
      </c>
      <c r="W301" s="113">
        <f>Treasury!K301-'Check Treasury Past'!K301</f>
        <v>0</v>
      </c>
    </row>
    <row r="302" spans="1:23" s="14" customFormat="1" x14ac:dyDescent="0.2">
      <c r="A302" s="110">
        <v>45504</v>
      </c>
      <c r="B302" s="117">
        <v>657</v>
      </c>
      <c r="C302" s="117">
        <v>936</v>
      </c>
      <c r="D302" s="117">
        <v>1593</v>
      </c>
      <c r="E302" s="117">
        <v>754</v>
      </c>
      <c r="F302" s="117">
        <v>4960</v>
      </c>
      <c r="G302" s="117">
        <v>0</v>
      </c>
      <c r="H302" s="117">
        <v>7307</v>
      </c>
      <c r="I302" s="117">
        <v>28342</v>
      </c>
      <c r="J302" s="117">
        <v>35649</v>
      </c>
      <c r="K302" s="117">
        <v>855</v>
      </c>
      <c r="L302" s="141"/>
      <c r="M302" s="89">
        <v>45504</v>
      </c>
      <c r="N302" s="113">
        <f>Treasury!B302-'Check Treasury Past'!B302</f>
        <v>0</v>
      </c>
      <c r="O302" s="113">
        <f>Treasury!C302-'Check Treasury Past'!C302</f>
        <v>0</v>
      </c>
      <c r="P302" s="113">
        <f>Treasury!D302-'Check Treasury Past'!D302</f>
        <v>0</v>
      </c>
      <c r="Q302" s="113">
        <f>Treasury!E302-'Check Treasury Past'!E302</f>
        <v>0</v>
      </c>
      <c r="R302" s="113">
        <f>Treasury!F302-'Check Treasury Past'!F302</f>
        <v>0</v>
      </c>
      <c r="S302" s="113">
        <f>Treasury!G302-'Check Treasury Past'!G302</f>
        <v>0</v>
      </c>
      <c r="T302" s="113">
        <f>Treasury!H302-'Check Treasury Past'!H302</f>
        <v>0</v>
      </c>
      <c r="U302" s="113">
        <f>Treasury!I302-'Check Treasury Past'!I302</f>
        <v>0</v>
      </c>
      <c r="V302" s="113">
        <f>Treasury!J302-'Check Treasury Past'!J302</f>
        <v>0</v>
      </c>
      <c r="W302" s="113">
        <f>Treasury!K302-'Check Treasury Past'!K302</f>
        <v>0</v>
      </c>
    </row>
    <row r="303" spans="1:23" s="14" customFormat="1" x14ac:dyDescent="0.2">
      <c r="A303" s="110">
        <v>45535</v>
      </c>
      <c r="B303" s="117">
        <v>1691</v>
      </c>
      <c r="C303" s="117">
        <v>342</v>
      </c>
      <c r="D303" s="117">
        <v>2033</v>
      </c>
      <c r="E303" s="117">
        <v>717</v>
      </c>
      <c r="F303" s="117">
        <v>4647</v>
      </c>
      <c r="G303" s="117">
        <v>0</v>
      </c>
      <c r="H303" s="117">
        <v>7397</v>
      </c>
      <c r="I303" s="117">
        <v>25176</v>
      </c>
      <c r="J303" s="117">
        <v>32573</v>
      </c>
      <c r="K303" s="117">
        <v>1025</v>
      </c>
      <c r="L303" s="141"/>
      <c r="M303" s="89">
        <v>45535</v>
      </c>
      <c r="N303" s="113">
        <f>Treasury!B303-'Check Treasury Past'!B303</f>
        <v>0</v>
      </c>
      <c r="O303" s="113">
        <f>Treasury!C303-'Check Treasury Past'!C303</f>
        <v>0</v>
      </c>
      <c r="P303" s="113">
        <f>Treasury!D303-'Check Treasury Past'!D303</f>
        <v>0</v>
      </c>
      <c r="Q303" s="113">
        <f>Treasury!E303-'Check Treasury Past'!E303</f>
        <v>0</v>
      </c>
      <c r="R303" s="113">
        <f>Treasury!F303-'Check Treasury Past'!F303</f>
        <v>0</v>
      </c>
      <c r="S303" s="113">
        <f>Treasury!G303-'Check Treasury Past'!G303</f>
        <v>0</v>
      </c>
      <c r="T303" s="113">
        <f>Treasury!H303-'Check Treasury Past'!H303</f>
        <v>0</v>
      </c>
      <c r="U303" s="113">
        <f>Treasury!I303-'Check Treasury Past'!I303</f>
        <v>0</v>
      </c>
      <c r="V303" s="113">
        <f>Treasury!J303-'Check Treasury Past'!J303</f>
        <v>0</v>
      </c>
      <c r="W303" s="113">
        <f>Treasury!K303-'Check Treasury Past'!K303</f>
        <v>0</v>
      </c>
    </row>
    <row r="304" spans="1:23" s="14" customFormat="1" x14ac:dyDescent="0.2">
      <c r="A304" s="110">
        <v>45565</v>
      </c>
      <c r="B304" s="117">
        <v>2235</v>
      </c>
      <c r="C304" s="117">
        <v>277</v>
      </c>
      <c r="D304" s="117">
        <v>2512</v>
      </c>
      <c r="E304" s="117">
        <v>709</v>
      </c>
      <c r="F304" s="117">
        <v>4615</v>
      </c>
      <c r="G304" s="117">
        <v>0</v>
      </c>
      <c r="H304" s="117">
        <v>7836</v>
      </c>
      <c r="I304" s="117">
        <v>24702</v>
      </c>
      <c r="J304" s="117">
        <v>32538</v>
      </c>
      <c r="K304" s="117">
        <v>997</v>
      </c>
      <c r="L304" s="141"/>
      <c r="M304" s="89">
        <v>45565</v>
      </c>
      <c r="N304" s="113">
        <f>Treasury!B304-'Check Treasury Past'!B304</f>
        <v>0</v>
      </c>
      <c r="O304" s="113">
        <f>Treasury!C304-'Check Treasury Past'!C304</f>
        <v>0</v>
      </c>
      <c r="P304" s="113">
        <f>Treasury!D304-'Check Treasury Past'!D304</f>
        <v>0</v>
      </c>
      <c r="Q304" s="113">
        <f>Treasury!E304-'Check Treasury Past'!E304</f>
        <v>0</v>
      </c>
      <c r="R304" s="113">
        <f>Treasury!F304-'Check Treasury Past'!F304</f>
        <v>0</v>
      </c>
      <c r="S304" s="113">
        <f>Treasury!G304-'Check Treasury Past'!G304</f>
        <v>0</v>
      </c>
      <c r="T304" s="113">
        <f>Treasury!H304-'Check Treasury Past'!H304</f>
        <v>0</v>
      </c>
      <c r="U304" s="113">
        <f>Treasury!I304-'Check Treasury Past'!I304</f>
        <v>0</v>
      </c>
      <c r="V304" s="113">
        <f>Treasury!J304-'Check Treasury Past'!J304</f>
        <v>0</v>
      </c>
      <c r="W304" s="113">
        <f>Treasury!K304-'Check Treasury Past'!K304</f>
        <v>0</v>
      </c>
    </row>
    <row r="305" spans="1:23" s="12" customFormat="1" x14ac:dyDescent="0.2">
      <c r="A305" s="110">
        <v>45596</v>
      </c>
      <c r="B305" s="117">
        <v>2490</v>
      </c>
      <c r="C305" s="117">
        <v>270</v>
      </c>
      <c r="D305" s="117">
        <v>2760</v>
      </c>
      <c r="E305" s="117">
        <v>743</v>
      </c>
      <c r="F305" s="117">
        <v>4838</v>
      </c>
      <c r="G305" s="117">
        <v>0</v>
      </c>
      <c r="H305" s="117">
        <v>8341</v>
      </c>
      <c r="I305" s="117">
        <v>31224</v>
      </c>
      <c r="J305" s="117">
        <v>39565</v>
      </c>
      <c r="K305" s="117">
        <v>344</v>
      </c>
      <c r="L305" s="142"/>
      <c r="M305" s="89">
        <v>45596</v>
      </c>
      <c r="N305" s="113">
        <f>Treasury!B305-'Check Treasury Past'!B305</f>
        <v>0</v>
      </c>
      <c r="O305" s="113">
        <f>Treasury!C305-'Check Treasury Past'!C305</f>
        <v>0</v>
      </c>
      <c r="P305" s="113">
        <f>Treasury!D305-'Check Treasury Past'!D305</f>
        <v>0</v>
      </c>
      <c r="Q305" s="113">
        <f>Treasury!E305-'Check Treasury Past'!E305</f>
        <v>0</v>
      </c>
      <c r="R305" s="113">
        <f>Treasury!F305-'Check Treasury Past'!F305</f>
        <v>0</v>
      </c>
      <c r="S305" s="113">
        <f>Treasury!G305-'Check Treasury Past'!G305</f>
        <v>0</v>
      </c>
      <c r="T305" s="113">
        <f>Treasury!H305-'Check Treasury Past'!H305</f>
        <v>0</v>
      </c>
      <c r="U305" s="113">
        <f>Treasury!I305-'Check Treasury Past'!I305</f>
        <v>0</v>
      </c>
      <c r="V305" s="113">
        <f>Treasury!J305-'Check Treasury Past'!J305</f>
        <v>0</v>
      </c>
      <c r="W305" s="113">
        <f>Treasury!K305-'Check Treasury Past'!K305</f>
        <v>0</v>
      </c>
    </row>
    <row r="306" spans="1:23" s="14" customFormat="1" x14ac:dyDescent="0.2">
      <c r="A306" s="110">
        <v>45626</v>
      </c>
      <c r="B306" s="117">
        <v>2455</v>
      </c>
      <c r="C306" s="117">
        <v>358</v>
      </c>
      <c r="D306" s="117">
        <v>2813</v>
      </c>
      <c r="E306" s="117">
        <v>719</v>
      </c>
      <c r="F306" s="117">
        <v>4841</v>
      </c>
      <c r="G306" s="117">
        <v>0</v>
      </c>
      <c r="H306" s="117">
        <v>8373</v>
      </c>
      <c r="I306" s="117">
        <v>29686</v>
      </c>
      <c r="J306" s="117">
        <v>38059</v>
      </c>
      <c r="K306" s="117">
        <v>399</v>
      </c>
      <c r="L306" s="141"/>
      <c r="M306" s="89">
        <v>45626</v>
      </c>
      <c r="N306" s="113">
        <f>Treasury!B306-'Check Treasury Past'!B306</f>
        <v>0</v>
      </c>
      <c r="O306" s="113">
        <f>Treasury!C306-'Check Treasury Past'!C306</f>
        <v>0</v>
      </c>
      <c r="P306" s="113">
        <f>Treasury!D306-'Check Treasury Past'!D306</f>
        <v>0</v>
      </c>
      <c r="Q306" s="113">
        <f>Treasury!E306-'Check Treasury Past'!E306</f>
        <v>0</v>
      </c>
      <c r="R306" s="113">
        <f>Treasury!F306-'Check Treasury Past'!F306</f>
        <v>0</v>
      </c>
      <c r="S306" s="113">
        <f>Treasury!G306-'Check Treasury Past'!G306</f>
        <v>0</v>
      </c>
      <c r="T306" s="113">
        <f>Treasury!H306-'Check Treasury Past'!H306</f>
        <v>0</v>
      </c>
      <c r="U306" s="113">
        <f>Treasury!I306-'Check Treasury Past'!I306</f>
        <v>0</v>
      </c>
      <c r="V306" s="113">
        <f>Treasury!J306-'Check Treasury Past'!J306</f>
        <v>0</v>
      </c>
      <c r="W306" s="113">
        <f>Treasury!K306-'Check Treasury Past'!K306</f>
        <v>0</v>
      </c>
    </row>
    <row r="307" spans="1:23" s="14" customFormat="1" x14ac:dyDescent="0.2">
      <c r="A307" s="110">
        <v>45657</v>
      </c>
      <c r="B307" s="117">
        <v>2495</v>
      </c>
      <c r="C307" s="117">
        <v>382</v>
      </c>
      <c r="D307" s="117">
        <v>2877</v>
      </c>
      <c r="E307" s="117">
        <v>723</v>
      </c>
      <c r="F307" s="117">
        <v>5035</v>
      </c>
      <c r="G307" s="117">
        <v>0</v>
      </c>
      <c r="H307" s="117">
        <v>8635</v>
      </c>
      <c r="I307" s="117">
        <v>30521</v>
      </c>
      <c r="J307" s="117">
        <v>39156</v>
      </c>
      <c r="K307" s="117">
        <v>-51</v>
      </c>
      <c r="L307" s="141"/>
      <c r="M307" s="89">
        <v>45657</v>
      </c>
      <c r="N307" s="113">
        <f>Treasury!B307-'Check Treasury Past'!B307</f>
        <v>0</v>
      </c>
      <c r="O307" s="113">
        <f>Treasury!C307-'Check Treasury Past'!C307</f>
        <v>0</v>
      </c>
      <c r="P307" s="113">
        <f>Treasury!D307-'Check Treasury Past'!D307</f>
        <v>0</v>
      </c>
      <c r="Q307" s="113">
        <f>Treasury!E307-'Check Treasury Past'!E307</f>
        <v>0</v>
      </c>
      <c r="R307" s="113">
        <f>Treasury!F307-'Check Treasury Past'!F307</f>
        <v>0</v>
      </c>
      <c r="S307" s="113">
        <f>Treasury!G307-'Check Treasury Past'!G307</f>
        <v>0</v>
      </c>
      <c r="T307" s="113">
        <f>Treasury!H307-'Check Treasury Past'!H307</f>
        <v>0</v>
      </c>
      <c r="U307" s="113">
        <f>Treasury!I307-'Check Treasury Past'!I307</f>
        <v>0</v>
      </c>
      <c r="V307" s="113">
        <f>Treasury!J307-'Check Treasury Past'!J307</f>
        <v>0</v>
      </c>
      <c r="W307" s="113">
        <f>Treasury!K307-'Check Treasury Past'!K307</f>
        <v>0</v>
      </c>
    </row>
    <row r="308" spans="1:23" s="14" customFormat="1" x14ac:dyDescent="0.2">
      <c r="A308" s="110">
        <v>45688</v>
      </c>
      <c r="B308" s="117">
        <v>2384</v>
      </c>
      <c r="C308" s="117">
        <v>304</v>
      </c>
      <c r="D308" s="117">
        <v>2688</v>
      </c>
      <c r="E308" s="117">
        <v>724</v>
      </c>
      <c r="F308" s="117">
        <v>5047</v>
      </c>
      <c r="G308" s="117">
        <v>0</v>
      </c>
      <c r="H308" s="117">
        <v>8459</v>
      </c>
      <c r="I308" s="117">
        <v>38853</v>
      </c>
      <c r="J308" s="117">
        <v>47312</v>
      </c>
      <c r="K308" s="117">
        <v>32</v>
      </c>
      <c r="L308" s="141"/>
      <c r="M308" s="89">
        <v>45688</v>
      </c>
      <c r="N308" s="113">
        <f>Treasury!B308-'Check Treasury Past'!B308</f>
        <v>0</v>
      </c>
      <c r="O308" s="113">
        <f>Treasury!C308-'Check Treasury Past'!C308</f>
        <v>0</v>
      </c>
      <c r="P308" s="113">
        <f>Treasury!D308-'Check Treasury Past'!D308</f>
        <v>0</v>
      </c>
      <c r="Q308" s="113">
        <f>Treasury!E308-'Check Treasury Past'!E308</f>
        <v>0</v>
      </c>
      <c r="R308" s="113">
        <f>Treasury!F308-'Check Treasury Past'!F308</f>
        <v>0</v>
      </c>
      <c r="S308" s="113">
        <f>Treasury!G308-'Check Treasury Past'!G308</f>
        <v>0</v>
      </c>
      <c r="T308" s="113">
        <f>Treasury!H308-'Check Treasury Past'!H308</f>
        <v>0</v>
      </c>
      <c r="U308" s="113">
        <f>Treasury!I308-'Check Treasury Past'!I308</f>
        <v>0</v>
      </c>
      <c r="V308" s="113">
        <f>Treasury!J308-'Check Treasury Past'!J308</f>
        <v>0</v>
      </c>
      <c r="W308" s="113">
        <f>Treasury!K308-'Check Treasury Past'!K308</f>
        <v>0</v>
      </c>
    </row>
    <row r="309" spans="1:23" s="14" customFormat="1" x14ac:dyDescent="0.2">
      <c r="A309" s="110">
        <v>45716</v>
      </c>
      <c r="B309" s="117">
        <v>2664</v>
      </c>
      <c r="C309" s="117">
        <v>398</v>
      </c>
      <c r="D309" s="117">
        <v>3062</v>
      </c>
      <c r="E309" s="117">
        <v>728</v>
      </c>
      <c r="F309" s="117">
        <v>5040</v>
      </c>
      <c r="G309" s="117">
        <v>0</v>
      </c>
      <c r="H309" s="117">
        <v>8830</v>
      </c>
      <c r="I309" s="117">
        <v>41295</v>
      </c>
      <c r="J309" s="117">
        <v>50125</v>
      </c>
      <c r="K309" s="117">
        <v>118</v>
      </c>
      <c r="L309" s="141"/>
      <c r="M309" s="89">
        <v>45716</v>
      </c>
      <c r="N309" s="113">
        <f>Treasury!B309-'Check Treasury Past'!B309</f>
        <v>0</v>
      </c>
      <c r="O309" s="113">
        <f>Treasury!C309-'Check Treasury Past'!C309</f>
        <v>0</v>
      </c>
      <c r="P309" s="113">
        <f>Treasury!D309-'Check Treasury Past'!D309</f>
        <v>0</v>
      </c>
      <c r="Q309" s="113">
        <f>Treasury!E309-'Check Treasury Past'!E309</f>
        <v>0</v>
      </c>
      <c r="R309" s="113">
        <f>Treasury!F309-'Check Treasury Past'!F309</f>
        <v>0</v>
      </c>
      <c r="S309" s="113">
        <f>Treasury!G309-'Check Treasury Past'!G309</f>
        <v>0</v>
      </c>
      <c r="T309" s="113">
        <f>Treasury!H309-'Check Treasury Past'!H309</f>
        <v>0</v>
      </c>
      <c r="U309" s="113">
        <f>Treasury!I309-'Check Treasury Past'!I309</f>
        <v>0</v>
      </c>
      <c r="V309" s="113">
        <f>Treasury!J309-'Check Treasury Past'!J309</f>
        <v>0</v>
      </c>
      <c r="W309" s="113">
        <f>Treasury!K309-'Check Treasury Past'!K309</f>
        <v>0</v>
      </c>
    </row>
    <row r="310" spans="1:23" s="14" customFormat="1" x14ac:dyDescent="0.2">
      <c r="A310" s="110">
        <v>45747</v>
      </c>
      <c r="B310" s="117">
        <v>3342</v>
      </c>
      <c r="C310" s="117">
        <v>513</v>
      </c>
      <c r="D310" s="117">
        <v>3855</v>
      </c>
      <c r="E310" s="117">
        <v>728</v>
      </c>
      <c r="F310" s="117">
        <v>5042</v>
      </c>
      <c r="G310" s="117">
        <v>0</v>
      </c>
      <c r="H310" s="117">
        <v>9625</v>
      </c>
      <c r="I310" s="117">
        <v>35729</v>
      </c>
      <c r="J310" s="117">
        <v>45354</v>
      </c>
      <c r="K310" s="117">
        <v>62</v>
      </c>
      <c r="L310" s="141"/>
      <c r="M310" s="89">
        <v>45747</v>
      </c>
      <c r="N310" s="113">
        <f>Treasury!B310-'Check Treasury Past'!B310</f>
        <v>0</v>
      </c>
      <c r="O310" s="113">
        <f>Treasury!C310-'Check Treasury Past'!C310</f>
        <v>0</v>
      </c>
      <c r="P310" s="113">
        <f>Treasury!D310-'Check Treasury Past'!D310</f>
        <v>0</v>
      </c>
      <c r="Q310" s="113">
        <f>Treasury!E310-'Check Treasury Past'!E310</f>
        <v>0</v>
      </c>
      <c r="R310" s="113">
        <f>Treasury!F310-'Check Treasury Past'!F310</f>
        <v>0</v>
      </c>
      <c r="S310" s="113">
        <f>Treasury!G310-'Check Treasury Past'!G310</f>
        <v>0</v>
      </c>
      <c r="T310" s="113">
        <f>Treasury!H310-'Check Treasury Past'!H310</f>
        <v>0</v>
      </c>
      <c r="U310" s="113">
        <f>Treasury!I310-'Check Treasury Past'!I310</f>
        <v>0</v>
      </c>
      <c r="V310" s="113">
        <f>Treasury!J310-'Check Treasury Past'!J310</f>
        <v>0</v>
      </c>
      <c r="W310" s="113">
        <f>Treasury!K310-'Check Treasury Past'!K310</f>
        <v>0</v>
      </c>
    </row>
    <row r="311" spans="1:23" s="14" customFormat="1" x14ac:dyDescent="0.2">
      <c r="A311" s="110">
        <v>45777</v>
      </c>
      <c r="B311" s="117">
        <v>3832</v>
      </c>
      <c r="C311" s="117">
        <v>332</v>
      </c>
      <c r="D311" s="117">
        <v>4164</v>
      </c>
      <c r="E311" s="117">
        <v>794</v>
      </c>
      <c r="F311" s="117">
        <v>4999</v>
      </c>
      <c r="G311" s="117">
        <v>0</v>
      </c>
      <c r="H311" s="117">
        <v>9957</v>
      </c>
      <c r="I311" s="117">
        <v>35274</v>
      </c>
      <c r="J311" s="117">
        <v>45231</v>
      </c>
      <c r="K311" s="117">
        <v>609</v>
      </c>
      <c r="L311" s="141"/>
      <c r="M311" s="89">
        <v>45777</v>
      </c>
      <c r="N311" s="113">
        <f>Treasury!B311-'Check Treasury Past'!B311</f>
        <v>0</v>
      </c>
      <c r="O311" s="113">
        <f>Treasury!C311-'Check Treasury Past'!C311</f>
        <v>0</v>
      </c>
      <c r="P311" s="113">
        <f>Treasury!D311-'Check Treasury Past'!D311</f>
        <v>0</v>
      </c>
      <c r="Q311" s="113">
        <f>Treasury!E311-'Check Treasury Past'!E311</f>
        <v>0</v>
      </c>
      <c r="R311" s="113">
        <f>Treasury!F311-'Check Treasury Past'!F311</f>
        <v>0</v>
      </c>
      <c r="S311" s="113">
        <f>Treasury!G311-'Check Treasury Past'!G311</f>
        <v>0</v>
      </c>
      <c r="T311" s="113">
        <f>Treasury!H311-'Check Treasury Past'!H311</f>
        <v>0</v>
      </c>
      <c r="U311" s="113">
        <f>Treasury!I311-'Check Treasury Past'!I311</f>
        <v>0</v>
      </c>
      <c r="V311" s="113">
        <f>Treasury!J311-'Check Treasury Past'!J311</f>
        <v>0</v>
      </c>
      <c r="W311" s="113">
        <f>Treasury!K311-'Check Treasury Past'!K311</f>
        <v>0</v>
      </c>
    </row>
    <row r="312" spans="1:23" s="14" customFormat="1" x14ac:dyDescent="0.2">
      <c r="A312" s="110">
        <v>45808</v>
      </c>
      <c r="B312" s="117">
        <v>4401</v>
      </c>
      <c r="C312" s="117">
        <v>171</v>
      </c>
      <c r="D312" s="117">
        <v>4572</v>
      </c>
      <c r="E312" s="117">
        <v>739</v>
      </c>
      <c r="F312" s="117">
        <v>4936</v>
      </c>
      <c r="G312" s="117">
        <v>0</v>
      </c>
      <c r="H312" s="117">
        <v>10247</v>
      </c>
      <c r="I312" s="117">
        <v>36661</v>
      </c>
      <c r="J312" s="117">
        <v>46908</v>
      </c>
      <c r="K312" s="117">
        <v>581</v>
      </c>
      <c r="L312" s="141"/>
      <c r="M312" s="89">
        <v>45808</v>
      </c>
      <c r="N312" s="113">
        <f>Treasury!B312-'Check Treasury Past'!B312</f>
        <v>0</v>
      </c>
      <c r="O312" s="113">
        <f>Treasury!C312-'Check Treasury Past'!C312</f>
        <v>0</v>
      </c>
      <c r="P312" s="113">
        <f>Treasury!D312-'Check Treasury Past'!D312</f>
        <v>0</v>
      </c>
      <c r="Q312" s="113">
        <f>Treasury!E312-'Check Treasury Past'!E312</f>
        <v>0</v>
      </c>
      <c r="R312" s="113">
        <f>Treasury!F312-'Check Treasury Past'!F312</f>
        <v>0</v>
      </c>
      <c r="S312" s="113">
        <f>Treasury!G312-'Check Treasury Past'!G312</f>
        <v>0</v>
      </c>
      <c r="T312" s="113">
        <f>Treasury!H312-'Check Treasury Past'!H312</f>
        <v>0</v>
      </c>
      <c r="U312" s="113">
        <f>Treasury!I312-'Check Treasury Past'!I312</f>
        <v>0</v>
      </c>
      <c r="V312" s="113">
        <f>Treasury!J312-'Check Treasury Past'!J312</f>
        <v>0</v>
      </c>
      <c r="W312" s="113">
        <f>Treasury!K312-'Check Treasury Past'!K312</f>
        <v>0</v>
      </c>
    </row>
    <row r="313" spans="1:23" s="14" customFormat="1" x14ac:dyDescent="0.2">
      <c r="A313" s="110">
        <v>45838</v>
      </c>
      <c r="B313" s="117">
        <v>4485</v>
      </c>
      <c r="C313" s="117">
        <v>824</v>
      </c>
      <c r="D313" s="117">
        <v>5309</v>
      </c>
      <c r="E313" s="117">
        <v>744</v>
      </c>
      <c r="F313" s="117">
        <v>4968</v>
      </c>
      <c r="G313" s="117">
        <v>0</v>
      </c>
      <c r="H313" s="117">
        <v>11021</v>
      </c>
      <c r="I313" s="117">
        <v>34770</v>
      </c>
      <c r="J313" s="117">
        <v>45791</v>
      </c>
      <c r="K313" s="117">
        <v>759</v>
      </c>
      <c r="L313" s="141"/>
      <c r="M313" s="165">
        <v>45838</v>
      </c>
      <c r="N313" s="113">
        <f>Treasury!B313-'Check Treasury Past'!B313</f>
        <v>0</v>
      </c>
      <c r="O313" s="113">
        <f>Treasury!C313-'Check Treasury Past'!C313</f>
        <v>0</v>
      </c>
      <c r="P313" s="113">
        <f>Treasury!D313-'Check Treasury Past'!D313</f>
        <v>0</v>
      </c>
      <c r="Q313" s="113">
        <f>Treasury!E313-'Check Treasury Past'!E313</f>
        <v>0</v>
      </c>
      <c r="R313" s="113">
        <f>Treasury!F313-'Check Treasury Past'!F313</f>
        <v>0</v>
      </c>
      <c r="S313" s="113">
        <f>Treasury!G313-'Check Treasury Past'!G313</f>
        <v>0</v>
      </c>
      <c r="T313" s="113">
        <f>Treasury!H313-'Check Treasury Past'!H313</f>
        <v>0</v>
      </c>
      <c r="U313" s="113">
        <f>Treasury!I313-'Check Treasury Past'!I313</f>
        <v>0</v>
      </c>
      <c r="V313" s="113">
        <f>Treasury!J313-'Check Treasury Past'!J313</f>
        <v>0</v>
      </c>
      <c r="W313" s="113">
        <f>Treasury!K313-'Check Treasury Past'!K313</f>
        <v>0</v>
      </c>
    </row>
    <row r="314" spans="1:23" s="14" customFormat="1" x14ac:dyDescent="0.2">
      <c r="A314" s="110">
        <v>45869</v>
      </c>
      <c r="B314" s="117">
        <v>4543</v>
      </c>
      <c r="C314" s="117">
        <v>448</v>
      </c>
      <c r="D314" s="117">
        <v>4991</v>
      </c>
      <c r="E314" s="117">
        <v>754</v>
      </c>
      <c r="F314" s="117">
        <v>5039</v>
      </c>
      <c r="G314" s="117">
        <v>0</v>
      </c>
      <c r="H314" s="117">
        <v>10784</v>
      </c>
      <c r="I314" s="117">
        <v>37620</v>
      </c>
      <c r="J314" s="117">
        <v>48404</v>
      </c>
      <c r="K314" s="117">
        <v>256</v>
      </c>
      <c r="L314" s="141"/>
      <c r="M314" s="165">
        <v>45869</v>
      </c>
      <c r="N314" s="113">
        <f>Treasury!B314-'Check Treasury Past'!B314</f>
        <v>0</v>
      </c>
      <c r="O314" s="113">
        <f>Treasury!C314-'Check Treasury Past'!C314</f>
        <v>0</v>
      </c>
      <c r="P314" s="113">
        <f>Treasury!D314-'Check Treasury Past'!D314</f>
        <v>0</v>
      </c>
      <c r="Q314" s="113">
        <f>Treasury!E314-'Check Treasury Past'!E314</f>
        <v>0</v>
      </c>
      <c r="R314" s="113">
        <f>Treasury!F314-'Check Treasury Past'!F314</f>
        <v>0</v>
      </c>
      <c r="S314" s="113">
        <f>Treasury!G314-'Check Treasury Past'!G314</f>
        <v>0</v>
      </c>
      <c r="T314" s="113">
        <f>Treasury!H314-'Check Treasury Past'!H314</f>
        <v>0</v>
      </c>
      <c r="U314" s="113">
        <f>Treasury!I314-'Check Treasury Past'!I314</f>
        <v>0</v>
      </c>
      <c r="V314" s="113">
        <f>Treasury!J314-'Check Treasury Past'!J314</f>
        <v>0</v>
      </c>
      <c r="W314" s="113">
        <f>Treasury!K314-'Check Treasury Past'!K314</f>
        <v>0</v>
      </c>
    </row>
    <row r="315" spans="1:23" s="14" customFormat="1" x14ac:dyDescent="0.2">
      <c r="A315" s="110">
        <v>45900</v>
      </c>
      <c r="B315" s="117">
        <v>4582</v>
      </c>
      <c r="C315" s="117">
        <v>393</v>
      </c>
      <c r="D315" s="117">
        <v>4975</v>
      </c>
      <c r="E315" s="117">
        <v>761</v>
      </c>
      <c r="F315" s="117">
        <v>5011</v>
      </c>
      <c r="G315" s="117">
        <v>0</v>
      </c>
      <c r="H315" s="117">
        <v>10747</v>
      </c>
      <c r="I315" s="117">
        <v>37265</v>
      </c>
      <c r="J315" s="117">
        <v>48012</v>
      </c>
      <c r="K315" s="117">
        <v>244</v>
      </c>
      <c r="L315" s="141"/>
      <c r="M315" s="165">
        <v>45900</v>
      </c>
      <c r="N315" s="113">
        <f>Treasury!B315-'Check Treasury Past'!B315</f>
        <v>0</v>
      </c>
      <c r="O315" s="113">
        <f>Treasury!C315-'Check Treasury Past'!C315</f>
        <v>0</v>
      </c>
      <c r="P315" s="113">
        <f>Treasury!D315-'Check Treasury Past'!D315</f>
        <v>0</v>
      </c>
      <c r="Q315" s="113">
        <f>Treasury!E315-'Check Treasury Past'!E315</f>
        <v>0</v>
      </c>
      <c r="R315" s="113">
        <f>Treasury!F315-'Check Treasury Past'!F315</f>
        <v>0</v>
      </c>
      <c r="S315" s="113">
        <f>Treasury!G315-'Check Treasury Past'!G315</f>
        <v>0</v>
      </c>
      <c r="T315" s="113">
        <f>Treasury!H315-'Check Treasury Past'!H315</f>
        <v>0</v>
      </c>
      <c r="U315" s="113">
        <f>Treasury!I315-'Check Treasury Past'!I315</f>
        <v>0</v>
      </c>
      <c r="V315" s="113">
        <f>Treasury!J315-'Check Treasury Past'!J315</f>
        <v>0</v>
      </c>
      <c r="W315" s="113">
        <f>Treasury!K315-'Check Treasury Past'!K315</f>
        <v>0</v>
      </c>
    </row>
    <row r="316" spans="1:23" s="14" customFormat="1" x14ac:dyDescent="0.2">
      <c r="A316" s="110">
        <v>45930</v>
      </c>
      <c r="B316" s="117">
        <v>3401</v>
      </c>
      <c r="C316" s="117">
        <v>448</v>
      </c>
      <c r="D316" s="117">
        <v>3849</v>
      </c>
      <c r="E316" s="117">
        <v>776</v>
      </c>
      <c r="F316" s="117">
        <v>5102</v>
      </c>
      <c r="G316" s="117">
        <v>0</v>
      </c>
      <c r="H316" s="117">
        <v>9727</v>
      </c>
      <c r="I316" s="117">
        <v>37662</v>
      </c>
      <c r="J316" s="117">
        <v>47389</v>
      </c>
      <c r="K316" s="117">
        <v>-40</v>
      </c>
      <c r="L316" s="141"/>
      <c r="M316" s="165">
        <v>45930</v>
      </c>
      <c r="N316" s="113">
        <f>Treasury!B316-'Check Treasury Past'!B316</f>
        <v>0</v>
      </c>
      <c r="O316" s="113">
        <f>Treasury!C316-'Check Treasury Past'!C316</f>
        <v>0</v>
      </c>
      <c r="P316" s="113">
        <f>Treasury!D316-'Check Treasury Past'!D316</f>
        <v>0</v>
      </c>
      <c r="Q316" s="113">
        <f>Treasury!E316-'Check Treasury Past'!E316</f>
        <v>0</v>
      </c>
      <c r="R316" s="113">
        <f>Treasury!F316-'Check Treasury Past'!F316</f>
        <v>0</v>
      </c>
      <c r="S316" s="113">
        <f>Treasury!G316-'Check Treasury Past'!G316</f>
        <v>0</v>
      </c>
      <c r="T316" s="113">
        <f>Treasury!H316-'Check Treasury Past'!H316</f>
        <v>0</v>
      </c>
      <c r="U316" s="113">
        <f>Treasury!I316-'Check Treasury Past'!I316</f>
        <v>0</v>
      </c>
      <c r="V316" s="113">
        <f>Treasury!J316-'Check Treasury Past'!J316</f>
        <v>0</v>
      </c>
      <c r="W316" s="113">
        <f>Treasury!K316-'Check Treasury Past'!K316</f>
        <v>0</v>
      </c>
    </row>
    <row r="317" spans="1:23" s="14" customFormat="1" x14ac:dyDescent="0.2">
      <c r="A317" s="110">
        <v>45961</v>
      </c>
      <c r="B317" s="117">
        <v>3588</v>
      </c>
      <c r="C317" s="117">
        <v>152</v>
      </c>
      <c r="D317" s="117">
        <v>3740</v>
      </c>
      <c r="E317" s="117">
        <v>780</v>
      </c>
      <c r="F317" s="117">
        <v>5121</v>
      </c>
      <c r="G317" s="117">
        <v>0</v>
      </c>
      <c r="H317" s="117">
        <v>9641</v>
      </c>
      <c r="I317" s="117">
        <v>38409</v>
      </c>
      <c r="J317" s="117">
        <v>48050</v>
      </c>
      <c r="K317" s="117">
        <v>-288</v>
      </c>
      <c r="L317" s="141"/>
      <c r="M317" s="165">
        <v>45961</v>
      </c>
      <c r="N317" s="113">
        <f>Treasury!B317-'Check Treasury Past'!B317</f>
        <v>0</v>
      </c>
      <c r="O317" s="113">
        <f>Treasury!C317-'Check Treasury Past'!C317</f>
        <v>0</v>
      </c>
      <c r="P317" s="113">
        <f>Treasury!D317-'Check Treasury Past'!D317</f>
        <v>0</v>
      </c>
      <c r="Q317" s="113">
        <f>Treasury!E317-'Check Treasury Past'!E317</f>
        <v>0</v>
      </c>
      <c r="R317" s="113">
        <f>Treasury!F317-'Check Treasury Past'!F317</f>
        <v>0</v>
      </c>
      <c r="S317" s="113">
        <f>Treasury!G317-'Check Treasury Past'!G317</f>
        <v>0</v>
      </c>
      <c r="T317" s="113">
        <f>Treasury!H317-'Check Treasury Past'!H317</f>
        <v>0</v>
      </c>
      <c r="U317" s="113">
        <f>Treasury!I317-'Check Treasury Past'!I317</f>
        <v>0</v>
      </c>
      <c r="V317" s="113">
        <f>Treasury!J317-'Check Treasury Past'!J317</f>
        <v>0</v>
      </c>
      <c r="W317" s="113">
        <f>Treasury!K317-'Check Treasury Past'!K317</f>
        <v>0</v>
      </c>
    </row>
    <row r="318" spans="1:23" s="14" customFormat="1" x14ac:dyDescent="0.2">
      <c r="A318" s="109">
        <v>45991</v>
      </c>
      <c r="B318" s="127">
        <v>3628</v>
      </c>
      <c r="C318" s="127">
        <v>828</v>
      </c>
      <c r="D318" s="127">
        <f>C318+B318</f>
        <v>4456</v>
      </c>
      <c r="E318" s="127">
        <v>773</v>
      </c>
      <c r="F318" s="127">
        <v>5111</v>
      </c>
      <c r="G318" s="127">
        <v>0</v>
      </c>
      <c r="H318" s="127">
        <f>D318+E318+F318+G318</f>
        <v>10340</v>
      </c>
      <c r="I318" s="127">
        <v>45512</v>
      </c>
      <c r="J318" s="127">
        <f>H318+I318</f>
        <v>55852</v>
      </c>
      <c r="K318" s="127">
        <v>-342</v>
      </c>
      <c r="L318" s="141"/>
      <c r="M318" s="165">
        <v>45991</v>
      </c>
      <c r="N318" s="113">
        <f>Treasury!B318-'Check Treasury Past'!B318</f>
        <v>0</v>
      </c>
      <c r="O318" s="113">
        <f>Treasury!C318-'Check Treasury Past'!C318</f>
        <v>0</v>
      </c>
      <c r="P318" s="113">
        <f>Treasury!D318-'Check Treasury Past'!D318</f>
        <v>0</v>
      </c>
      <c r="Q318" s="113">
        <f>Treasury!E318-'Check Treasury Past'!E318</f>
        <v>0</v>
      </c>
      <c r="R318" s="113">
        <f>Treasury!F318-'Check Treasury Past'!F318</f>
        <v>0</v>
      </c>
      <c r="S318" s="113">
        <f>Treasury!G318-'Check Treasury Past'!G318</f>
        <v>0</v>
      </c>
      <c r="T318" s="113">
        <f>Treasury!H318-'Check Treasury Past'!H318</f>
        <v>0</v>
      </c>
      <c r="U318" s="113">
        <f>Treasury!I318-'Check Treasury Past'!I318</f>
        <v>0</v>
      </c>
      <c r="V318" s="113">
        <f>Treasury!J318-'Check Treasury Past'!J318</f>
        <v>0</v>
      </c>
      <c r="W318" s="113">
        <f>Treasury!K318-'Check Treasury Past'!K318</f>
        <v>0</v>
      </c>
    </row>
    <row r="319" spans="1:23" s="14" customFormat="1" x14ac:dyDescent="0.2">
      <c r="A319" s="110"/>
      <c r="B319" s="117"/>
      <c r="C319" s="117"/>
      <c r="D319" s="117"/>
      <c r="E319" s="117"/>
      <c r="F319" s="117"/>
      <c r="G319" s="117"/>
      <c r="H319" s="117"/>
      <c r="I319" s="117"/>
      <c r="J319" s="117"/>
      <c r="K319" s="117"/>
      <c r="L319" s="141"/>
      <c r="M319" s="165"/>
      <c r="N319" s="113"/>
      <c r="O319" s="113"/>
      <c r="P319" s="113"/>
      <c r="Q319" s="113"/>
      <c r="R319" s="113"/>
      <c r="S319" s="113"/>
      <c r="T319" s="113"/>
      <c r="U319" s="113"/>
      <c r="V319" s="113"/>
      <c r="W319" s="113"/>
    </row>
    <row r="320" spans="1:23" s="14" customFormat="1" x14ac:dyDescent="0.2">
      <c r="A320" s="110"/>
      <c r="B320" s="117"/>
      <c r="C320" s="117"/>
      <c r="D320" s="117"/>
      <c r="E320" s="117"/>
      <c r="F320" s="117"/>
      <c r="G320" s="117"/>
      <c r="H320" s="117"/>
      <c r="I320" s="117"/>
      <c r="J320" s="117"/>
      <c r="K320" s="117"/>
      <c r="L320" s="141"/>
      <c r="M320" s="165"/>
      <c r="N320" s="113"/>
      <c r="O320" s="113"/>
      <c r="P320" s="113"/>
      <c r="Q320" s="113"/>
      <c r="R320" s="113"/>
      <c r="S320" s="113"/>
      <c r="T320" s="113"/>
      <c r="U320" s="113"/>
      <c r="V320" s="113"/>
      <c r="W320" s="113"/>
    </row>
    <row r="321" spans="1:23" s="14" customFormat="1" x14ac:dyDescent="0.2">
      <c r="A321" s="110"/>
      <c r="B321" s="117"/>
      <c r="C321" s="117"/>
      <c r="D321" s="117"/>
      <c r="E321" s="117"/>
      <c r="F321" s="117"/>
      <c r="G321" s="117"/>
      <c r="H321" s="117"/>
      <c r="I321" s="117"/>
      <c r="J321" s="117"/>
      <c r="K321" s="117"/>
      <c r="L321" s="141"/>
      <c r="M321" s="165"/>
      <c r="N321" s="113"/>
      <c r="O321" s="113"/>
      <c r="P321" s="113"/>
      <c r="Q321" s="113"/>
      <c r="R321" s="113"/>
      <c r="S321" s="113"/>
      <c r="T321" s="113"/>
      <c r="U321" s="113"/>
      <c r="V321" s="113"/>
      <c r="W321" s="113"/>
    </row>
    <row r="322" spans="1:23" s="14" customFormat="1" x14ac:dyDescent="0.2">
      <c r="A322" s="110"/>
      <c r="B322" s="117"/>
      <c r="C322" s="117"/>
      <c r="D322" s="117"/>
      <c r="E322" s="117"/>
      <c r="F322" s="117"/>
      <c r="G322" s="117"/>
      <c r="H322" s="117"/>
      <c r="I322" s="117"/>
      <c r="J322" s="117"/>
      <c r="K322" s="117"/>
      <c r="L322" s="141"/>
      <c r="M322" s="165"/>
      <c r="N322" s="113"/>
      <c r="O322" s="113"/>
      <c r="P322" s="113"/>
      <c r="Q322" s="113"/>
      <c r="R322" s="113"/>
      <c r="S322" s="113"/>
      <c r="T322" s="113"/>
      <c r="U322" s="113"/>
      <c r="V322" s="113"/>
      <c r="W322" s="113"/>
    </row>
    <row r="323" spans="1:23" s="14" customFormat="1" x14ac:dyDescent="0.2">
      <c r="A323" s="110"/>
      <c r="B323" s="117"/>
      <c r="C323" s="117"/>
      <c r="D323" s="117"/>
      <c r="E323" s="117"/>
      <c r="F323" s="117"/>
      <c r="G323" s="117"/>
      <c r="H323" s="117"/>
      <c r="I323" s="117"/>
      <c r="J323" s="117"/>
      <c r="K323" s="117"/>
      <c r="L323" s="141"/>
      <c r="M323" s="165"/>
      <c r="N323" s="113"/>
      <c r="O323" s="113"/>
      <c r="P323" s="113"/>
      <c r="Q323" s="113"/>
      <c r="R323" s="113"/>
      <c r="S323" s="113"/>
      <c r="T323" s="113"/>
      <c r="U323" s="113"/>
      <c r="V323" s="113"/>
      <c r="W323" s="113"/>
    </row>
    <row r="324" spans="1:23" s="14" customFormat="1" x14ac:dyDescent="0.2">
      <c r="A324" s="110"/>
      <c r="B324" s="117"/>
      <c r="C324" s="117"/>
      <c r="D324" s="117"/>
      <c r="E324" s="117"/>
      <c r="F324" s="117"/>
      <c r="G324" s="117"/>
      <c r="H324" s="117"/>
      <c r="I324" s="117"/>
      <c r="J324" s="117"/>
      <c r="K324" s="117"/>
      <c r="L324" s="141"/>
      <c r="M324" s="165"/>
      <c r="N324" s="113"/>
      <c r="O324" s="113"/>
      <c r="P324" s="113"/>
      <c r="Q324" s="113"/>
      <c r="R324" s="113"/>
      <c r="S324" s="113"/>
      <c r="T324" s="113"/>
      <c r="U324" s="113"/>
      <c r="V324" s="113"/>
      <c r="W324" s="113"/>
    </row>
    <row r="325" spans="1:23" s="14" customFormat="1" x14ac:dyDescent="0.2">
      <c r="A325" s="110"/>
      <c r="B325" s="117"/>
      <c r="C325" s="117"/>
      <c r="D325" s="117"/>
      <c r="E325" s="117"/>
      <c r="F325" s="117"/>
      <c r="G325" s="117"/>
      <c r="H325" s="117"/>
      <c r="I325" s="117"/>
      <c r="J325" s="117"/>
      <c r="K325" s="117"/>
      <c r="L325" s="141"/>
      <c r="M325" s="165"/>
      <c r="N325" s="113"/>
      <c r="O325" s="113"/>
      <c r="P325" s="113"/>
      <c r="Q325" s="113"/>
      <c r="R325" s="113"/>
      <c r="S325" s="113"/>
      <c r="T325" s="113"/>
      <c r="U325" s="113"/>
      <c r="V325" s="113"/>
      <c r="W325" s="113"/>
    </row>
    <row r="326" spans="1:23" s="14" customFormat="1" x14ac:dyDescent="0.2">
      <c r="A326" s="110"/>
      <c r="B326" s="117"/>
      <c r="C326" s="117"/>
      <c r="D326" s="117"/>
      <c r="E326" s="117"/>
      <c r="F326" s="117"/>
      <c r="G326" s="117"/>
      <c r="H326" s="117"/>
      <c r="I326" s="117"/>
      <c r="J326" s="117"/>
      <c r="K326" s="117"/>
      <c r="L326" s="141"/>
      <c r="M326" s="165"/>
      <c r="N326" s="113"/>
      <c r="O326" s="113"/>
      <c r="P326" s="113"/>
      <c r="Q326" s="113"/>
      <c r="R326" s="113"/>
      <c r="S326" s="113"/>
      <c r="T326" s="113"/>
      <c r="U326" s="113"/>
      <c r="V326" s="113"/>
      <c r="W326" s="113"/>
    </row>
    <row r="327" spans="1:23" s="14" customFormat="1" x14ac:dyDescent="0.2">
      <c r="A327" s="110"/>
      <c r="B327" s="117"/>
      <c r="C327" s="117"/>
      <c r="D327" s="117"/>
      <c r="E327" s="117"/>
      <c r="F327" s="117"/>
      <c r="G327" s="117"/>
      <c r="H327" s="117"/>
      <c r="I327" s="117"/>
      <c r="J327" s="117"/>
      <c r="K327" s="117"/>
      <c r="L327" s="141"/>
      <c r="M327" s="165"/>
      <c r="N327" s="113"/>
      <c r="O327" s="113"/>
      <c r="P327" s="113"/>
      <c r="Q327" s="113"/>
      <c r="R327" s="113"/>
      <c r="S327" s="113"/>
      <c r="T327" s="113"/>
      <c r="U327" s="113"/>
      <c r="V327" s="113"/>
      <c r="W327" s="113"/>
    </row>
    <row r="328" spans="1:23" s="14" customFormat="1" x14ac:dyDescent="0.2">
      <c r="A328" s="110"/>
      <c r="B328" s="117"/>
      <c r="C328" s="117"/>
      <c r="D328" s="117"/>
      <c r="E328" s="117"/>
      <c r="F328" s="117"/>
      <c r="G328" s="117"/>
      <c r="H328" s="117"/>
      <c r="I328" s="117"/>
      <c r="J328" s="117"/>
      <c r="K328" s="117"/>
      <c r="L328" s="141"/>
      <c r="M328" s="165"/>
      <c r="N328" s="113"/>
      <c r="O328" s="113"/>
      <c r="P328" s="113"/>
      <c r="Q328" s="113"/>
      <c r="R328" s="113"/>
      <c r="S328" s="113"/>
      <c r="T328" s="113"/>
      <c r="U328" s="113"/>
      <c r="V328" s="113"/>
      <c r="W328" s="113"/>
    </row>
    <row r="329" spans="1:23" s="14" customFormat="1" x14ac:dyDescent="0.2">
      <c r="A329" s="110"/>
      <c r="B329" s="117"/>
      <c r="C329" s="117"/>
      <c r="D329" s="117"/>
      <c r="E329" s="117"/>
      <c r="F329" s="117"/>
      <c r="G329" s="117"/>
      <c r="H329" s="117"/>
      <c r="I329" s="117"/>
      <c r="J329" s="117"/>
      <c r="K329" s="117"/>
      <c r="L329" s="141"/>
      <c r="M329" s="165"/>
      <c r="N329" s="113"/>
      <c r="O329" s="113"/>
      <c r="P329" s="113"/>
      <c r="Q329" s="113"/>
      <c r="R329" s="113"/>
      <c r="S329" s="113"/>
      <c r="T329" s="113"/>
      <c r="U329" s="113"/>
      <c r="V329" s="113"/>
      <c r="W329" s="113"/>
    </row>
    <row r="330" spans="1:23" s="14" customFormat="1" x14ac:dyDescent="0.2">
      <c r="A330" s="110"/>
      <c r="B330" s="117"/>
      <c r="C330" s="117"/>
      <c r="D330" s="117"/>
      <c r="E330" s="117"/>
      <c r="F330" s="117"/>
      <c r="G330" s="117"/>
      <c r="H330" s="117"/>
      <c r="I330" s="117"/>
      <c r="J330" s="117"/>
      <c r="K330" s="117"/>
      <c r="L330" s="141"/>
      <c r="M330" s="165"/>
      <c r="N330" s="113"/>
      <c r="O330" s="113"/>
      <c r="P330" s="113"/>
      <c r="Q330" s="113"/>
      <c r="R330" s="113"/>
      <c r="S330" s="113"/>
      <c r="T330" s="113"/>
      <c r="U330" s="113"/>
      <c r="V330" s="113"/>
      <c r="W330" s="113"/>
    </row>
    <row r="331" spans="1:23" s="14" customFormat="1" x14ac:dyDescent="0.2">
      <c r="A331" s="110"/>
      <c r="B331" s="117"/>
      <c r="C331" s="117"/>
      <c r="D331" s="117"/>
      <c r="E331" s="117"/>
      <c r="F331" s="117"/>
      <c r="G331" s="117"/>
      <c r="H331" s="117"/>
      <c r="I331" s="117"/>
      <c r="J331" s="117"/>
      <c r="K331" s="117"/>
      <c r="L331" s="141"/>
      <c r="M331" s="165"/>
      <c r="N331" s="113"/>
      <c r="O331" s="113"/>
      <c r="P331" s="113"/>
      <c r="Q331" s="113"/>
      <c r="R331" s="113"/>
      <c r="S331" s="113"/>
      <c r="T331" s="113"/>
      <c r="U331" s="113"/>
      <c r="V331" s="113"/>
      <c r="W331" s="113"/>
    </row>
    <row r="332" spans="1:23" s="14" customFormat="1" x14ac:dyDescent="0.2">
      <c r="A332" s="110"/>
      <c r="B332" s="117"/>
      <c r="C332" s="117"/>
      <c r="D332" s="117"/>
      <c r="E332" s="117"/>
      <c r="F332" s="117"/>
      <c r="G332" s="117"/>
      <c r="H332" s="117"/>
      <c r="I332" s="117"/>
      <c r="J332" s="117"/>
      <c r="K332" s="117"/>
      <c r="L332" s="141"/>
      <c r="M332" s="165"/>
      <c r="N332" s="113"/>
      <c r="O332" s="113"/>
      <c r="P332" s="113"/>
      <c r="Q332" s="113"/>
      <c r="R332" s="113"/>
      <c r="S332" s="113"/>
      <c r="T332" s="113"/>
      <c r="U332" s="113"/>
      <c r="V332" s="113"/>
      <c r="W332" s="113"/>
    </row>
    <row r="333" spans="1:23" s="14" customFormat="1" x14ac:dyDescent="0.2">
      <c r="A333" s="110"/>
      <c r="B333" s="117"/>
      <c r="C333" s="117"/>
      <c r="D333" s="117"/>
      <c r="E333" s="117"/>
      <c r="F333" s="117"/>
      <c r="G333" s="117"/>
      <c r="H333" s="117"/>
      <c r="I333" s="117"/>
      <c r="J333" s="117"/>
      <c r="K333" s="117"/>
      <c r="L333" s="141"/>
      <c r="M333" s="165"/>
      <c r="N333" s="113"/>
      <c r="O333" s="113"/>
      <c r="P333" s="113"/>
      <c r="Q333" s="113"/>
      <c r="R333" s="113"/>
      <c r="S333" s="113"/>
      <c r="T333" s="113"/>
      <c r="U333" s="113"/>
      <c r="V333" s="113"/>
      <c r="W333" s="113"/>
    </row>
    <row r="334" spans="1:23" ht="12.75" customHeight="1" x14ac:dyDescent="0.2">
      <c r="B334" s="81"/>
      <c r="C334" s="81"/>
      <c r="D334" s="81"/>
      <c r="E334" s="81"/>
      <c r="F334" s="81"/>
      <c r="G334" s="81"/>
      <c r="H334" s="81"/>
      <c r="I334" s="81"/>
      <c r="J334" s="81"/>
      <c r="K334" s="81"/>
      <c r="M334" s="166"/>
      <c r="N334" s="81"/>
      <c r="O334" s="81"/>
      <c r="P334" s="81"/>
      <c r="Q334" s="81"/>
      <c r="R334" s="81"/>
      <c r="S334" s="81"/>
      <c r="T334" s="81"/>
      <c r="U334" s="81"/>
      <c r="V334" s="81"/>
      <c r="W334" s="81"/>
    </row>
    <row r="335" spans="1:23" ht="12.75" customHeight="1" x14ac:dyDescent="0.2">
      <c r="B335" s="81"/>
      <c r="C335" s="81"/>
      <c r="D335" s="81"/>
      <c r="E335" s="81"/>
      <c r="F335" s="81"/>
      <c r="G335" s="81"/>
      <c r="H335" s="81"/>
      <c r="I335" s="81"/>
      <c r="J335" s="81"/>
      <c r="K335" s="81"/>
      <c r="M335" s="166"/>
      <c r="N335" s="81"/>
      <c r="O335" s="81"/>
      <c r="P335" s="81"/>
      <c r="Q335" s="81"/>
      <c r="R335" s="81"/>
      <c r="S335" s="81"/>
      <c r="T335" s="81"/>
      <c r="U335" s="81"/>
      <c r="V335" s="81"/>
      <c r="W335" s="81"/>
    </row>
    <row r="336" spans="1:23" ht="12.75" customHeight="1" x14ac:dyDescent="0.2">
      <c r="B336" s="81"/>
      <c r="C336" s="81"/>
      <c r="D336" s="81"/>
      <c r="E336" s="81"/>
      <c r="F336" s="81"/>
      <c r="G336" s="81"/>
      <c r="H336" s="81"/>
      <c r="I336" s="81"/>
      <c r="J336" s="81"/>
      <c r="K336" s="81"/>
      <c r="M336" s="166"/>
      <c r="N336" s="81"/>
      <c r="O336" s="81"/>
      <c r="P336" s="81"/>
      <c r="Q336" s="81"/>
      <c r="R336" s="81"/>
      <c r="S336" s="81"/>
      <c r="T336" s="81"/>
      <c r="U336" s="81"/>
      <c r="V336" s="81"/>
      <c r="W336" s="81"/>
    </row>
    <row r="337" spans="2:23" ht="12.75" customHeight="1" x14ac:dyDescent="0.2">
      <c r="B337" s="81"/>
      <c r="C337" s="81"/>
      <c r="D337" s="81"/>
      <c r="E337" s="81"/>
      <c r="F337" s="81"/>
      <c r="G337" s="81"/>
      <c r="H337" s="81"/>
      <c r="I337" s="81"/>
      <c r="J337" s="81"/>
      <c r="K337" s="81"/>
      <c r="M337" s="166"/>
      <c r="N337" s="81"/>
      <c r="O337" s="81"/>
      <c r="P337" s="81"/>
      <c r="Q337" s="81"/>
      <c r="R337" s="81"/>
      <c r="S337" s="81"/>
      <c r="T337" s="81"/>
      <c r="U337" s="81"/>
      <c r="V337" s="81"/>
      <c r="W337" s="81"/>
    </row>
    <row r="338" spans="2:23" ht="12.75" customHeight="1" x14ac:dyDescent="0.2">
      <c r="B338" s="81"/>
      <c r="C338" s="81"/>
      <c r="D338" s="81"/>
      <c r="E338" s="81"/>
      <c r="F338" s="81"/>
      <c r="G338" s="81"/>
      <c r="H338" s="81"/>
      <c r="I338" s="81"/>
      <c r="J338" s="81"/>
      <c r="K338" s="81"/>
      <c r="N338" s="81"/>
      <c r="O338" s="81"/>
      <c r="P338" s="81"/>
      <c r="Q338" s="81"/>
      <c r="R338" s="81"/>
      <c r="S338" s="81"/>
      <c r="T338" s="81"/>
      <c r="U338" s="81"/>
      <c r="V338" s="81"/>
      <c r="W338" s="81"/>
    </row>
    <row r="339" spans="2:23" ht="12.75" customHeight="1" x14ac:dyDescent="0.2">
      <c r="B339" s="81"/>
      <c r="C339" s="81"/>
      <c r="D339" s="81"/>
      <c r="E339" s="81"/>
      <c r="F339" s="81"/>
      <c r="G339" s="81"/>
      <c r="H339" s="81"/>
      <c r="I339" s="81"/>
      <c r="J339" s="81"/>
      <c r="K339" s="81"/>
      <c r="N339" s="81"/>
      <c r="O339" s="81"/>
      <c r="P339" s="81"/>
      <c r="Q339" s="81"/>
      <c r="R339" s="81"/>
      <c r="S339" s="81"/>
      <c r="T339" s="81"/>
      <c r="U339" s="81"/>
      <c r="V339" s="81"/>
      <c r="W339" s="81"/>
    </row>
    <row r="340" spans="2:23" ht="12.75" customHeight="1" x14ac:dyDescent="0.2">
      <c r="B340" s="81"/>
      <c r="C340" s="81"/>
      <c r="D340" s="81"/>
      <c r="E340" s="81"/>
      <c r="F340" s="81"/>
      <c r="G340" s="81"/>
      <c r="H340" s="81"/>
      <c r="I340" s="81"/>
      <c r="J340" s="81"/>
      <c r="K340" s="81"/>
      <c r="N340" s="81"/>
      <c r="O340" s="81"/>
      <c r="P340" s="81"/>
      <c r="Q340" s="81"/>
      <c r="R340" s="81"/>
      <c r="S340" s="81"/>
      <c r="T340" s="81"/>
      <c r="U340" s="81"/>
      <c r="V340" s="81"/>
      <c r="W340" s="81"/>
    </row>
    <row r="341" spans="2:23" ht="12.75" customHeight="1" x14ac:dyDescent="0.2">
      <c r="B341" s="81"/>
      <c r="C341" s="81"/>
      <c r="D341" s="81"/>
      <c r="E341" s="81"/>
      <c r="F341" s="81"/>
      <c r="G341" s="81"/>
      <c r="H341" s="81"/>
      <c r="I341" s="81"/>
      <c r="J341" s="81"/>
      <c r="K341" s="81"/>
      <c r="N341" s="81"/>
      <c r="O341" s="81"/>
      <c r="P341" s="81"/>
      <c r="Q341" s="81"/>
      <c r="R341" s="81"/>
      <c r="S341" s="81"/>
      <c r="T341" s="81"/>
      <c r="U341" s="81"/>
      <c r="V341" s="81"/>
      <c r="W341" s="81"/>
    </row>
    <row r="342" spans="2:23" ht="12.75" customHeight="1" x14ac:dyDescent="0.2">
      <c r="B342" s="81"/>
      <c r="C342" s="81"/>
      <c r="D342" s="81"/>
      <c r="E342" s="81"/>
      <c r="F342" s="81"/>
      <c r="G342" s="81"/>
      <c r="H342" s="81"/>
      <c r="I342" s="81"/>
      <c r="J342" s="81"/>
      <c r="K342" s="81"/>
      <c r="N342" s="81"/>
      <c r="O342" s="81"/>
      <c r="P342" s="81"/>
      <c r="Q342" s="81"/>
      <c r="R342" s="81"/>
      <c r="S342" s="81"/>
      <c r="T342" s="81"/>
      <c r="U342" s="81"/>
      <c r="V342" s="81"/>
      <c r="W342" s="81"/>
    </row>
    <row r="343" spans="2:23" ht="12.75" customHeight="1" x14ac:dyDescent="0.2">
      <c r="B343" s="81"/>
      <c r="C343" s="81"/>
      <c r="D343" s="81"/>
      <c r="E343" s="81"/>
      <c r="F343" s="81"/>
      <c r="G343" s="81"/>
      <c r="H343" s="81"/>
      <c r="I343" s="81"/>
      <c r="J343" s="81"/>
      <c r="K343" s="81"/>
      <c r="N343" s="81"/>
      <c r="O343" s="81"/>
      <c r="P343" s="81"/>
      <c r="Q343" s="81"/>
      <c r="R343" s="81"/>
      <c r="S343" s="81"/>
      <c r="T343" s="81"/>
      <c r="U343" s="81"/>
      <c r="V343" s="81"/>
      <c r="W343" s="81"/>
    </row>
    <row r="344" spans="2:23" ht="12.75" customHeight="1" x14ac:dyDescent="0.2">
      <c r="B344" s="81"/>
      <c r="C344" s="81"/>
      <c r="D344" s="81"/>
      <c r="E344" s="81"/>
      <c r="F344" s="81"/>
      <c r="G344" s="81"/>
      <c r="H344" s="81"/>
      <c r="I344" s="81"/>
      <c r="J344" s="81"/>
      <c r="K344" s="81"/>
      <c r="N344" s="81"/>
      <c r="O344" s="81"/>
      <c r="P344" s="81"/>
      <c r="Q344" s="81"/>
      <c r="R344" s="81"/>
      <c r="S344" s="81"/>
      <c r="T344" s="81"/>
      <c r="U344" s="81"/>
      <c r="V344" s="81"/>
      <c r="W344" s="81"/>
    </row>
    <row r="345" spans="2:23" ht="12.75" customHeight="1" x14ac:dyDescent="0.2">
      <c r="B345" s="81"/>
      <c r="C345" s="81"/>
      <c r="D345" s="81"/>
      <c r="E345" s="81"/>
      <c r="F345" s="81"/>
      <c r="G345" s="81"/>
      <c r="H345" s="81"/>
      <c r="I345" s="81"/>
      <c r="J345" s="81"/>
      <c r="K345" s="81"/>
      <c r="N345" s="81"/>
      <c r="O345" s="81"/>
      <c r="P345" s="81"/>
      <c r="Q345" s="81"/>
      <c r="R345" s="81"/>
      <c r="S345" s="81"/>
      <c r="T345" s="81"/>
      <c r="U345" s="81"/>
      <c r="V345" s="81"/>
      <c r="W345" s="81"/>
    </row>
    <row r="346" spans="2:23" ht="12.75" customHeight="1" x14ac:dyDescent="0.2">
      <c r="B346" s="81"/>
      <c r="C346" s="81"/>
      <c r="D346" s="81"/>
      <c r="E346" s="81"/>
      <c r="F346" s="81"/>
      <c r="G346" s="81"/>
      <c r="H346" s="81"/>
      <c r="I346" s="81"/>
      <c r="J346" s="81"/>
      <c r="K346" s="81"/>
      <c r="N346" s="81"/>
      <c r="O346" s="81"/>
      <c r="P346" s="81"/>
      <c r="Q346" s="81"/>
      <c r="R346" s="81"/>
      <c r="S346" s="81"/>
      <c r="T346" s="81"/>
      <c r="U346" s="81"/>
      <c r="V346" s="81"/>
      <c r="W346" s="81"/>
    </row>
    <row r="347" spans="2:23" ht="12.75" customHeight="1" x14ac:dyDescent="0.2">
      <c r="B347" s="81"/>
      <c r="C347" s="81"/>
      <c r="D347" s="81"/>
      <c r="E347" s="81"/>
      <c r="F347" s="81"/>
      <c r="G347" s="81"/>
      <c r="H347" s="81"/>
      <c r="I347" s="81"/>
      <c r="J347" s="81"/>
      <c r="K347" s="81"/>
      <c r="N347" s="81"/>
      <c r="O347" s="81"/>
      <c r="P347" s="81"/>
      <c r="Q347" s="81"/>
      <c r="R347" s="81"/>
      <c r="S347" s="81"/>
      <c r="T347" s="81"/>
      <c r="U347" s="81"/>
      <c r="V347" s="81"/>
      <c r="W347" s="81"/>
    </row>
    <row r="348" spans="2:23" ht="12.75" customHeight="1" x14ac:dyDescent="0.2">
      <c r="B348" s="81"/>
      <c r="C348" s="81"/>
      <c r="D348" s="81"/>
      <c r="E348" s="81"/>
      <c r="F348" s="81"/>
      <c r="G348" s="81"/>
      <c r="H348" s="81"/>
      <c r="I348" s="81"/>
      <c r="J348" s="81"/>
      <c r="K348" s="81"/>
      <c r="N348" s="81"/>
      <c r="O348" s="81"/>
      <c r="P348" s="81"/>
      <c r="Q348" s="81"/>
      <c r="R348" s="81"/>
      <c r="S348" s="81"/>
      <c r="T348" s="81"/>
      <c r="U348" s="81"/>
      <c r="V348" s="81"/>
      <c r="W348" s="81"/>
    </row>
    <row r="349" spans="2:23" ht="12.75" customHeight="1" x14ac:dyDescent="0.2">
      <c r="B349" s="81"/>
      <c r="C349" s="81"/>
      <c r="D349" s="81"/>
      <c r="E349" s="81"/>
      <c r="F349" s="81"/>
      <c r="G349" s="81"/>
      <c r="H349" s="81"/>
      <c r="I349" s="81"/>
      <c r="J349" s="81"/>
      <c r="K349" s="81"/>
      <c r="N349" s="81"/>
      <c r="O349" s="81"/>
      <c r="P349" s="81"/>
      <c r="Q349" s="81"/>
      <c r="R349" s="81"/>
      <c r="S349" s="81"/>
      <c r="T349" s="81"/>
      <c r="U349" s="81"/>
      <c r="V349" s="81"/>
      <c r="W349" s="81"/>
    </row>
    <row r="350" spans="2:23" ht="12.75" customHeight="1" x14ac:dyDescent="0.2">
      <c r="B350" s="81"/>
      <c r="C350" s="81"/>
      <c r="D350" s="81"/>
      <c r="E350" s="81"/>
      <c r="F350" s="81"/>
      <c r="G350" s="81"/>
      <c r="H350" s="81"/>
      <c r="I350" s="81"/>
      <c r="J350" s="81"/>
      <c r="K350" s="81"/>
      <c r="N350" s="81"/>
      <c r="O350" s="81"/>
      <c r="P350" s="81"/>
      <c r="Q350" s="81"/>
      <c r="R350" s="81"/>
      <c r="S350" s="81"/>
      <c r="T350" s="81"/>
      <c r="U350" s="81"/>
      <c r="V350" s="81"/>
      <c r="W350" s="81"/>
    </row>
    <row r="351" spans="2:23" ht="12.75" customHeight="1" x14ac:dyDescent="0.2">
      <c r="B351" s="81"/>
      <c r="C351" s="81"/>
      <c r="D351" s="81"/>
      <c r="E351" s="81"/>
      <c r="F351" s="81"/>
      <c r="G351" s="81"/>
      <c r="H351" s="81"/>
      <c r="I351" s="81"/>
      <c r="J351" s="81"/>
      <c r="K351" s="81"/>
      <c r="N351" s="81"/>
      <c r="O351" s="81"/>
      <c r="P351" s="81"/>
      <c r="Q351" s="81"/>
      <c r="R351" s="81"/>
      <c r="S351" s="81"/>
      <c r="T351" s="81"/>
      <c r="U351" s="81"/>
      <c r="V351" s="81"/>
      <c r="W351" s="81"/>
    </row>
    <row r="352" spans="2:23" ht="12.75" customHeight="1" x14ac:dyDescent="0.2">
      <c r="B352" s="81"/>
      <c r="C352" s="81"/>
      <c r="D352" s="81"/>
      <c r="E352" s="81"/>
      <c r="F352" s="81"/>
      <c r="G352" s="81"/>
      <c r="H352" s="81"/>
      <c r="I352" s="81"/>
      <c r="J352" s="81"/>
      <c r="K352" s="81"/>
      <c r="N352" s="81"/>
      <c r="O352" s="81"/>
      <c r="P352" s="81"/>
      <c r="Q352" s="81"/>
      <c r="R352" s="81"/>
      <c r="S352" s="81"/>
      <c r="T352" s="81"/>
      <c r="U352" s="81"/>
      <c r="V352" s="81"/>
      <c r="W352" s="81"/>
    </row>
    <row r="353" spans="2:23" ht="12.75" customHeight="1" x14ac:dyDescent="0.2">
      <c r="B353" s="81"/>
      <c r="C353" s="81"/>
      <c r="D353" s="81"/>
      <c r="E353" s="81"/>
      <c r="F353" s="81"/>
      <c r="G353" s="81"/>
      <c r="H353" s="81"/>
      <c r="I353" s="81"/>
      <c r="J353" s="81"/>
      <c r="K353" s="81"/>
      <c r="N353" s="81"/>
      <c r="O353" s="81"/>
      <c r="P353" s="81"/>
      <c r="Q353" s="81"/>
      <c r="R353" s="81"/>
      <c r="S353" s="81"/>
      <c r="T353" s="81"/>
      <c r="U353" s="81"/>
      <c r="V353" s="81"/>
      <c r="W353" s="81"/>
    </row>
    <row r="354" spans="2:23" ht="12.75" customHeight="1" x14ac:dyDescent="0.2">
      <c r="B354" s="81"/>
      <c r="C354" s="81"/>
      <c r="D354" s="81"/>
      <c r="E354" s="81"/>
      <c r="F354" s="81"/>
      <c r="G354" s="81"/>
      <c r="H354" s="81"/>
      <c r="I354" s="81"/>
      <c r="J354" s="81"/>
      <c r="K354" s="81"/>
      <c r="N354" s="81"/>
      <c r="O354" s="81"/>
      <c r="P354" s="81"/>
      <c r="Q354" s="81"/>
      <c r="R354" s="81"/>
      <c r="S354" s="81"/>
      <c r="T354" s="81"/>
      <c r="U354" s="81"/>
      <c r="V354" s="81"/>
      <c r="W354" s="81"/>
    </row>
    <row r="355" spans="2:23" ht="12.75" customHeight="1" x14ac:dyDescent="0.2">
      <c r="B355" s="81"/>
      <c r="C355" s="81"/>
      <c r="D355" s="81"/>
      <c r="E355" s="81"/>
      <c r="F355" s="81"/>
      <c r="G355" s="81"/>
      <c r="H355" s="81"/>
      <c r="I355" s="81"/>
      <c r="J355" s="81"/>
      <c r="K355" s="81"/>
      <c r="N355" s="81"/>
      <c r="O355" s="81"/>
      <c r="P355" s="81"/>
      <c r="Q355" s="81"/>
      <c r="R355" s="81"/>
      <c r="S355" s="81"/>
      <c r="T355" s="81"/>
      <c r="U355" s="81"/>
      <c r="V355" s="81"/>
      <c r="W355" s="81"/>
    </row>
    <row r="356" spans="2:23" ht="12.75" customHeight="1" x14ac:dyDescent="0.2">
      <c r="B356" s="81"/>
      <c r="C356" s="81"/>
      <c r="D356" s="81"/>
      <c r="E356" s="81"/>
      <c r="F356" s="81"/>
      <c r="G356" s="81"/>
      <c r="H356" s="81"/>
      <c r="I356" s="81"/>
      <c r="J356" s="81"/>
      <c r="K356" s="81"/>
      <c r="N356" s="81"/>
      <c r="O356" s="81"/>
      <c r="P356" s="81"/>
      <c r="Q356" s="81"/>
      <c r="R356" s="81"/>
      <c r="S356" s="81"/>
      <c r="T356" s="81"/>
      <c r="U356" s="81"/>
      <c r="V356" s="81"/>
      <c r="W356" s="81"/>
    </row>
    <row r="357" spans="2:23" ht="12.75" customHeight="1" x14ac:dyDescent="0.2">
      <c r="B357" s="81"/>
      <c r="C357" s="81"/>
      <c r="D357" s="81"/>
      <c r="E357" s="81"/>
      <c r="F357" s="81"/>
      <c r="G357" s="81"/>
      <c r="H357" s="81"/>
      <c r="I357" s="81"/>
      <c r="J357" s="81"/>
      <c r="K357" s="81"/>
      <c r="N357" s="81"/>
      <c r="O357" s="81"/>
      <c r="P357" s="81"/>
      <c r="Q357" s="81"/>
      <c r="R357" s="81"/>
      <c r="S357" s="81"/>
      <c r="T357" s="81"/>
      <c r="U357" s="81"/>
      <c r="V357" s="81"/>
      <c r="W357" s="81"/>
    </row>
    <row r="358" spans="2:23" ht="12.75" customHeight="1" x14ac:dyDescent="0.2">
      <c r="B358" s="81"/>
      <c r="C358" s="81"/>
      <c r="D358" s="81"/>
      <c r="E358" s="81"/>
      <c r="F358" s="81"/>
      <c r="G358" s="81"/>
      <c r="H358" s="81"/>
      <c r="I358" s="81"/>
      <c r="J358" s="81"/>
      <c r="K358" s="81"/>
      <c r="N358" s="81"/>
      <c r="O358" s="81"/>
      <c r="P358" s="81"/>
      <c r="Q358" s="81"/>
      <c r="R358" s="81"/>
      <c r="S358" s="81"/>
      <c r="T358" s="81"/>
      <c r="U358" s="81"/>
      <c r="V358" s="81"/>
      <c r="W358" s="81"/>
    </row>
    <row r="359" spans="2:23" ht="12.75" customHeight="1" x14ac:dyDescent="0.2">
      <c r="B359" s="81"/>
      <c r="C359" s="81"/>
      <c r="D359" s="81"/>
      <c r="E359" s="81"/>
      <c r="F359" s="81"/>
      <c r="G359" s="81"/>
      <c r="H359" s="81"/>
      <c r="I359" s="81"/>
      <c r="J359" s="81"/>
      <c r="K359" s="81"/>
      <c r="N359" s="81"/>
      <c r="O359" s="81"/>
      <c r="P359" s="81"/>
      <c r="Q359" s="81"/>
      <c r="R359" s="81"/>
      <c r="S359" s="81"/>
      <c r="T359" s="81"/>
      <c r="U359" s="81"/>
      <c r="V359" s="81"/>
      <c r="W359" s="81"/>
    </row>
    <row r="360" spans="2:23" ht="12.75" customHeight="1" x14ac:dyDescent="0.2">
      <c r="B360" s="81"/>
      <c r="C360" s="81"/>
      <c r="D360" s="81"/>
      <c r="E360" s="81"/>
      <c r="F360" s="81"/>
      <c r="G360" s="81"/>
      <c r="H360" s="81"/>
      <c r="I360" s="81"/>
      <c r="J360" s="81"/>
      <c r="K360" s="81"/>
      <c r="N360" s="81"/>
      <c r="O360" s="81"/>
      <c r="P360" s="81"/>
      <c r="Q360" s="81"/>
      <c r="R360" s="81"/>
      <c r="S360" s="81"/>
      <c r="T360" s="81"/>
      <c r="U360" s="81"/>
      <c r="V360" s="81"/>
      <c r="W360" s="81"/>
    </row>
    <row r="361" spans="2:23" ht="12.75" customHeight="1" x14ac:dyDescent="0.2">
      <c r="B361" s="81"/>
      <c r="C361" s="81"/>
      <c r="D361" s="81"/>
      <c r="E361" s="81"/>
      <c r="F361" s="81"/>
      <c r="G361" s="81"/>
      <c r="H361" s="81"/>
      <c r="I361" s="81"/>
      <c r="J361" s="81"/>
      <c r="K361" s="81"/>
      <c r="N361" s="81"/>
      <c r="O361" s="81"/>
      <c r="P361" s="81"/>
      <c r="Q361" s="81"/>
      <c r="R361" s="81"/>
      <c r="S361" s="81"/>
      <c r="T361" s="81"/>
      <c r="U361" s="81"/>
      <c r="V361" s="81"/>
      <c r="W361" s="81"/>
    </row>
    <row r="362" spans="2:23" ht="12.75" customHeight="1" x14ac:dyDescent="0.2">
      <c r="B362" s="81"/>
      <c r="C362" s="81"/>
      <c r="D362" s="81"/>
      <c r="E362" s="81"/>
      <c r="F362" s="81"/>
      <c r="G362" s="81"/>
      <c r="H362" s="81"/>
      <c r="I362" s="81"/>
      <c r="J362" s="81"/>
      <c r="K362" s="81"/>
      <c r="N362" s="81"/>
      <c r="O362" s="81"/>
      <c r="P362" s="81"/>
      <c r="Q362" s="81"/>
      <c r="R362" s="81"/>
      <c r="S362" s="81"/>
      <c r="T362" s="81"/>
      <c r="U362" s="81"/>
      <c r="V362" s="81"/>
      <c r="W362" s="81"/>
    </row>
    <row r="363" spans="2:23" ht="12.75" customHeight="1" x14ac:dyDescent="0.2">
      <c r="B363" s="81"/>
      <c r="C363" s="81"/>
      <c r="D363" s="81"/>
      <c r="E363" s="81"/>
      <c r="F363" s="81"/>
      <c r="G363" s="81"/>
      <c r="H363" s="81"/>
      <c r="I363" s="81"/>
      <c r="J363" s="81"/>
      <c r="K363" s="81"/>
      <c r="N363" s="81"/>
      <c r="O363" s="81"/>
      <c r="P363" s="81"/>
      <c r="Q363" s="81"/>
      <c r="R363" s="81"/>
      <c r="S363" s="81"/>
      <c r="T363" s="81"/>
      <c r="U363" s="81"/>
      <c r="V363" s="81"/>
      <c r="W363" s="81"/>
    </row>
    <row r="364" spans="2:23" ht="12.75" customHeight="1" x14ac:dyDescent="0.2">
      <c r="B364" s="81"/>
      <c r="C364" s="81"/>
      <c r="D364" s="81"/>
      <c r="E364" s="81"/>
      <c r="F364" s="81"/>
      <c r="G364" s="81"/>
      <c r="H364" s="81"/>
      <c r="I364" s="81"/>
      <c r="J364" s="81"/>
      <c r="K364" s="81"/>
      <c r="N364" s="81"/>
      <c r="O364" s="81"/>
      <c r="P364" s="81"/>
      <c r="Q364" s="81"/>
      <c r="R364" s="81"/>
      <c r="S364" s="81"/>
      <c r="T364" s="81"/>
      <c r="U364" s="81"/>
      <c r="V364" s="81"/>
      <c r="W364" s="81"/>
    </row>
    <row r="365" spans="2:23" ht="12.75" customHeight="1" x14ac:dyDescent="0.2">
      <c r="B365" s="81"/>
      <c r="C365" s="81"/>
      <c r="D365" s="81"/>
      <c r="E365" s="81"/>
      <c r="F365" s="81"/>
      <c r="G365" s="81"/>
      <c r="H365" s="81"/>
      <c r="I365" s="81"/>
      <c r="J365" s="81"/>
      <c r="K365" s="81"/>
      <c r="N365" s="81"/>
      <c r="O365" s="81"/>
      <c r="P365" s="81"/>
      <c r="Q365" s="81"/>
      <c r="R365" s="81"/>
      <c r="S365" s="81"/>
      <c r="T365" s="81"/>
      <c r="U365" s="81"/>
      <c r="V365" s="81"/>
      <c r="W365" s="81"/>
    </row>
    <row r="366" spans="2:23" ht="12.75" customHeight="1" x14ac:dyDescent="0.2">
      <c r="B366" s="81"/>
      <c r="C366" s="81"/>
      <c r="D366" s="81"/>
      <c r="E366" s="81"/>
      <c r="F366" s="81"/>
      <c r="G366" s="81"/>
      <c r="H366" s="81"/>
      <c r="I366" s="81"/>
      <c r="J366" s="81"/>
      <c r="K366" s="81"/>
      <c r="N366" s="81"/>
      <c r="O366" s="81"/>
      <c r="P366" s="81"/>
      <c r="Q366" s="81"/>
      <c r="R366" s="81"/>
      <c r="S366" s="81"/>
      <c r="T366" s="81"/>
      <c r="U366" s="81"/>
      <c r="V366" s="81"/>
      <c r="W366" s="81"/>
    </row>
    <row r="367" spans="2:23" ht="12.75" customHeight="1" x14ac:dyDescent="0.2">
      <c r="B367" s="81"/>
      <c r="C367" s="81"/>
      <c r="D367" s="81"/>
      <c r="E367" s="81"/>
      <c r="F367" s="81"/>
      <c r="G367" s="81"/>
      <c r="H367" s="81"/>
      <c r="I367" s="81"/>
      <c r="J367" s="81"/>
      <c r="K367" s="81"/>
      <c r="N367" s="81"/>
      <c r="O367" s="81"/>
      <c r="P367" s="81"/>
      <c r="Q367" s="81"/>
      <c r="R367" s="81"/>
      <c r="S367" s="81"/>
      <c r="T367" s="81"/>
      <c r="U367" s="81"/>
      <c r="V367" s="81"/>
      <c r="W367" s="81"/>
    </row>
    <row r="368" spans="2:23" ht="12.75" customHeight="1" x14ac:dyDescent="0.2">
      <c r="B368" s="81"/>
      <c r="C368" s="81"/>
      <c r="D368" s="81"/>
      <c r="E368" s="81"/>
      <c r="F368" s="81"/>
      <c r="G368" s="81"/>
      <c r="H368" s="81"/>
      <c r="I368" s="81"/>
      <c r="J368" s="81"/>
      <c r="K368" s="81"/>
      <c r="N368" s="81"/>
      <c r="O368" s="81"/>
      <c r="P368" s="81"/>
      <c r="Q368" s="81"/>
      <c r="R368" s="81"/>
      <c r="S368" s="81"/>
      <c r="T368" s="81"/>
      <c r="U368" s="81"/>
      <c r="V368" s="81"/>
      <c r="W368" s="81"/>
    </row>
    <row r="369" spans="2:23" ht="12.75" customHeight="1" x14ac:dyDescent="0.2">
      <c r="B369" s="81"/>
      <c r="C369" s="81"/>
      <c r="D369" s="81"/>
      <c r="E369" s="81"/>
      <c r="F369" s="81"/>
      <c r="G369" s="81"/>
      <c r="H369" s="81"/>
      <c r="I369" s="81"/>
      <c r="J369" s="81"/>
      <c r="K369" s="81"/>
      <c r="N369" s="81"/>
      <c r="O369" s="81"/>
      <c r="P369" s="81"/>
      <c r="Q369" s="81"/>
      <c r="R369" s="81"/>
      <c r="S369" s="81"/>
      <c r="T369" s="81"/>
      <c r="U369" s="81"/>
      <c r="V369" s="81"/>
      <c r="W369" s="81"/>
    </row>
    <row r="370" spans="2:23" ht="12.75" customHeight="1" x14ac:dyDescent="0.2">
      <c r="B370" s="81"/>
      <c r="C370" s="81"/>
      <c r="D370" s="81"/>
      <c r="E370" s="81"/>
      <c r="F370" s="81"/>
      <c r="G370" s="81"/>
      <c r="H370" s="81"/>
      <c r="I370" s="81"/>
      <c r="J370" s="81"/>
      <c r="K370" s="81"/>
      <c r="N370" s="81"/>
      <c r="O370" s="81"/>
      <c r="P370" s="81"/>
      <c r="Q370" s="81"/>
      <c r="R370" s="81"/>
      <c r="S370" s="81"/>
      <c r="T370" s="81"/>
      <c r="U370" s="81"/>
      <c r="V370" s="81"/>
      <c r="W370" s="81"/>
    </row>
    <row r="371" spans="2:23" ht="12.75" customHeight="1" x14ac:dyDescent="0.2">
      <c r="B371" s="81"/>
      <c r="C371" s="81"/>
      <c r="D371" s="81"/>
      <c r="E371" s="81"/>
      <c r="F371" s="81"/>
      <c r="G371" s="81"/>
      <c r="H371" s="81"/>
      <c r="I371" s="81"/>
      <c r="J371" s="81"/>
      <c r="K371" s="81"/>
      <c r="N371" s="81"/>
      <c r="O371" s="81"/>
      <c r="P371" s="81"/>
      <c r="Q371" s="81"/>
      <c r="R371" s="81"/>
      <c r="S371" s="81"/>
      <c r="T371" s="81"/>
      <c r="U371" s="81"/>
      <c r="V371" s="81"/>
      <c r="W371" s="81"/>
    </row>
    <row r="372" spans="2:23" ht="12.75" customHeight="1" x14ac:dyDescent="0.2">
      <c r="B372" s="81"/>
      <c r="C372" s="81"/>
      <c r="D372" s="81"/>
      <c r="E372" s="81"/>
      <c r="F372" s="81"/>
      <c r="G372" s="81"/>
      <c r="H372" s="81"/>
      <c r="I372" s="81"/>
      <c r="J372" s="81"/>
      <c r="K372" s="81"/>
      <c r="N372" s="81"/>
      <c r="O372" s="81"/>
      <c r="P372" s="81"/>
      <c r="Q372" s="81"/>
      <c r="R372" s="81"/>
      <c r="S372" s="81"/>
      <c r="T372" s="81"/>
      <c r="U372" s="81"/>
      <c r="V372" s="81"/>
      <c r="W372" s="81"/>
    </row>
    <row r="373" spans="2:23" ht="12.75" customHeight="1" x14ac:dyDescent="0.2">
      <c r="B373" s="81"/>
      <c r="C373" s="81"/>
      <c r="D373" s="81"/>
      <c r="E373" s="81"/>
      <c r="F373" s="81"/>
      <c r="G373" s="81"/>
      <c r="H373" s="81"/>
      <c r="I373" s="81"/>
      <c r="J373" s="81"/>
      <c r="K373" s="81"/>
      <c r="N373" s="81"/>
      <c r="O373" s="81"/>
      <c r="P373" s="81"/>
      <c r="Q373" s="81"/>
      <c r="R373" s="81"/>
      <c r="S373" s="81"/>
      <c r="T373" s="81"/>
      <c r="U373" s="81"/>
      <c r="V373" s="81"/>
      <c r="W373" s="81"/>
    </row>
    <row r="374" spans="2:23" ht="12.75" customHeight="1" x14ac:dyDescent="0.2">
      <c r="B374" s="81"/>
      <c r="C374" s="81"/>
      <c r="D374" s="81"/>
      <c r="E374" s="81"/>
      <c r="F374" s="81"/>
      <c r="G374" s="81"/>
      <c r="H374" s="81"/>
      <c r="I374" s="81"/>
      <c r="J374" s="81"/>
      <c r="K374" s="81"/>
      <c r="N374" s="81"/>
      <c r="O374" s="81"/>
      <c r="P374" s="81"/>
      <c r="Q374" s="81"/>
      <c r="R374" s="81"/>
      <c r="S374" s="81"/>
      <c r="T374" s="81"/>
      <c r="U374" s="81"/>
      <c r="V374" s="81"/>
      <c r="W374" s="81"/>
    </row>
    <row r="375" spans="2:23" ht="12.75" customHeight="1" x14ac:dyDescent="0.2">
      <c r="B375" s="81"/>
      <c r="C375" s="81"/>
      <c r="D375" s="81"/>
      <c r="E375" s="81"/>
      <c r="F375" s="81"/>
      <c r="G375" s="81"/>
      <c r="H375" s="81"/>
      <c r="I375" s="81"/>
      <c r="J375" s="81"/>
      <c r="K375" s="81"/>
      <c r="N375" s="81"/>
      <c r="O375" s="81"/>
      <c r="P375" s="81"/>
      <c r="Q375" s="81"/>
      <c r="R375" s="81"/>
      <c r="S375" s="81"/>
      <c r="T375" s="81"/>
      <c r="U375" s="81"/>
      <c r="V375" s="81"/>
      <c r="W375" s="81"/>
    </row>
    <row r="376" spans="2:23" ht="12.75" customHeight="1" x14ac:dyDescent="0.2">
      <c r="B376" s="81"/>
      <c r="C376" s="81"/>
      <c r="D376" s="81"/>
      <c r="E376" s="81"/>
      <c r="F376" s="81"/>
      <c r="G376" s="81"/>
      <c r="H376" s="81"/>
      <c r="I376" s="81"/>
      <c r="J376" s="81"/>
      <c r="K376" s="81"/>
      <c r="N376" s="81"/>
      <c r="O376" s="81"/>
      <c r="P376" s="81"/>
      <c r="Q376" s="81"/>
      <c r="R376" s="81"/>
      <c r="S376" s="81"/>
      <c r="T376" s="81"/>
      <c r="U376" s="81"/>
      <c r="V376" s="81"/>
      <c r="W376" s="81"/>
    </row>
    <row r="377" spans="2:23" ht="12.75" customHeight="1" x14ac:dyDescent="0.2">
      <c r="B377" s="81"/>
      <c r="C377" s="81"/>
      <c r="D377" s="81"/>
      <c r="E377" s="81"/>
      <c r="F377" s="81"/>
      <c r="G377" s="81"/>
      <c r="H377" s="81"/>
      <c r="I377" s="81"/>
      <c r="J377" s="81"/>
      <c r="K377" s="81"/>
      <c r="N377" s="81"/>
      <c r="O377" s="81"/>
      <c r="P377" s="81"/>
      <c r="Q377" s="81"/>
      <c r="R377" s="81"/>
      <c r="S377" s="81"/>
      <c r="T377" s="81"/>
      <c r="U377" s="81"/>
      <c r="V377" s="81"/>
      <c r="W377" s="81"/>
    </row>
    <row r="378" spans="2:23" ht="12.75" customHeight="1" x14ac:dyDescent="0.2">
      <c r="B378" s="81"/>
      <c r="C378" s="81"/>
      <c r="D378" s="81"/>
      <c r="E378" s="81"/>
      <c r="F378" s="81"/>
      <c r="G378" s="81"/>
      <c r="H378" s="81"/>
      <c r="I378" s="81"/>
      <c r="J378" s="81"/>
      <c r="K378" s="81"/>
      <c r="N378" s="81"/>
      <c r="O378" s="81"/>
      <c r="P378" s="81"/>
      <c r="Q378" s="81"/>
      <c r="R378" s="81"/>
      <c r="S378" s="81"/>
      <c r="T378" s="81"/>
      <c r="U378" s="81"/>
      <c r="V378" s="81"/>
      <c r="W378" s="81"/>
    </row>
    <row r="379" spans="2:23" ht="12.75" customHeight="1" x14ac:dyDescent="0.2">
      <c r="B379" s="81"/>
      <c r="C379" s="81"/>
      <c r="D379" s="81"/>
      <c r="E379" s="81"/>
      <c r="F379" s="81"/>
      <c r="G379" s="81"/>
      <c r="H379" s="81"/>
      <c r="I379" s="81"/>
      <c r="J379" s="81"/>
      <c r="K379" s="81"/>
      <c r="N379" s="81"/>
      <c r="O379" s="81"/>
      <c r="P379" s="81"/>
      <c r="Q379" s="81"/>
      <c r="R379" s="81"/>
      <c r="S379" s="81"/>
      <c r="T379" s="81"/>
      <c r="U379" s="81"/>
      <c r="V379" s="81"/>
      <c r="W379" s="81"/>
    </row>
    <row r="380" spans="2:23" ht="12.75" customHeight="1" x14ac:dyDescent="0.2">
      <c r="B380" s="81"/>
      <c r="C380" s="81"/>
      <c r="D380" s="81"/>
      <c r="E380" s="81"/>
      <c r="F380" s="81"/>
      <c r="G380" s="81"/>
      <c r="H380" s="81"/>
      <c r="I380" s="81"/>
      <c r="J380" s="81"/>
      <c r="K380" s="81"/>
      <c r="N380" s="81"/>
      <c r="O380" s="81"/>
      <c r="P380" s="81"/>
      <c r="Q380" s="81"/>
      <c r="R380" s="81"/>
      <c r="S380" s="81"/>
      <c r="T380" s="81"/>
      <c r="U380" s="81"/>
      <c r="V380" s="81"/>
      <c r="W380" s="81"/>
    </row>
    <row r="381" spans="2:23" ht="12.75" customHeight="1" x14ac:dyDescent="0.2">
      <c r="B381" s="81"/>
      <c r="C381" s="81"/>
      <c r="D381" s="81"/>
      <c r="E381" s="81"/>
      <c r="F381" s="81"/>
      <c r="G381" s="81"/>
      <c r="H381" s="81"/>
      <c r="I381" s="81"/>
      <c r="J381" s="81"/>
      <c r="K381" s="81"/>
      <c r="N381" s="81"/>
      <c r="O381" s="81"/>
      <c r="P381" s="81"/>
      <c r="Q381" s="81"/>
      <c r="R381" s="81"/>
      <c r="S381" s="81"/>
      <c r="T381" s="81"/>
      <c r="U381" s="81"/>
      <c r="V381" s="81"/>
      <c r="W381" s="81"/>
    </row>
    <row r="382" spans="2:23" ht="12.75" customHeight="1" x14ac:dyDescent="0.2">
      <c r="B382" s="81"/>
      <c r="C382" s="81"/>
      <c r="D382" s="81"/>
      <c r="E382" s="81"/>
      <c r="F382" s="81"/>
      <c r="G382" s="81"/>
      <c r="H382" s="81"/>
      <c r="I382" s="81"/>
      <c r="J382" s="81"/>
      <c r="K382" s="81"/>
      <c r="N382" s="81"/>
      <c r="O382" s="81"/>
      <c r="P382" s="81"/>
      <c r="Q382" s="81"/>
      <c r="R382" s="81"/>
      <c r="S382" s="81"/>
      <c r="T382" s="81"/>
      <c r="U382" s="81"/>
      <c r="V382" s="81"/>
      <c r="W382" s="81"/>
    </row>
    <row r="383" spans="2:23" ht="12.75" customHeight="1" x14ac:dyDescent="0.2">
      <c r="B383" s="81"/>
      <c r="C383" s="81"/>
      <c r="D383" s="81"/>
      <c r="E383" s="81"/>
      <c r="F383" s="81"/>
      <c r="G383" s="81"/>
      <c r="H383" s="81"/>
      <c r="I383" s="81"/>
      <c r="J383" s="81"/>
      <c r="K383" s="81"/>
      <c r="N383" s="81"/>
      <c r="O383" s="81"/>
      <c r="P383" s="81"/>
      <c r="Q383" s="81"/>
      <c r="R383" s="81"/>
      <c r="S383" s="81"/>
      <c r="T383" s="81"/>
      <c r="U383" s="81"/>
      <c r="V383" s="81"/>
      <c r="W383" s="81"/>
    </row>
    <row r="384" spans="2:23" ht="12.75" customHeight="1" x14ac:dyDescent="0.2">
      <c r="B384" s="81"/>
      <c r="C384" s="81"/>
      <c r="D384" s="81"/>
      <c r="E384" s="81"/>
      <c r="F384" s="81"/>
      <c r="G384" s="81"/>
      <c r="H384" s="81"/>
      <c r="I384" s="81"/>
      <c r="J384" s="81"/>
      <c r="K384" s="81"/>
      <c r="N384" s="81"/>
      <c r="O384" s="81"/>
      <c r="P384" s="81"/>
      <c r="Q384" s="81"/>
      <c r="R384" s="81"/>
      <c r="S384" s="81"/>
      <c r="T384" s="81"/>
      <c r="U384" s="81"/>
      <c r="V384" s="81"/>
      <c r="W384" s="81"/>
    </row>
    <row r="385" spans="2:23" ht="12.75" customHeight="1" x14ac:dyDescent="0.2">
      <c r="B385" s="81"/>
      <c r="C385" s="81"/>
      <c r="D385" s="81"/>
      <c r="E385" s="81"/>
      <c r="F385" s="81"/>
      <c r="G385" s="81"/>
      <c r="H385" s="81"/>
      <c r="I385" s="81"/>
      <c r="J385" s="81"/>
      <c r="K385" s="81"/>
      <c r="N385" s="81"/>
      <c r="O385" s="81"/>
      <c r="P385" s="81"/>
      <c r="Q385" s="81"/>
      <c r="R385" s="81"/>
      <c r="S385" s="81"/>
      <c r="T385" s="81"/>
      <c r="U385" s="81"/>
      <c r="V385" s="81"/>
      <c r="W385" s="81"/>
    </row>
    <row r="386" spans="2:23" ht="12.75" customHeight="1" x14ac:dyDescent="0.2">
      <c r="B386" s="81"/>
      <c r="C386" s="81"/>
      <c r="D386" s="81"/>
      <c r="E386" s="81"/>
      <c r="F386" s="81"/>
      <c r="G386" s="81"/>
      <c r="H386" s="81"/>
      <c r="I386" s="81"/>
      <c r="J386" s="81"/>
      <c r="K386" s="81"/>
      <c r="N386" s="81"/>
      <c r="O386" s="81"/>
      <c r="P386" s="81"/>
      <c r="Q386" s="81"/>
      <c r="R386" s="81"/>
      <c r="S386" s="81"/>
      <c r="T386" s="81"/>
      <c r="U386" s="81"/>
      <c r="V386" s="81"/>
      <c r="W386" s="81"/>
    </row>
    <row r="387" spans="2:23" ht="12.75" customHeight="1" x14ac:dyDescent="0.2">
      <c r="B387" s="81"/>
      <c r="C387" s="81"/>
      <c r="D387" s="81"/>
      <c r="E387" s="81"/>
      <c r="F387" s="81"/>
      <c r="G387" s="81"/>
      <c r="H387" s="81"/>
      <c r="I387" s="81"/>
      <c r="J387" s="81"/>
      <c r="K387" s="81"/>
      <c r="N387" s="81"/>
      <c r="O387" s="81"/>
      <c r="P387" s="81"/>
      <c r="Q387" s="81"/>
      <c r="R387" s="81"/>
      <c r="S387" s="81"/>
      <c r="T387" s="81"/>
      <c r="U387" s="81"/>
      <c r="V387" s="81"/>
      <c r="W387" s="81"/>
    </row>
    <row r="388" spans="2:23" ht="12.75" customHeight="1" x14ac:dyDescent="0.2">
      <c r="B388" s="81"/>
      <c r="C388" s="81"/>
      <c r="D388" s="81"/>
      <c r="E388" s="81"/>
      <c r="F388" s="81"/>
      <c r="G388" s="81"/>
      <c r="H388" s="81"/>
      <c r="I388" s="81"/>
      <c r="J388" s="81"/>
      <c r="K388" s="81"/>
      <c r="N388" s="81"/>
      <c r="O388" s="81"/>
      <c r="P388" s="81"/>
      <c r="Q388" s="81"/>
      <c r="R388" s="81"/>
      <c r="S388" s="81"/>
      <c r="T388" s="81"/>
      <c r="U388" s="81"/>
      <c r="V388" s="81"/>
      <c r="W388" s="81"/>
    </row>
    <row r="389" spans="2:23" ht="12.75" customHeight="1" x14ac:dyDescent="0.2">
      <c r="B389" s="81"/>
      <c r="C389" s="81"/>
      <c r="D389" s="81"/>
      <c r="E389" s="81"/>
      <c r="F389" s="81"/>
      <c r="G389" s="81"/>
      <c r="H389" s="81"/>
      <c r="I389" s="81"/>
      <c r="J389" s="81"/>
      <c r="K389" s="81"/>
      <c r="N389" s="81"/>
      <c r="O389" s="81"/>
      <c r="P389" s="81"/>
      <c r="Q389" s="81"/>
      <c r="R389" s="81"/>
      <c r="S389" s="81"/>
      <c r="T389" s="81"/>
      <c r="U389" s="81"/>
      <c r="V389" s="81"/>
      <c r="W389" s="81"/>
    </row>
    <row r="390" spans="2:23" ht="12.75" customHeight="1" x14ac:dyDescent="0.2">
      <c r="B390" s="81"/>
      <c r="C390" s="81"/>
      <c r="D390" s="81"/>
      <c r="E390" s="81"/>
      <c r="F390" s="81"/>
      <c r="G390" s="81"/>
      <c r="H390" s="81"/>
      <c r="I390" s="81"/>
      <c r="J390" s="81"/>
      <c r="K390" s="81"/>
      <c r="N390" s="81"/>
      <c r="O390" s="81"/>
      <c r="P390" s="81"/>
      <c r="Q390" s="81"/>
      <c r="R390" s="81"/>
      <c r="S390" s="81"/>
      <c r="T390" s="81"/>
      <c r="U390" s="81"/>
      <c r="V390" s="81"/>
      <c r="W390" s="81"/>
    </row>
    <row r="391" spans="2:23" ht="12.75" customHeight="1" x14ac:dyDescent="0.2">
      <c r="B391" s="81"/>
      <c r="C391" s="81"/>
      <c r="D391" s="81"/>
      <c r="E391" s="81"/>
      <c r="F391" s="81"/>
      <c r="G391" s="81"/>
      <c r="H391" s="81"/>
      <c r="I391" s="81"/>
      <c r="J391" s="81"/>
      <c r="K391" s="81"/>
      <c r="N391" s="81"/>
      <c r="O391" s="81"/>
      <c r="P391" s="81"/>
      <c r="Q391" s="81"/>
      <c r="R391" s="81"/>
      <c r="S391" s="81"/>
      <c r="T391" s="81"/>
      <c r="U391" s="81"/>
      <c r="V391" s="81"/>
      <c r="W391" s="81"/>
    </row>
    <row r="392" spans="2:23" ht="12.75" customHeight="1" x14ac:dyDescent="0.2">
      <c r="B392" s="81"/>
      <c r="C392" s="81"/>
      <c r="D392" s="81"/>
      <c r="E392" s="81"/>
      <c r="F392" s="81"/>
      <c r="G392" s="81"/>
      <c r="H392" s="81"/>
      <c r="I392" s="81"/>
      <c r="J392" s="81"/>
      <c r="K392" s="81"/>
      <c r="N392" s="81"/>
      <c r="O392" s="81"/>
      <c r="P392" s="81"/>
      <c r="Q392" s="81"/>
      <c r="R392" s="81"/>
      <c r="S392" s="81"/>
      <c r="T392" s="81"/>
      <c r="U392" s="81"/>
      <c r="V392" s="81"/>
      <c r="W392" s="81"/>
    </row>
    <row r="393" spans="2:23" ht="12.75" customHeight="1" x14ac:dyDescent="0.2">
      <c r="B393" s="81"/>
      <c r="C393" s="81"/>
      <c r="D393" s="81"/>
      <c r="E393" s="81"/>
      <c r="F393" s="81"/>
      <c r="G393" s="81"/>
      <c r="H393" s="81"/>
      <c r="I393" s="81"/>
      <c r="J393" s="81"/>
      <c r="K393" s="81"/>
      <c r="N393" s="81"/>
      <c r="O393" s="81"/>
      <c r="P393" s="81"/>
      <c r="Q393" s="81"/>
      <c r="R393" s="81"/>
      <c r="S393" s="81"/>
      <c r="T393" s="81"/>
      <c r="U393" s="81"/>
      <c r="V393" s="81"/>
      <c r="W393" s="81"/>
    </row>
    <row r="394" spans="2:23" ht="12.75" customHeight="1" x14ac:dyDescent="0.2">
      <c r="B394" s="81"/>
      <c r="C394" s="81"/>
      <c r="D394" s="81"/>
      <c r="E394" s="81"/>
      <c r="F394" s="81"/>
      <c r="G394" s="81"/>
      <c r="H394" s="81"/>
      <c r="I394" s="81"/>
      <c r="J394" s="81"/>
      <c r="K394" s="81"/>
      <c r="N394" s="81"/>
      <c r="O394" s="81"/>
      <c r="P394" s="81"/>
      <c r="Q394" s="81"/>
      <c r="R394" s="81"/>
      <c r="S394" s="81"/>
      <c r="T394" s="81"/>
      <c r="U394" s="81"/>
      <c r="V394" s="81"/>
      <c r="W394" s="81"/>
    </row>
    <row r="395" spans="2:23" ht="12.75" customHeight="1" x14ac:dyDescent="0.2">
      <c r="B395" s="81"/>
      <c r="C395" s="81"/>
      <c r="D395" s="81"/>
      <c r="E395" s="81"/>
      <c r="F395" s="81"/>
      <c r="G395" s="81"/>
      <c r="H395" s="81"/>
      <c r="I395" s="81"/>
      <c r="J395" s="81"/>
      <c r="K395" s="81"/>
      <c r="N395" s="81"/>
      <c r="O395" s="81"/>
      <c r="P395" s="81"/>
      <c r="Q395" s="81"/>
      <c r="R395" s="81"/>
      <c r="S395" s="81"/>
      <c r="T395" s="81"/>
      <c r="U395" s="81"/>
      <c r="V395" s="81"/>
      <c r="W395" s="81"/>
    </row>
    <row r="396" spans="2:23" ht="12.75" customHeight="1" x14ac:dyDescent="0.2">
      <c r="B396" s="81"/>
      <c r="C396" s="81"/>
      <c r="D396" s="81"/>
      <c r="E396" s="81"/>
      <c r="F396" s="81"/>
      <c r="G396" s="81"/>
      <c r="H396" s="81"/>
      <c r="I396" s="81"/>
      <c r="J396" s="81"/>
      <c r="K396" s="81"/>
      <c r="N396" s="81"/>
      <c r="O396" s="81"/>
      <c r="P396" s="81"/>
      <c r="Q396" s="81"/>
      <c r="R396" s="81"/>
      <c r="S396" s="81"/>
      <c r="T396" s="81"/>
      <c r="U396" s="81"/>
      <c r="V396" s="81"/>
      <c r="W396" s="81"/>
    </row>
    <row r="397" spans="2:23" ht="12.75" customHeight="1" x14ac:dyDescent="0.2">
      <c r="B397" s="81"/>
      <c r="C397" s="81"/>
      <c r="D397" s="81"/>
      <c r="E397" s="81"/>
      <c r="F397" s="81"/>
      <c r="G397" s="81"/>
      <c r="H397" s="81"/>
      <c r="I397" s="81"/>
      <c r="J397" s="81"/>
      <c r="K397" s="81"/>
      <c r="N397" s="81"/>
      <c r="O397" s="81"/>
      <c r="P397" s="81"/>
      <c r="Q397" s="81"/>
      <c r="R397" s="81"/>
      <c r="S397" s="81"/>
      <c r="T397" s="81"/>
      <c r="U397" s="81"/>
      <c r="V397" s="81"/>
      <c r="W397" s="81"/>
    </row>
    <row r="398" spans="2:23" ht="12.75" customHeight="1" x14ac:dyDescent="0.2">
      <c r="B398" s="81"/>
      <c r="C398" s="81"/>
      <c r="D398" s="81"/>
      <c r="E398" s="81"/>
      <c r="F398" s="81"/>
      <c r="G398" s="81"/>
      <c r="H398" s="81"/>
      <c r="I398" s="81"/>
      <c r="J398" s="81"/>
      <c r="K398" s="81"/>
      <c r="N398" s="81"/>
      <c r="O398" s="81"/>
      <c r="P398" s="81"/>
      <c r="Q398" s="81"/>
      <c r="R398" s="81"/>
      <c r="S398" s="81"/>
      <c r="T398" s="81"/>
      <c r="U398" s="81"/>
      <c r="V398" s="81"/>
      <c r="W398" s="81"/>
    </row>
    <row r="399" spans="2:23" ht="12.75" customHeight="1" x14ac:dyDescent="0.2">
      <c r="B399" s="81"/>
      <c r="C399" s="81"/>
      <c r="D399" s="81"/>
      <c r="E399" s="81"/>
      <c r="F399" s="81"/>
      <c r="G399" s="81"/>
      <c r="H399" s="81"/>
      <c r="I399" s="81"/>
      <c r="J399" s="81"/>
      <c r="K399" s="81"/>
      <c r="N399" s="81"/>
      <c r="O399" s="81"/>
      <c r="P399" s="81"/>
      <c r="Q399" s="81"/>
      <c r="R399" s="81"/>
      <c r="S399" s="81"/>
      <c r="T399" s="81"/>
      <c r="U399" s="81"/>
      <c r="V399" s="81"/>
      <c r="W399" s="81"/>
    </row>
    <row r="400" spans="2:23" ht="12.75" customHeight="1" x14ac:dyDescent="0.2">
      <c r="B400" s="81"/>
      <c r="C400" s="81"/>
      <c r="D400" s="81"/>
      <c r="E400" s="81"/>
      <c r="F400" s="81"/>
      <c r="G400" s="81"/>
      <c r="H400" s="81"/>
      <c r="I400" s="81"/>
      <c r="J400" s="81"/>
      <c r="K400" s="81"/>
      <c r="N400" s="81"/>
      <c r="O400" s="81"/>
      <c r="P400" s="81"/>
      <c r="Q400" s="81"/>
      <c r="R400" s="81"/>
      <c r="S400" s="81"/>
      <c r="T400" s="81"/>
      <c r="U400" s="81"/>
      <c r="V400" s="81"/>
      <c r="W400" s="81"/>
    </row>
    <row r="401" spans="2:23" ht="12.75" customHeight="1" x14ac:dyDescent="0.2">
      <c r="B401" s="81"/>
      <c r="C401" s="81"/>
      <c r="D401" s="81"/>
      <c r="E401" s="81"/>
      <c r="F401" s="81"/>
      <c r="G401" s="81"/>
      <c r="H401" s="81"/>
      <c r="I401" s="81"/>
      <c r="J401" s="81"/>
      <c r="K401" s="81"/>
      <c r="N401" s="81"/>
      <c r="O401" s="81"/>
      <c r="P401" s="81"/>
      <c r="Q401" s="81"/>
      <c r="R401" s="81"/>
      <c r="S401" s="81"/>
      <c r="T401" s="81"/>
      <c r="U401" s="81"/>
      <c r="V401" s="81"/>
      <c r="W401" s="81"/>
    </row>
    <row r="402" spans="2:23" ht="12.75" customHeight="1" x14ac:dyDescent="0.2">
      <c r="B402" s="81"/>
      <c r="C402" s="81"/>
      <c r="D402" s="81"/>
      <c r="E402" s="81"/>
      <c r="F402" s="81"/>
      <c r="G402" s="81"/>
      <c r="H402" s="81"/>
      <c r="I402" s="81"/>
      <c r="J402" s="81"/>
      <c r="K402" s="81"/>
      <c r="N402" s="81"/>
      <c r="O402" s="81"/>
      <c r="P402" s="81"/>
      <c r="Q402" s="81"/>
      <c r="R402" s="81"/>
      <c r="S402" s="81"/>
      <c r="T402" s="81"/>
      <c r="U402" s="81"/>
      <c r="V402" s="81"/>
      <c r="W402" s="81"/>
    </row>
    <row r="403" spans="2:23" ht="12.75" customHeight="1" x14ac:dyDescent="0.2">
      <c r="B403" s="81"/>
      <c r="C403" s="81"/>
      <c r="D403" s="81"/>
      <c r="E403" s="81"/>
      <c r="F403" s="81"/>
      <c r="G403" s="81"/>
      <c r="H403" s="81"/>
      <c r="I403" s="81"/>
      <c r="J403" s="81"/>
      <c r="K403" s="81"/>
      <c r="N403" s="81"/>
      <c r="O403" s="81"/>
      <c r="P403" s="81"/>
      <c r="Q403" s="81"/>
      <c r="R403" s="81"/>
      <c r="S403" s="81"/>
      <c r="T403" s="81"/>
      <c r="U403" s="81"/>
      <c r="V403" s="81"/>
      <c r="W403" s="81"/>
    </row>
    <row r="404" spans="2:23" ht="12.75" customHeight="1" x14ac:dyDescent="0.2">
      <c r="B404" s="81"/>
      <c r="C404" s="81"/>
      <c r="D404" s="81"/>
      <c r="E404" s="81"/>
      <c r="F404" s="81"/>
      <c r="G404" s="81"/>
      <c r="H404" s="81"/>
      <c r="I404" s="81"/>
      <c r="J404" s="81"/>
      <c r="K404" s="81"/>
      <c r="N404" s="81"/>
      <c r="O404" s="81"/>
      <c r="P404" s="81"/>
      <c r="Q404" s="81"/>
      <c r="R404" s="81"/>
      <c r="S404" s="81"/>
      <c r="T404" s="81"/>
      <c r="U404" s="81"/>
      <c r="V404" s="81"/>
      <c r="W404" s="81"/>
    </row>
    <row r="405" spans="2:23" ht="12.75" customHeight="1" x14ac:dyDescent="0.2">
      <c r="B405" s="81"/>
      <c r="C405" s="81"/>
      <c r="D405" s="81"/>
      <c r="E405" s="81"/>
      <c r="F405" s="81"/>
      <c r="G405" s="81"/>
      <c r="H405" s="81"/>
      <c r="I405" s="81"/>
      <c r="J405" s="81"/>
      <c r="K405" s="81"/>
      <c r="N405" s="81"/>
      <c r="O405" s="81"/>
      <c r="P405" s="81"/>
      <c r="Q405" s="81"/>
      <c r="R405" s="81"/>
      <c r="S405" s="81"/>
      <c r="T405" s="81"/>
      <c r="U405" s="81"/>
      <c r="V405" s="81"/>
      <c r="W405" s="81"/>
    </row>
    <row r="406" spans="2:23" ht="12.75" customHeight="1" x14ac:dyDescent="0.2">
      <c r="B406" s="81"/>
      <c r="C406" s="81"/>
      <c r="D406" s="81"/>
      <c r="E406" s="81"/>
      <c r="F406" s="81"/>
      <c r="G406" s="81"/>
      <c r="H406" s="81"/>
      <c r="I406" s="81"/>
      <c r="J406" s="81"/>
      <c r="K406" s="81"/>
      <c r="N406" s="81"/>
      <c r="O406" s="81"/>
      <c r="P406" s="81"/>
      <c r="Q406" s="81"/>
      <c r="R406" s="81"/>
      <c r="S406" s="81"/>
      <c r="T406" s="81"/>
      <c r="U406" s="81"/>
      <c r="V406" s="81"/>
      <c r="W406" s="81"/>
    </row>
    <row r="407" spans="2:23" ht="12.75" customHeight="1" x14ac:dyDescent="0.2">
      <c r="B407" s="81"/>
      <c r="C407" s="81"/>
      <c r="D407" s="81"/>
      <c r="E407" s="81"/>
      <c r="F407" s="81"/>
      <c r="G407" s="81"/>
      <c r="H407" s="81"/>
      <c r="I407" s="81"/>
      <c r="J407" s="81"/>
      <c r="K407" s="81"/>
      <c r="N407" s="81"/>
      <c r="O407" s="81"/>
      <c r="P407" s="81"/>
      <c r="Q407" s="81"/>
      <c r="R407" s="81"/>
      <c r="S407" s="81"/>
      <c r="T407" s="81"/>
      <c r="U407" s="81"/>
      <c r="V407" s="81"/>
      <c r="W407" s="81"/>
    </row>
    <row r="408" spans="2:23" ht="12.75" customHeight="1" x14ac:dyDescent="0.2">
      <c r="B408" s="81"/>
      <c r="C408" s="81"/>
      <c r="D408" s="81"/>
      <c r="E408" s="81"/>
      <c r="F408" s="81"/>
      <c r="G408" s="81"/>
      <c r="H408" s="81"/>
      <c r="I408" s="81"/>
      <c r="J408" s="81"/>
      <c r="K408" s="81"/>
      <c r="N408" s="81"/>
      <c r="O408" s="81"/>
      <c r="P408" s="81"/>
      <c r="Q408" s="81"/>
      <c r="R408" s="81"/>
      <c r="S408" s="81"/>
      <c r="T408" s="81"/>
      <c r="U408" s="81"/>
      <c r="V408" s="81"/>
      <c r="W408" s="81"/>
    </row>
    <row r="409" spans="2:23" ht="12.75" customHeight="1" x14ac:dyDescent="0.2">
      <c r="B409" s="81"/>
      <c r="C409" s="81"/>
      <c r="D409" s="81"/>
      <c r="E409" s="81"/>
      <c r="F409" s="81"/>
      <c r="G409" s="81"/>
      <c r="H409" s="81"/>
      <c r="I409" s="81"/>
      <c r="J409" s="81"/>
      <c r="K409" s="81"/>
      <c r="N409" s="81"/>
      <c r="O409" s="81"/>
      <c r="P409" s="81"/>
      <c r="Q409" s="81"/>
      <c r="R409" s="81"/>
      <c r="S409" s="81"/>
      <c r="T409" s="81"/>
      <c r="U409" s="81"/>
      <c r="V409" s="81"/>
      <c r="W409" s="81"/>
    </row>
    <row r="410" spans="2:23" ht="12.75" customHeight="1" x14ac:dyDescent="0.2">
      <c r="B410" s="81"/>
      <c r="C410" s="81"/>
      <c r="D410" s="81"/>
      <c r="E410" s="81"/>
      <c r="F410" s="81"/>
      <c r="G410" s="81"/>
      <c r="H410" s="81"/>
      <c r="I410" s="81"/>
      <c r="J410" s="81"/>
      <c r="K410" s="81"/>
      <c r="N410" s="81"/>
      <c r="O410" s="81"/>
      <c r="P410" s="81"/>
      <c r="Q410" s="81"/>
      <c r="R410" s="81"/>
      <c r="S410" s="81"/>
      <c r="T410" s="81"/>
      <c r="U410" s="81"/>
      <c r="V410" s="81"/>
      <c r="W410" s="81"/>
    </row>
    <row r="411" spans="2:23" ht="12.75" customHeight="1" x14ac:dyDescent="0.2">
      <c r="B411" s="81"/>
      <c r="C411" s="81"/>
      <c r="D411" s="81"/>
      <c r="E411" s="81"/>
      <c r="F411" s="81"/>
      <c r="G411" s="81"/>
      <c r="H411" s="81"/>
      <c r="I411" s="81"/>
      <c r="J411" s="81"/>
      <c r="K411" s="81"/>
      <c r="N411" s="81"/>
      <c r="O411" s="81"/>
      <c r="P411" s="81"/>
      <c r="Q411" s="81"/>
      <c r="R411" s="81"/>
      <c r="S411" s="81"/>
      <c r="T411" s="81"/>
      <c r="U411" s="81"/>
      <c r="V411" s="81"/>
      <c r="W411" s="81"/>
    </row>
    <row r="412" spans="2:23" ht="12.75" customHeight="1" x14ac:dyDescent="0.2">
      <c r="B412" s="81"/>
      <c r="C412" s="81"/>
      <c r="D412" s="81"/>
      <c r="E412" s="81"/>
      <c r="F412" s="81"/>
      <c r="G412" s="81"/>
      <c r="H412" s="81"/>
      <c r="I412" s="81"/>
      <c r="J412" s="81"/>
      <c r="K412" s="81"/>
      <c r="N412" s="81"/>
      <c r="O412" s="81"/>
      <c r="P412" s="81"/>
      <c r="Q412" s="81"/>
      <c r="R412" s="81"/>
      <c r="S412" s="81"/>
      <c r="T412" s="81"/>
      <c r="U412" s="81"/>
      <c r="V412" s="81"/>
      <c r="W412" s="81"/>
    </row>
    <row r="413" spans="2:23" ht="12.75" customHeight="1" x14ac:dyDescent="0.2">
      <c r="B413" s="81"/>
      <c r="C413" s="81"/>
      <c r="D413" s="81"/>
      <c r="E413" s="81"/>
      <c r="F413" s="81"/>
      <c r="G413" s="81"/>
      <c r="H413" s="81"/>
      <c r="I413" s="81"/>
      <c r="J413" s="81"/>
      <c r="K413" s="81"/>
      <c r="N413" s="81"/>
      <c r="O413" s="81"/>
      <c r="P413" s="81"/>
      <c r="Q413" s="81"/>
      <c r="R413" s="81"/>
      <c r="S413" s="81"/>
      <c r="T413" s="81"/>
      <c r="U413" s="81"/>
      <c r="V413" s="81"/>
      <c r="W413" s="81"/>
    </row>
    <row r="414" spans="2:23" ht="12.75" customHeight="1" x14ac:dyDescent="0.2">
      <c r="B414" s="81"/>
      <c r="C414" s="81"/>
      <c r="D414" s="81"/>
      <c r="E414" s="81"/>
      <c r="F414" s="81"/>
      <c r="G414" s="81"/>
      <c r="H414" s="81"/>
      <c r="I414" s="81"/>
      <c r="J414" s="81"/>
      <c r="K414" s="81"/>
      <c r="N414" s="81"/>
      <c r="O414" s="81"/>
      <c r="P414" s="81"/>
      <c r="Q414" s="81"/>
      <c r="R414" s="81"/>
      <c r="S414" s="81"/>
      <c r="T414" s="81"/>
      <c r="U414" s="81"/>
      <c r="V414" s="81"/>
      <c r="W414" s="81"/>
    </row>
    <row r="415" spans="2:23" ht="12.75" customHeight="1" x14ac:dyDescent="0.2">
      <c r="B415" s="81"/>
      <c r="C415" s="81"/>
      <c r="D415" s="81"/>
      <c r="E415" s="81"/>
      <c r="F415" s="81"/>
      <c r="G415" s="81"/>
      <c r="H415" s="81"/>
      <c r="I415" s="81"/>
      <c r="J415" s="81"/>
      <c r="K415" s="81"/>
      <c r="N415" s="81"/>
      <c r="O415" s="81"/>
      <c r="P415" s="81"/>
      <c r="Q415" s="81"/>
      <c r="R415" s="81"/>
      <c r="S415" s="81"/>
      <c r="T415" s="81"/>
      <c r="U415" s="81"/>
      <c r="V415" s="81"/>
      <c r="W415" s="81"/>
    </row>
    <row r="416" spans="2:23" ht="12.75" customHeight="1" x14ac:dyDescent="0.2">
      <c r="B416" s="81"/>
      <c r="C416" s="81"/>
      <c r="D416" s="81"/>
      <c r="E416" s="81"/>
      <c r="F416" s="81"/>
      <c r="G416" s="81"/>
      <c r="H416" s="81"/>
      <c r="I416" s="81"/>
      <c r="J416" s="81"/>
      <c r="K416" s="81"/>
      <c r="N416" s="81"/>
      <c r="O416" s="81"/>
      <c r="P416" s="81"/>
      <c r="Q416" s="81"/>
      <c r="R416" s="81"/>
      <c r="S416" s="81"/>
      <c r="T416" s="81"/>
      <c r="U416" s="81"/>
      <c r="V416" s="81"/>
      <c r="W416" s="81"/>
    </row>
    <row r="417" spans="2:23" ht="12.75" customHeight="1" x14ac:dyDescent="0.2">
      <c r="B417" s="81"/>
      <c r="C417" s="81"/>
      <c r="D417" s="81"/>
      <c r="E417" s="81"/>
      <c r="F417" s="81"/>
      <c r="G417" s="81"/>
      <c r="H417" s="81"/>
      <c r="I417" s="81"/>
      <c r="J417" s="81"/>
      <c r="K417" s="81"/>
      <c r="N417" s="81"/>
      <c r="O417" s="81"/>
      <c r="P417" s="81"/>
      <c r="Q417" s="81"/>
      <c r="R417" s="81"/>
      <c r="S417" s="81"/>
      <c r="T417" s="81"/>
      <c r="U417" s="81"/>
      <c r="V417" s="81"/>
      <c r="W417" s="81"/>
    </row>
    <row r="418" spans="2:23" ht="12.75" customHeight="1" x14ac:dyDescent="0.2">
      <c r="B418" s="81"/>
      <c r="C418" s="81"/>
      <c r="D418" s="81"/>
      <c r="E418" s="81"/>
      <c r="F418" s="81"/>
      <c r="G418" s="81"/>
      <c r="H418" s="81"/>
      <c r="I418" s="81"/>
      <c r="J418" s="81"/>
      <c r="K418" s="81"/>
      <c r="N418" s="81"/>
      <c r="O418" s="81"/>
      <c r="P418" s="81"/>
      <c r="Q418" s="81"/>
      <c r="R418" s="81"/>
      <c r="S418" s="81"/>
      <c r="T418" s="81"/>
      <c r="U418" s="81"/>
      <c r="V418" s="81"/>
      <c r="W418" s="81"/>
    </row>
    <row r="419" spans="2:23" ht="12.75" customHeight="1" x14ac:dyDescent="0.2">
      <c r="B419" s="81"/>
      <c r="C419" s="81"/>
      <c r="D419" s="81"/>
      <c r="E419" s="81"/>
      <c r="F419" s="81"/>
      <c r="G419" s="81"/>
      <c r="H419" s="81"/>
      <c r="I419" s="81"/>
      <c r="J419" s="81"/>
      <c r="K419" s="81"/>
      <c r="N419" s="81"/>
      <c r="O419" s="81"/>
      <c r="P419" s="81"/>
      <c r="Q419" s="81"/>
      <c r="R419" s="81"/>
      <c r="S419" s="81"/>
      <c r="T419" s="81"/>
      <c r="U419" s="81"/>
      <c r="V419" s="81"/>
      <c r="W419" s="81"/>
    </row>
    <row r="420" spans="2:23" ht="12.75" customHeight="1" x14ac:dyDescent="0.2">
      <c r="B420" s="81"/>
      <c r="C420" s="81"/>
      <c r="D420" s="81"/>
      <c r="E420" s="81"/>
      <c r="F420" s="81"/>
      <c r="G420" s="81"/>
      <c r="H420" s="81"/>
      <c r="I420" s="81"/>
      <c r="J420" s="81"/>
      <c r="K420" s="81"/>
      <c r="N420" s="81"/>
      <c r="O420" s="81"/>
      <c r="P420" s="81"/>
      <c r="Q420" s="81"/>
      <c r="R420" s="81"/>
      <c r="S420" s="81"/>
      <c r="T420" s="81"/>
      <c r="U420" s="81"/>
      <c r="V420" s="81"/>
      <c r="W420" s="81"/>
    </row>
    <row r="421" spans="2:23" ht="12.75" customHeight="1" x14ac:dyDescent="0.2">
      <c r="B421" s="81"/>
      <c r="C421" s="81"/>
      <c r="D421" s="81"/>
      <c r="E421" s="81"/>
      <c r="F421" s="81"/>
      <c r="G421" s="81"/>
      <c r="H421" s="81"/>
      <c r="I421" s="81"/>
      <c r="J421" s="81"/>
      <c r="K421" s="81"/>
      <c r="N421" s="81"/>
      <c r="O421" s="81"/>
      <c r="P421" s="81"/>
      <c r="Q421" s="81"/>
      <c r="R421" s="81"/>
      <c r="S421" s="81"/>
      <c r="T421" s="81"/>
      <c r="U421" s="81"/>
      <c r="V421" s="81"/>
      <c r="W421" s="81"/>
    </row>
    <row r="422" spans="2:23" ht="12.75" customHeight="1" x14ac:dyDescent="0.2">
      <c r="B422" s="81"/>
      <c r="C422" s="81"/>
      <c r="D422" s="81"/>
      <c r="E422" s="81"/>
      <c r="F422" s="81"/>
      <c r="G422" s="81"/>
      <c r="H422" s="81"/>
      <c r="I422" s="81"/>
      <c r="J422" s="81"/>
      <c r="K422" s="81"/>
      <c r="N422" s="81"/>
      <c r="O422" s="81"/>
      <c r="P422" s="81"/>
      <c r="Q422" s="81"/>
      <c r="R422" s="81"/>
      <c r="S422" s="81"/>
      <c r="T422" s="81"/>
      <c r="U422" s="81"/>
      <c r="V422" s="81"/>
      <c r="W422" s="81"/>
    </row>
    <row r="423" spans="2:23" ht="12.75" customHeight="1" x14ac:dyDescent="0.2">
      <c r="B423" s="81"/>
      <c r="C423" s="81"/>
      <c r="D423" s="81"/>
      <c r="E423" s="81"/>
      <c r="F423" s="81"/>
      <c r="G423" s="81"/>
      <c r="H423" s="81"/>
      <c r="I423" s="81"/>
      <c r="J423" s="81"/>
      <c r="K423" s="81"/>
      <c r="N423" s="81"/>
      <c r="O423" s="81"/>
      <c r="P423" s="81"/>
      <c r="Q423" s="81"/>
      <c r="R423" s="81"/>
      <c r="S423" s="81"/>
      <c r="T423" s="81"/>
      <c r="U423" s="81"/>
      <c r="V423" s="81"/>
      <c r="W423" s="81"/>
    </row>
    <row r="424" spans="2:23" ht="12.75" customHeight="1" x14ac:dyDescent="0.2">
      <c r="B424" s="81"/>
      <c r="C424" s="81"/>
      <c r="D424" s="81"/>
      <c r="E424" s="81"/>
      <c r="F424" s="81"/>
      <c r="G424" s="81"/>
      <c r="H424" s="81"/>
      <c r="I424" s="81"/>
      <c r="J424" s="81"/>
      <c r="K424" s="81"/>
      <c r="N424" s="81"/>
      <c r="O424" s="81"/>
      <c r="P424" s="81"/>
      <c r="Q424" s="81"/>
      <c r="R424" s="81"/>
      <c r="S424" s="81"/>
      <c r="T424" s="81"/>
      <c r="U424" s="81"/>
      <c r="V424" s="81"/>
      <c r="W424" s="81"/>
    </row>
    <row r="425" spans="2:23" ht="12.75" customHeight="1" x14ac:dyDescent="0.2">
      <c r="B425" s="81"/>
      <c r="C425" s="81"/>
      <c r="D425" s="81"/>
      <c r="E425" s="81"/>
      <c r="F425" s="81"/>
      <c r="G425" s="81"/>
      <c r="H425" s="81"/>
      <c r="I425" s="81"/>
      <c r="J425" s="81"/>
      <c r="K425" s="81"/>
      <c r="N425" s="81"/>
      <c r="O425" s="81"/>
      <c r="P425" s="81"/>
      <c r="Q425" s="81"/>
      <c r="R425" s="81"/>
      <c r="S425" s="81"/>
      <c r="T425" s="81"/>
      <c r="U425" s="81"/>
      <c r="V425" s="81"/>
      <c r="W425" s="81"/>
    </row>
    <row r="426" spans="2:23" ht="12.75" customHeight="1" x14ac:dyDescent="0.2">
      <c r="B426" s="81"/>
      <c r="C426" s="81"/>
      <c r="D426" s="81"/>
      <c r="E426" s="81"/>
      <c r="F426" s="81"/>
      <c r="G426" s="81"/>
      <c r="H426" s="81"/>
      <c r="I426" s="81"/>
      <c r="J426" s="81"/>
      <c r="K426" s="81"/>
      <c r="N426" s="81"/>
      <c r="O426" s="81"/>
      <c r="P426" s="81"/>
      <c r="Q426" s="81"/>
      <c r="R426" s="81"/>
      <c r="S426" s="81"/>
      <c r="T426" s="81"/>
      <c r="U426" s="81"/>
      <c r="V426" s="81"/>
      <c r="W426" s="81"/>
    </row>
    <row r="427" spans="2:23" ht="12.75" customHeight="1" x14ac:dyDescent="0.2">
      <c r="B427" s="81"/>
      <c r="C427" s="81"/>
      <c r="D427" s="81"/>
      <c r="E427" s="81"/>
      <c r="F427" s="81"/>
      <c r="G427" s="81"/>
      <c r="H427" s="81"/>
      <c r="I427" s="81"/>
      <c r="J427" s="81"/>
      <c r="K427" s="81"/>
      <c r="N427" s="81"/>
      <c r="O427" s="81"/>
      <c r="P427" s="81"/>
      <c r="Q427" s="81"/>
      <c r="R427" s="81"/>
      <c r="S427" s="81"/>
      <c r="T427" s="81"/>
      <c r="U427" s="81"/>
      <c r="V427" s="81"/>
      <c r="W427" s="81"/>
    </row>
    <row r="428" spans="2:23" ht="12.75" customHeight="1" x14ac:dyDescent="0.2">
      <c r="B428" s="81"/>
      <c r="C428" s="81"/>
      <c r="D428" s="81"/>
      <c r="E428" s="81"/>
      <c r="F428" s="81"/>
      <c r="G428" s="81"/>
      <c r="H428" s="81"/>
      <c r="I428" s="81"/>
      <c r="J428" s="81"/>
      <c r="K428" s="81"/>
      <c r="N428" s="81"/>
      <c r="O428" s="81"/>
      <c r="P428" s="81"/>
      <c r="Q428" s="81"/>
      <c r="R428" s="81"/>
      <c r="S428" s="81"/>
      <c r="T428" s="81"/>
      <c r="U428" s="81"/>
      <c r="V428" s="81"/>
      <c r="W428" s="81"/>
    </row>
    <row r="429" spans="2:23" ht="12.75" customHeight="1" x14ac:dyDescent="0.2">
      <c r="B429" s="81"/>
      <c r="C429" s="81"/>
      <c r="D429" s="81"/>
      <c r="E429" s="81"/>
      <c r="F429" s="81"/>
      <c r="G429" s="81"/>
      <c r="H429" s="81"/>
      <c r="I429" s="81"/>
      <c r="J429" s="81"/>
      <c r="K429" s="81"/>
      <c r="N429" s="81"/>
      <c r="O429" s="81"/>
      <c r="P429" s="81"/>
      <c r="Q429" s="81"/>
      <c r="R429" s="81"/>
      <c r="S429" s="81"/>
      <c r="T429" s="81"/>
      <c r="U429" s="81"/>
      <c r="V429" s="81"/>
      <c r="W429" s="81"/>
    </row>
    <row r="430" spans="2:23" ht="12.75" customHeight="1" x14ac:dyDescent="0.2">
      <c r="B430" s="81"/>
      <c r="C430" s="81"/>
      <c r="D430" s="81"/>
      <c r="E430" s="81"/>
      <c r="F430" s="81"/>
      <c r="G430" s="81"/>
      <c r="H430" s="81"/>
      <c r="I430" s="81"/>
      <c r="J430" s="81"/>
      <c r="K430" s="81"/>
      <c r="N430" s="81"/>
      <c r="O430" s="81"/>
      <c r="P430" s="81"/>
      <c r="Q430" s="81"/>
      <c r="R430" s="81"/>
      <c r="S430" s="81"/>
      <c r="T430" s="81"/>
      <c r="U430" s="81"/>
      <c r="V430" s="81"/>
      <c r="W430" s="81"/>
    </row>
    <row r="431" spans="2:23" ht="12.75" customHeight="1" x14ac:dyDescent="0.2">
      <c r="B431" s="81"/>
      <c r="C431" s="81"/>
      <c r="D431" s="81"/>
      <c r="E431" s="81"/>
      <c r="F431" s="81"/>
      <c r="G431" s="81"/>
      <c r="H431" s="81"/>
      <c r="I431" s="81"/>
      <c r="J431" s="81"/>
      <c r="K431" s="81"/>
      <c r="N431" s="81"/>
      <c r="O431" s="81"/>
      <c r="P431" s="81"/>
      <c r="Q431" s="81"/>
      <c r="R431" s="81"/>
      <c r="S431" s="81"/>
      <c r="T431" s="81"/>
      <c r="U431" s="81"/>
      <c r="V431" s="81"/>
      <c r="W431" s="81"/>
    </row>
    <row r="432" spans="2:23" ht="12.75" customHeight="1" x14ac:dyDescent="0.2">
      <c r="B432" s="81"/>
      <c r="C432" s="81"/>
      <c r="D432" s="81"/>
      <c r="E432" s="81"/>
      <c r="F432" s="81"/>
      <c r="G432" s="81"/>
      <c r="H432" s="81"/>
      <c r="I432" s="81"/>
      <c r="J432" s="81"/>
      <c r="K432" s="81"/>
      <c r="N432" s="81"/>
      <c r="O432" s="81"/>
      <c r="P432" s="81"/>
      <c r="Q432" s="81"/>
      <c r="R432" s="81"/>
      <c r="S432" s="81"/>
      <c r="T432" s="81"/>
      <c r="U432" s="81"/>
      <c r="V432" s="81"/>
      <c r="W432" s="81"/>
    </row>
    <row r="433" spans="2:23" ht="12.75" customHeight="1" x14ac:dyDescent="0.2">
      <c r="B433" s="81"/>
      <c r="C433" s="81"/>
      <c r="D433" s="81"/>
      <c r="E433" s="81"/>
      <c r="F433" s="81"/>
      <c r="G433" s="81"/>
      <c r="H433" s="81"/>
      <c r="I433" s="81"/>
      <c r="J433" s="81"/>
      <c r="K433" s="81"/>
      <c r="N433" s="81"/>
      <c r="O433" s="81"/>
      <c r="P433" s="81"/>
      <c r="Q433" s="81"/>
      <c r="R433" s="81"/>
      <c r="S433" s="81"/>
      <c r="T433" s="81"/>
      <c r="U433" s="81"/>
      <c r="V433" s="81"/>
      <c r="W433" s="81"/>
    </row>
    <row r="434" spans="2:23" ht="12.75" customHeight="1" x14ac:dyDescent="0.2">
      <c r="B434" s="81"/>
      <c r="C434" s="81"/>
      <c r="D434" s="81"/>
      <c r="E434" s="81"/>
      <c r="F434" s="81"/>
      <c r="G434" s="81"/>
      <c r="H434" s="81"/>
      <c r="I434" s="81"/>
      <c r="J434" s="81"/>
      <c r="K434" s="81"/>
      <c r="N434" s="81"/>
      <c r="O434" s="81"/>
      <c r="P434" s="81"/>
      <c r="Q434" s="81"/>
      <c r="R434" s="81"/>
      <c r="S434" s="81"/>
      <c r="T434" s="81"/>
      <c r="U434" s="81"/>
      <c r="V434" s="81"/>
      <c r="W434" s="81"/>
    </row>
    <row r="435" spans="2:23" ht="12.75" customHeight="1" x14ac:dyDescent="0.2">
      <c r="B435" s="81"/>
      <c r="C435" s="81"/>
      <c r="D435" s="81"/>
      <c r="E435" s="81"/>
      <c r="F435" s="81"/>
      <c r="G435" s="81"/>
      <c r="H435" s="81"/>
      <c r="I435" s="81"/>
      <c r="J435" s="81"/>
      <c r="K435" s="81"/>
      <c r="N435" s="81"/>
      <c r="O435" s="81"/>
      <c r="P435" s="81"/>
      <c r="Q435" s="81"/>
      <c r="R435" s="81"/>
      <c r="S435" s="81"/>
      <c r="T435" s="81"/>
      <c r="U435" s="81"/>
      <c r="V435" s="81"/>
      <c r="W435" s="81"/>
    </row>
    <row r="436" spans="2:23" ht="12.75" customHeight="1" x14ac:dyDescent="0.2">
      <c r="B436" s="81"/>
      <c r="C436" s="81"/>
      <c r="D436" s="81"/>
      <c r="E436" s="81"/>
      <c r="F436" s="81"/>
      <c r="G436" s="81"/>
      <c r="H436" s="81"/>
      <c r="I436" s="81"/>
      <c r="J436" s="81"/>
      <c r="K436" s="81"/>
      <c r="N436" s="81"/>
      <c r="O436" s="81"/>
      <c r="P436" s="81"/>
      <c r="Q436" s="81"/>
      <c r="R436" s="81"/>
      <c r="S436" s="81"/>
      <c r="T436" s="81"/>
      <c r="U436" s="81"/>
      <c r="V436" s="81"/>
      <c r="W436" s="81"/>
    </row>
    <row r="437" spans="2:23" ht="12.75" customHeight="1" x14ac:dyDescent="0.2">
      <c r="B437" s="81"/>
      <c r="C437" s="81"/>
      <c r="D437" s="81"/>
      <c r="E437" s="81"/>
      <c r="F437" s="81"/>
      <c r="G437" s="81"/>
      <c r="H437" s="81"/>
      <c r="I437" s="81"/>
      <c r="J437" s="81"/>
      <c r="K437" s="81"/>
      <c r="N437" s="81"/>
      <c r="O437" s="81"/>
      <c r="P437" s="81"/>
      <c r="Q437" s="81"/>
      <c r="R437" s="81"/>
      <c r="S437" s="81"/>
      <c r="T437" s="81"/>
      <c r="U437" s="81"/>
      <c r="V437" s="81"/>
      <c r="W437" s="81"/>
    </row>
    <row r="438" spans="2:23" ht="12.75" customHeight="1" x14ac:dyDescent="0.2">
      <c r="B438" s="81"/>
      <c r="C438" s="81"/>
      <c r="D438" s="81"/>
      <c r="E438" s="81"/>
      <c r="F438" s="81"/>
      <c r="G438" s="81"/>
      <c r="H438" s="81"/>
      <c r="I438" s="81"/>
      <c r="J438" s="81"/>
      <c r="K438" s="81"/>
      <c r="N438" s="81"/>
      <c r="O438" s="81"/>
      <c r="P438" s="81"/>
      <c r="Q438" s="81"/>
      <c r="R438" s="81"/>
      <c r="S438" s="81"/>
      <c r="T438" s="81"/>
      <c r="U438" s="81"/>
      <c r="V438" s="81"/>
      <c r="W438" s="81"/>
    </row>
    <row r="439" spans="2:23" ht="12.75" customHeight="1" x14ac:dyDescent="0.2">
      <c r="B439" s="81"/>
      <c r="C439" s="81"/>
      <c r="D439" s="81"/>
      <c r="E439" s="81"/>
      <c r="F439" s="81"/>
      <c r="G439" s="81"/>
      <c r="H439" s="81"/>
      <c r="I439" s="81"/>
      <c r="J439" s="81"/>
      <c r="K439" s="81"/>
      <c r="N439" s="81"/>
      <c r="O439" s="81"/>
      <c r="P439" s="81"/>
      <c r="Q439" s="81"/>
      <c r="R439" s="81"/>
      <c r="S439" s="81"/>
      <c r="T439" s="81"/>
      <c r="U439" s="81"/>
      <c r="V439" s="81"/>
      <c r="W439" s="81"/>
    </row>
    <row r="440" spans="2:23" ht="12.75" customHeight="1" x14ac:dyDescent="0.2">
      <c r="B440" s="81"/>
      <c r="C440" s="81"/>
      <c r="D440" s="81"/>
      <c r="E440" s="81"/>
      <c r="F440" s="81"/>
      <c r="G440" s="81"/>
      <c r="H440" s="81"/>
      <c r="I440" s="81"/>
      <c r="J440" s="81"/>
      <c r="K440" s="81"/>
      <c r="N440" s="81"/>
      <c r="O440" s="81"/>
      <c r="P440" s="81"/>
      <c r="Q440" s="81"/>
      <c r="R440" s="81"/>
      <c r="S440" s="81"/>
      <c r="T440" s="81"/>
      <c r="U440" s="81"/>
      <c r="V440" s="81"/>
      <c r="W440" s="81"/>
    </row>
    <row r="441" spans="2:23" ht="12.75" customHeight="1" x14ac:dyDescent="0.2">
      <c r="B441" s="81"/>
      <c r="C441" s="81"/>
      <c r="D441" s="81"/>
      <c r="E441" s="81"/>
      <c r="F441" s="81"/>
      <c r="G441" s="81"/>
      <c r="H441" s="81"/>
      <c r="I441" s="81"/>
      <c r="J441" s="81"/>
      <c r="K441" s="81"/>
      <c r="N441" s="81"/>
      <c r="O441" s="81"/>
      <c r="P441" s="81"/>
      <c r="Q441" s="81"/>
      <c r="R441" s="81"/>
      <c r="S441" s="81"/>
      <c r="T441" s="81"/>
      <c r="U441" s="81"/>
      <c r="V441" s="81"/>
      <c r="W441" s="81"/>
    </row>
    <row r="442" spans="2:23" ht="12.75" customHeight="1" x14ac:dyDescent="0.2">
      <c r="B442" s="81"/>
      <c r="C442" s="81"/>
      <c r="D442" s="81"/>
      <c r="E442" s="81"/>
      <c r="F442" s="81"/>
      <c r="G442" s="81"/>
      <c r="H442" s="81"/>
      <c r="I442" s="81"/>
      <c r="J442" s="81"/>
      <c r="K442" s="81"/>
      <c r="N442" s="81"/>
      <c r="O442" s="81"/>
      <c r="P442" s="81"/>
      <c r="Q442" s="81"/>
      <c r="R442" s="81"/>
      <c r="S442" s="81"/>
      <c r="T442" s="81"/>
      <c r="U442" s="81"/>
      <c r="V442" s="81"/>
      <c r="W442" s="81"/>
    </row>
    <row r="443" spans="2:23" ht="12.75" customHeight="1" x14ac:dyDescent="0.2">
      <c r="B443" s="81"/>
      <c r="C443" s="81"/>
      <c r="D443" s="81"/>
      <c r="E443" s="81"/>
      <c r="F443" s="81"/>
      <c r="G443" s="81"/>
      <c r="H443" s="81"/>
      <c r="I443" s="81"/>
      <c r="J443" s="81"/>
      <c r="K443" s="81"/>
      <c r="N443" s="81"/>
      <c r="O443" s="81"/>
      <c r="P443" s="81"/>
      <c r="Q443" s="81"/>
      <c r="R443" s="81"/>
      <c r="S443" s="81"/>
      <c r="T443" s="81"/>
      <c r="U443" s="81"/>
      <c r="V443" s="81"/>
      <c r="W443" s="81"/>
    </row>
    <row r="444" spans="2:23" ht="12.75" customHeight="1" x14ac:dyDescent="0.2">
      <c r="B444" s="81"/>
      <c r="C444" s="81"/>
      <c r="D444" s="81"/>
      <c r="E444" s="81"/>
      <c r="F444" s="81"/>
      <c r="G444" s="81"/>
      <c r="H444" s="81"/>
      <c r="I444" s="81"/>
      <c r="J444" s="81"/>
      <c r="K444" s="81"/>
      <c r="N444" s="81"/>
      <c r="O444" s="81"/>
      <c r="P444" s="81"/>
      <c r="Q444" s="81"/>
      <c r="R444" s="81"/>
      <c r="S444" s="81"/>
      <c r="T444" s="81"/>
      <c r="U444" s="81"/>
      <c r="V444" s="81"/>
      <c r="W444" s="81"/>
    </row>
    <row r="445" spans="2:23" ht="12.75" customHeight="1" x14ac:dyDescent="0.2">
      <c r="B445" s="81"/>
      <c r="C445" s="81"/>
      <c r="D445" s="81"/>
      <c r="E445" s="81"/>
      <c r="F445" s="81"/>
      <c r="G445" s="81"/>
      <c r="H445" s="81"/>
      <c r="I445" s="81"/>
      <c r="J445" s="81"/>
      <c r="K445" s="81"/>
      <c r="N445" s="81"/>
      <c r="O445" s="81"/>
      <c r="P445" s="81"/>
      <c r="Q445" s="81"/>
      <c r="R445" s="81"/>
      <c r="S445" s="81"/>
      <c r="T445" s="81"/>
      <c r="U445" s="81"/>
      <c r="V445" s="81"/>
      <c r="W445" s="81"/>
    </row>
    <row r="446" spans="2:23" ht="12.75" customHeight="1" x14ac:dyDescent="0.2">
      <c r="B446" s="81"/>
      <c r="C446" s="81"/>
      <c r="D446" s="81"/>
      <c r="E446" s="81"/>
      <c r="F446" s="81"/>
      <c r="G446" s="81"/>
      <c r="H446" s="81"/>
      <c r="I446" s="81"/>
      <c r="J446" s="81"/>
      <c r="K446" s="81"/>
      <c r="N446" s="81"/>
      <c r="O446" s="81"/>
      <c r="P446" s="81"/>
      <c r="Q446" s="81"/>
      <c r="R446" s="81"/>
      <c r="S446" s="81"/>
      <c r="T446" s="81"/>
      <c r="U446" s="81"/>
      <c r="V446" s="81"/>
      <c r="W446" s="81"/>
    </row>
    <row r="447" spans="2:23" ht="12.75" customHeight="1" x14ac:dyDescent="0.2">
      <c r="B447" s="81"/>
      <c r="C447" s="81"/>
      <c r="D447" s="81"/>
      <c r="E447" s="81"/>
      <c r="F447" s="81"/>
      <c r="G447" s="81"/>
      <c r="H447" s="81"/>
      <c r="I447" s="81"/>
      <c r="J447" s="81"/>
      <c r="K447" s="81"/>
      <c r="N447" s="81"/>
      <c r="O447" s="81"/>
      <c r="P447" s="81"/>
      <c r="Q447" s="81"/>
      <c r="R447" s="81"/>
      <c r="S447" s="81"/>
      <c r="T447" s="81"/>
      <c r="U447" s="81"/>
      <c r="V447" s="81"/>
      <c r="W447" s="81"/>
    </row>
    <row r="448" spans="2:23" ht="12.75" customHeight="1" x14ac:dyDescent="0.2">
      <c r="B448" s="81"/>
      <c r="C448" s="81"/>
      <c r="D448" s="81"/>
      <c r="E448" s="81"/>
      <c r="F448" s="81"/>
      <c r="G448" s="81"/>
      <c r="H448" s="81"/>
      <c r="I448" s="81"/>
      <c r="J448" s="81"/>
      <c r="K448" s="81"/>
      <c r="N448" s="81"/>
      <c r="O448" s="81"/>
      <c r="P448" s="81"/>
      <c r="Q448" s="81"/>
      <c r="R448" s="81"/>
      <c r="S448" s="81"/>
      <c r="T448" s="81"/>
      <c r="U448" s="81"/>
      <c r="V448" s="81"/>
      <c r="W448" s="81"/>
    </row>
    <row r="449" spans="2:23" ht="12.75" customHeight="1" x14ac:dyDescent="0.2">
      <c r="B449" s="81"/>
      <c r="C449" s="81"/>
      <c r="D449" s="81"/>
      <c r="E449" s="81"/>
      <c r="F449" s="81"/>
      <c r="G449" s="81"/>
      <c r="H449" s="81"/>
      <c r="I449" s="81"/>
      <c r="J449" s="81"/>
      <c r="K449" s="81"/>
      <c r="N449" s="81"/>
      <c r="O449" s="81"/>
      <c r="P449" s="81"/>
      <c r="Q449" s="81"/>
      <c r="R449" s="81"/>
      <c r="S449" s="81"/>
      <c r="T449" s="81"/>
      <c r="U449" s="81"/>
      <c r="V449" s="81"/>
      <c r="W449" s="81"/>
    </row>
    <row r="450" spans="2:23" ht="12.75" customHeight="1" x14ac:dyDescent="0.2">
      <c r="B450" s="81"/>
      <c r="C450" s="81"/>
      <c r="D450" s="81"/>
      <c r="E450" s="81"/>
      <c r="F450" s="81"/>
      <c r="G450" s="81"/>
      <c r="H450" s="81"/>
      <c r="I450" s="81"/>
      <c r="J450" s="81"/>
      <c r="K450" s="81"/>
      <c r="N450" s="81"/>
      <c r="O450" s="81"/>
      <c r="P450" s="81"/>
      <c r="Q450" s="81"/>
      <c r="R450" s="81"/>
      <c r="S450" s="81"/>
      <c r="T450" s="81"/>
      <c r="U450" s="81"/>
      <c r="V450" s="81"/>
      <c r="W450" s="81"/>
    </row>
    <row r="451" spans="2:23" ht="12.75" customHeight="1" x14ac:dyDescent="0.2">
      <c r="B451" s="81"/>
      <c r="C451" s="81"/>
      <c r="D451" s="81"/>
      <c r="E451" s="81"/>
      <c r="F451" s="81"/>
      <c r="G451" s="81"/>
      <c r="H451" s="81"/>
      <c r="I451" s="81"/>
      <c r="J451" s="81"/>
      <c r="K451" s="81"/>
      <c r="N451" s="81"/>
      <c r="O451" s="81"/>
      <c r="P451" s="81"/>
      <c r="Q451" s="81"/>
      <c r="R451" s="81"/>
      <c r="S451" s="81"/>
      <c r="T451" s="81"/>
      <c r="U451" s="81"/>
      <c r="V451" s="81"/>
      <c r="W451" s="81"/>
    </row>
    <row r="452" spans="2:23" ht="12.75" customHeight="1" x14ac:dyDescent="0.2">
      <c r="B452" s="81"/>
      <c r="C452" s="81"/>
      <c r="D452" s="81"/>
      <c r="E452" s="81"/>
      <c r="F452" s="81"/>
      <c r="G452" s="81"/>
      <c r="H452" s="81"/>
      <c r="I452" s="81"/>
      <c r="J452" s="81"/>
      <c r="K452" s="81"/>
      <c r="N452" s="81"/>
      <c r="O452" s="81"/>
      <c r="P452" s="81"/>
      <c r="Q452" s="81"/>
      <c r="R452" s="81"/>
      <c r="S452" s="81"/>
      <c r="T452" s="81"/>
      <c r="U452" s="81"/>
      <c r="V452" s="81"/>
      <c r="W452" s="81"/>
    </row>
    <row r="453" spans="2:23" ht="12.75" customHeight="1" x14ac:dyDescent="0.2">
      <c r="B453" s="81"/>
      <c r="C453" s="81"/>
      <c r="D453" s="81"/>
      <c r="E453" s="81"/>
      <c r="F453" s="81"/>
      <c r="G453" s="81"/>
      <c r="H453" s="81"/>
      <c r="I453" s="81"/>
      <c r="J453" s="81"/>
      <c r="K453" s="81"/>
      <c r="N453" s="81"/>
      <c r="O453" s="81"/>
      <c r="P453" s="81"/>
      <c r="Q453" s="81"/>
      <c r="R453" s="81"/>
      <c r="S453" s="81"/>
      <c r="T453" s="81"/>
      <c r="U453" s="81"/>
      <c r="V453" s="81"/>
      <c r="W453" s="81"/>
    </row>
    <row r="454" spans="2:23" ht="12.75" customHeight="1" x14ac:dyDescent="0.2">
      <c r="B454" s="81"/>
      <c r="C454" s="81"/>
      <c r="D454" s="81"/>
      <c r="E454" s="81"/>
      <c r="F454" s="81"/>
      <c r="G454" s="81"/>
      <c r="H454" s="81"/>
      <c r="I454" s="81"/>
      <c r="J454" s="81"/>
      <c r="K454" s="81"/>
      <c r="N454" s="81"/>
      <c r="O454" s="81"/>
      <c r="P454" s="81"/>
      <c r="Q454" s="81"/>
      <c r="R454" s="81"/>
      <c r="S454" s="81"/>
      <c r="T454" s="81"/>
      <c r="U454" s="81"/>
      <c r="V454" s="81"/>
      <c r="W454" s="81"/>
    </row>
    <row r="455" spans="2:23" ht="12.75" customHeight="1" x14ac:dyDescent="0.2">
      <c r="B455" s="81"/>
      <c r="C455" s="81"/>
      <c r="D455" s="81"/>
      <c r="E455" s="81"/>
      <c r="F455" s="81"/>
      <c r="G455" s="81"/>
      <c r="H455" s="81"/>
      <c r="I455" s="81"/>
      <c r="J455" s="81"/>
      <c r="K455" s="81"/>
      <c r="N455" s="81"/>
      <c r="O455" s="81"/>
      <c r="P455" s="81"/>
      <c r="Q455" s="81"/>
      <c r="R455" s="81"/>
      <c r="S455" s="81"/>
      <c r="T455" s="81"/>
      <c r="U455" s="81"/>
      <c r="V455" s="81"/>
      <c r="W455" s="81"/>
    </row>
    <row r="456" spans="2:23" ht="12.75" customHeight="1" x14ac:dyDescent="0.2">
      <c r="B456" s="81"/>
      <c r="C456" s="81"/>
      <c r="D456" s="81"/>
      <c r="E456" s="81"/>
      <c r="F456" s="81"/>
      <c r="G456" s="81"/>
      <c r="H456" s="81"/>
      <c r="I456" s="81"/>
      <c r="J456" s="81"/>
      <c r="K456" s="81"/>
      <c r="N456" s="81"/>
      <c r="O456" s="81"/>
      <c r="P456" s="81"/>
      <c r="Q456" s="81"/>
      <c r="R456" s="81"/>
      <c r="S456" s="81"/>
      <c r="T456" s="81"/>
      <c r="U456" s="81"/>
      <c r="V456" s="81"/>
      <c r="W456" s="81"/>
    </row>
    <row r="457" spans="2:23" ht="12.75" customHeight="1" x14ac:dyDescent="0.2">
      <c r="B457" s="81"/>
      <c r="C457" s="81"/>
      <c r="D457" s="81"/>
      <c r="E457" s="81"/>
      <c r="F457" s="81"/>
      <c r="G457" s="81"/>
      <c r="H457" s="81"/>
      <c r="I457" s="81"/>
      <c r="J457" s="81"/>
      <c r="K457" s="81"/>
      <c r="N457" s="81"/>
      <c r="O457" s="81"/>
      <c r="P457" s="81"/>
      <c r="Q457" s="81"/>
      <c r="R457" s="81"/>
      <c r="S457" s="81"/>
      <c r="T457" s="81"/>
      <c r="U457" s="81"/>
      <c r="V457" s="81"/>
      <c r="W457" s="81"/>
    </row>
    <row r="458" spans="2:23" ht="12.75" customHeight="1" x14ac:dyDescent="0.2">
      <c r="B458" s="81"/>
      <c r="C458" s="81"/>
      <c r="D458" s="81"/>
      <c r="E458" s="81"/>
      <c r="F458" s="81"/>
      <c r="G458" s="81"/>
      <c r="H458" s="81"/>
      <c r="I458" s="81"/>
      <c r="J458" s="81"/>
      <c r="K458" s="81"/>
      <c r="N458" s="81"/>
      <c r="O458" s="81"/>
      <c r="P458" s="81"/>
      <c r="Q458" s="81"/>
      <c r="R458" s="81"/>
      <c r="S458" s="81"/>
      <c r="T458" s="81"/>
      <c r="U458" s="81"/>
      <c r="V458" s="81"/>
      <c r="W458" s="81"/>
    </row>
    <row r="459" spans="2:23" ht="12.75" customHeight="1" x14ac:dyDescent="0.2">
      <c r="B459" s="81"/>
      <c r="C459" s="81"/>
      <c r="D459" s="81"/>
      <c r="E459" s="81"/>
      <c r="F459" s="81"/>
      <c r="G459" s="81"/>
      <c r="H459" s="81"/>
      <c r="I459" s="81"/>
      <c r="J459" s="81"/>
      <c r="K459" s="81"/>
      <c r="N459" s="81"/>
      <c r="O459" s="81"/>
      <c r="P459" s="81"/>
      <c r="Q459" s="81"/>
      <c r="R459" s="81"/>
      <c r="S459" s="81"/>
      <c r="T459" s="81"/>
      <c r="U459" s="81"/>
      <c r="V459" s="81"/>
      <c r="W459" s="81"/>
    </row>
    <row r="460" spans="2:23" ht="12.75" customHeight="1" x14ac:dyDescent="0.2">
      <c r="B460" s="81"/>
      <c r="C460" s="81"/>
      <c r="D460" s="81"/>
      <c r="E460" s="81"/>
      <c r="F460" s="81"/>
      <c r="G460" s="81"/>
      <c r="H460" s="81"/>
      <c r="I460" s="81"/>
      <c r="J460" s="81"/>
      <c r="K460" s="81"/>
      <c r="N460" s="81"/>
      <c r="O460" s="81"/>
      <c r="P460" s="81"/>
      <c r="Q460" s="81"/>
      <c r="R460" s="81"/>
      <c r="S460" s="81"/>
      <c r="T460" s="81"/>
      <c r="U460" s="81"/>
      <c r="V460" s="81"/>
      <c r="W460" s="81"/>
    </row>
    <row r="461" spans="2:23" ht="12.75" customHeight="1" x14ac:dyDescent="0.2">
      <c r="B461" s="81"/>
      <c r="C461" s="81"/>
      <c r="D461" s="81"/>
      <c r="E461" s="81"/>
      <c r="F461" s="81"/>
      <c r="G461" s="81"/>
      <c r="H461" s="81"/>
      <c r="I461" s="81"/>
      <c r="J461" s="81"/>
      <c r="K461" s="81"/>
      <c r="N461" s="81"/>
      <c r="O461" s="81"/>
      <c r="P461" s="81"/>
      <c r="Q461" s="81"/>
      <c r="R461" s="81"/>
      <c r="S461" s="81"/>
      <c r="T461" s="81"/>
      <c r="U461" s="81"/>
      <c r="V461" s="81"/>
      <c r="W461" s="81"/>
    </row>
    <row r="462" spans="2:23" ht="12.75" customHeight="1" x14ac:dyDescent="0.2">
      <c r="B462" s="81"/>
      <c r="C462" s="81"/>
      <c r="D462" s="81"/>
      <c r="E462" s="81"/>
      <c r="F462" s="81"/>
      <c r="G462" s="81"/>
      <c r="H462" s="81"/>
      <c r="I462" s="81"/>
      <c r="J462" s="81"/>
      <c r="K462" s="81"/>
      <c r="N462" s="81"/>
      <c r="O462" s="81"/>
      <c r="P462" s="81"/>
      <c r="Q462" s="81"/>
      <c r="R462" s="81"/>
      <c r="S462" s="81"/>
      <c r="T462" s="81"/>
      <c r="U462" s="81"/>
      <c r="V462" s="81"/>
      <c r="W462" s="81"/>
    </row>
    <row r="463" spans="2:23" ht="12.75" customHeight="1" x14ac:dyDescent="0.2">
      <c r="B463" s="81"/>
      <c r="C463" s="81"/>
      <c r="D463" s="81"/>
      <c r="E463" s="81"/>
      <c r="F463" s="81"/>
      <c r="G463" s="81"/>
      <c r="H463" s="81"/>
      <c r="I463" s="81"/>
      <c r="J463" s="81"/>
      <c r="K463" s="81"/>
      <c r="N463" s="81"/>
      <c r="O463" s="81"/>
      <c r="P463" s="81"/>
      <c r="Q463" s="81"/>
      <c r="R463" s="81"/>
      <c r="S463" s="81"/>
      <c r="T463" s="81"/>
      <c r="U463" s="81"/>
      <c r="V463" s="81"/>
      <c r="W463" s="81"/>
    </row>
    <row r="464" spans="2:23" ht="12.75" customHeight="1" x14ac:dyDescent="0.2">
      <c r="B464" s="81"/>
      <c r="C464" s="81"/>
      <c r="D464" s="81"/>
      <c r="E464" s="81"/>
      <c r="F464" s="81"/>
      <c r="G464" s="81"/>
      <c r="H464" s="81"/>
      <c r="I464" s="81"/>
      <c r="J464" s="81"/>
      <c r="K464" s="81"/>
      <c r="N464" s="81"/>
      <c r="O464" s="81"/>
      <c r="P464" s="81"/>
      <c r="Q464" s="81"/>
      <c r="R464" s="81"/>
      <c r="S464" s="81"/>
      <c r="T464" s="81"/>
      <c r="U464" s="81"/>
      <c r="V464" s="81"/>
      <c r="W464" s="81"/>
    </row>
    <row r="465" spans="2:23" ht="12.75" customHeight="1" x14ac:dyDescent="0.2">
      <c r="B465" s="81"/>
      <c r="C465" s="81"/>
      <c r="D465" s="81"/>
      <c r="E465" s="81"/>
      <c r="F465" s="81"/>
      <c r="G465" s="81"/>
      <c r="H465" s="81"/>
      <c r="I465" s="81"/>
      <c r="J465" s="81"/>
      <c r="K465" s="81"/>
      <c r="N465" s="81"/>
      <c r="O465" s="81"/>
      <c r="P465" s="81"/>
      <c r="Q465" s="81"/>
      <c r="R465" s="81"/>
      <c r="S465" s="81"/>
      <c r="T465" s="81"/>
      <c r="U465" s="81"/>
      <c r="V465" s="81"/>
      <c r="W465" s="81"/>
    </row>
    <row r="466" spans="2:23" ht="12.75" customHeight="1" x14ac:dyDescent="0.2">
      <c r="B466" s="81"/>
      <c r="C466" s="81"/>
      <c r="D466" s="81"/>
      <c r="E466" s="81"/>
      <c r="F466" s="81"/>
      <c r="G466" s="81"/>
      <c r="H466" s="81"/>
      <c r="I466" s="81"/>
      <c r="J466" s="81"/>
      <c r="K466" s="81"/>
      <c r="N466" s="81"/>
      <c r="O466" s="81"/>
      <c r="P466" s="81"/>
      <c r="Q466" s="81"/>
      <c r="R466" s="81"/>
      <c r="S466" s="81"/>
      <c r="T466" s="81"/>
      <c r="U466" s="81"/>
      <c r="V466" s="81"/>
      <c r="W466" s="81"/>
    </row>
    <row r="467" spans="2:23" ht="12.75" customHeight="1" x14ac:dyDescent="0.2">
      <c r="B467" s="81"/>
      <c r="C467" s="81"/>
      <c r="D467" s="81"/>
      <c r="E467" s="81"/>
      <c r="F467" s="81"/>
      <c r="G467" s="81"/>
      <c r="H467" s="81"/>
      <c r="I467" s="81"/>
      <c r="J467" s="81"/>
      <c r="K467" s="81"/>
      <c r="N467" s="81"/>
      <c r="O467" s="81"/>
      <c r="P467" s="81"/>
      <c r="Q467" s="81"/>
      <c r="R467" s="81"/>
      <c r="S467" s="81"/>
      <c r="T467" s="81"/>
      <c r="U467" s="81"/>
      <c r="V467" s="81"/>
      <c r="W467" s="81"/>
    </row>
    <row r="468" spans="2:23" ht="12.75" customHeight="1" x14ac:dyDescent="0.2">
      <c r="B468" s="81"/>
      <c r="C468" s="81"/>
      <c r="D468" s="81"/>
      <c r="E468" s="81"/>
      <c r="F468" s="81"/>
      <c r="G468" s="81"/>
      <c r="H468" s="81"/>
      <c r="I468" s="81"/>
      <c r="J468" s="81"/>
      <c r="K468" s="81"/>
      <c r="N468" s="81"/>
      <c r="O468" s="81"/>
      <c r="P468" s="81"/>
      <c r="Q468" s="81"/>
      <c r="R468" s="81"/>
      <c r="S468" s="81"/>
      <c r="T468" s="81"/>
      <c r="U468" s="81"/>
      <c r="V468" s="81"/>
      <c r="W468" s="81"/>
    </row>
    <row r="469" spans="2:23" ht="12.75" customHeight="1" x14ac:dyDescent="0.2">
      <c r="B469" s="81"/>
      <c r="C469" s="81"/>
      <c r="D469" s="81"/>
      <c r="E469" s="81"/>
      <c r="F469" s="81"/>
      <c r="G469" s="81"/>
      <c r="H469" s="81"/>
      <c r="I469" s="81"/>
      <c r="J469" s="81"/>
      <c r="K469" s="81"/>
      <c r="N469" s="81"/>
      <c r="O469" s="81"/>
      <c r="P469" s="81"/>
      <c r="Q469" s="81"/>
      <c r="R469" s="81"/>
      <c r="S469" s="81"/>
      <c r="T469" s="81"/>
      <c r="U469" s="81"/>
      <c r="V469" s="81"/>
      <c r="W469" s="81"/>
    </row>
    <row r="470" spans="2:23" ht="12.75" customHeight="1" x14ac:dyDescent="0.2">
      <c r="B470" s="81"/>
      <c r="C470" s="81"/>
      <c r="D470" s="81"/>
      <c r="E470" s="81"/>
      <c r="F470" s="81"/>
      <c r="G470" s="81"/>
      <c r="H470" s="81"/>
      <c r="I470" s="81"/>
      <c r="J470" s="81"/>
      <c r="K470" s="81"/>
      <c r="N470" s="81"/>
      <c r="O470" s="81"/>
      <c r="P470" s="81"/>
      <c r="Q470" s="81"/>
      <c r="R470" s="81"/>
      <c r="S470" s="81"/>
      <c r="T470" s="81"/>
      <c r="U470" s="81"/>
      <c r="V470" s="81"/>
      <c r="W470" s="81"/>
    </row>
    <row r="471" spans="2:23" ht="12.75" customHeight="1" x14ac:dyDescent="0.2">
      <c r="B471" s="81"/>
      <c r="C471" s="81"/>
      <c r="D471" s="81"/>
      <c r="E471" s="81"/>
      <c r="F471" s="81"/>
      <c r="G471" s="81"/>
      <c r="H471" s="81"/>
      <c r="I471" s="81"/>
      <c r="J471" s="81"/>
      <c r="K471" s="81"/>
      <c r="N471" s="81"/>
      <c r="O471" s="81"/>
      <c r="P471" s="81"/>
      <c r="Q471" s="81"/>
      <c r="R471" s="81"/>
      <c r="S471" s="81"/>
      <c r="T471" s="81"/>
      <c r="U471" s="81"/>
      <c r="V471" s="81"/>
      <c r="W471" s="81"/>
    </row>
    <row r="472" spans="2:23" ht="12.75" customHeight="1" x14ac:dyDescent="0.2">
      <c r="B472" s="81"/>
      <c r="C472" s="81"/>
      <c r="D472" s="81"/>
      <c r="E472" s="81"/>
      <c r="F472" s="81"/>
      <c r="G472" s="81"/>
      <c r="H472" s="81"/>
      <c r="I472" s="81"/>
      <c r="J472" s="81"/>
      <c r="K472" s="81"/>
      <c r="N472" s="81"/>
      <c r="O472" s="81"/>
      <c r="P472" s="81"/>
      <c r="Q472" s="81"/>
      <c r="R472" s="81"/>
      <c r="S472" s="81"/>
      <c r="T472" s="81"/>
      <c r="U472" s="81"/>
      <c r="V472" s="81"/>
      <c r="W472" s="81"/>
    </row>
    <row r="473" spans="2:23" ht="12.75" customHeight="1" x14ac:dyDescent="0.2">
      <c r="B473" s="81"/>
      <c r="C473" s="81"/>
      <c r="D473" s="81"/>
      <c r="E473" s="81"/>
      <c r="F473" s="81"/>
      <c r="G473" s="81"/>
      <c r="H473" s="81"/>
      <c r="I473" s="81"/>
      <c r="J473" s="81"/>
      <c r="K473" s="81"/>
      <c r="N473" s="81"/>
      <c r="O473" s="81"/>
      <c r="P473" s="81"/>
      <c r="Q473" s="81"/>
      <c r="R473" s="81"/>
      <c r="S473" s="81"/>
      <c r="T473" s="81"/>
      <c r="U473" s="81"/>
      <c r="V473" s="81"/>
      <c r="W473" s="81"/>
    </row>
    <row r="474" spans="2:23" ht="12.75" customHeight="1" x14ac:dyDescent="0.2">
      <c r="B474" s="81"/>
      <c r="C474" s="81"/>
      <c r="D474" s="81"/>
      <c r="E474" s="81"/>
      <c r="F474" s="81"/>
      <c r="G474" s="81"/>
      <c r="H474" s="81"/>
      <c r="I474" s="81"/>
      <c r="J474" s="81"/>
      <c r="K474" s="81"/>
      <c r="N474" s="81"/>
      <c r="O474" s="81"/>
      <c r="P474" s="81"/>
      <c r="Q474" s="81"/>
      <c r="R474" s="81"/>
      <c r="S474" s="81"/>
      <c r="T474" s="81"/>
      <c r="U474" s="81"/>
      <c r="V474" s="81"/>
      <c r="W474" s="81"/>
    </row>
    <row r="475" spans="2:23" ht="12.75" customHeight="1" x14ac:dyDescent="0.2">
      <c r="B475" s="81"/>
      <c r="C475" s="81"/>
      <c r="D475" s="81"/>
      <c r="E475" s="81"/>
      <c r="F475" s="81"/>
      <c r="G475" s="81"/>
      <c r="H475" s="81"/>
      <c r="I475" s="81"/>
      <c r="J475" s="81"/>
      <c r="K475" s="81"/>
      <c r="N475" s="81"/>
      <c r="O475" s="81"/>
      <c r="P475" s="81"/>
      <c r="Q475" s="81"/>
      <c r="R475" s="81"/>
      <c r="S475" s="81"/>
      <c r="T475" s="81"/>
      <c r="U475" s="81"/>
      <c r="V475" s="81"/>
      <c r="W475" s="81"/>
    </row>
    <row r="476" spans="2:23" ht="12.75" customHeight="1" x14ac:dyDescent="0.2">
      <c r="B476" s="81"/>
      <c r="C476" s="81"/>
      <c r="D476" s="81"/>
      <c r="E476" s="81"/>
      <c r="F476" s="81"/>
      <c r="G476" s="81"/>
      <c r="H476" s="81"/>
      <c r="I476" s="81"/>
      <c r="J476" s="81"/>
      <c r="K476" s="81"/>
      <c r="N476" s="81"/>
      <c r="O476" s="81"/>
      <c r="P476" s="81"/>
      <c r="Q476" s="81"/>
      <c r="R476" s="81"/>
      <c r="S476" s="81"/>
      <c r="T476" s="81"/>
      <c r="U476" s="81"/>
      <c r="V476" s="81"/>
      <c r="W476" s="81"/>
    </row>
    <row r="477" spans="2:23" ht="12.75" customHeight="1" x14ac:dyDescent="0.2">
      <c r="B477" s="81"/>
      <c r="C477" s="81"/>
      <c r="D477" s="81"/>
      <c r="E477" s="81"/>
      <c r="F477" s="81"/>
      <c r="G477" s="81"/>
      <c r="H477" s="81"/>
      <c r="I477" s="81"/>
      <c r="J477" s="81"/>
      <c r="K477" s="81"/>
      <c r="N477" s="81"/>
      <c r="O477" s="81"/>
      <c r="P477" s="81"/>
      <c r="Q477" s="81"/>
      <c r="R477" s="81"/>
      <c r="S477" s="81"/>
      <c r="T477" s="81"/>
      <c r="U477" s="81"/>
      <c r="V477" s="81"/>
      <c r="W477" s="81"/>
    </row>
    <row r="478" spans="2:23" ht="12.75" customHeight="1" x14ac:dyDescent="0.2">
      <c r="B478" s="81"/>
      <c r="C478" s="81"/>
      <c r="D478" s="81"/>
      <c r="E478" s="81"/>
      <c r="F478" s="81"/>
      <c r="G478" s="81"/>
      <c r="H478" s="81"/>
      <c r="I478" s="81"/>
      <c r="J478" s="81"/>
      <c r="K478" s="81"/>
      <c r="N478" s="81"/>
      <c r="O478" s="81"/>
      <c r="P478" s="81"/>
      <c r="Q478" s="81"/>
      <c r="R478" s="81"/>
      <c r="S478" s="81"/>
      <c r="T478" s="81"/>
      <c r="U478" s="81"/>
      <c r="V478" s="81"/>
      <c r="W478" s="81"/>
    </row>
    <row r="479" spans="2:23" ht="12.75" customHeight="1" x14ac:dyDescent="0.2">
      <c r="B479" s="81"/>
      <c r="C479" s="81"/>
      <c r="D479" s="81"/>
      <c r="E479" s="81"/>
      <c r="F479" s="81"/>
      <c r="G479" s="81"/>
      <c r="H479" s="81"/>
      <c r="I479" s="81"/>
      <c r="J479" s="81"/>
      <c r="K479" s="81"/>
      <c r="N479" s="81"/>
      <c r="O479" s="81"/>
      <c r="P479" s="81"/>
      <c r="Q479" s="81"/>
      <c r="R479" s="81"/>
      <c r="S479" s="81"/>
      <c r="T479" s="81"/>
      <c r="U479" s="81"/>
      <c r="V479" s="81"/>
      <c r="W479" s="81"/>
    </row>
    <row r="480" spans="2:23" ht="12.75" customHeight="1" x14ac:dyDescent="0.2">
      <c r="B480" s="81"/>
      <c r="C480" s="81"/>
      <c r="D480" s="81"/>
      <c r="E480" s="81"/>
      <c r="F480" s="81"/>
      <c r="G480" s="81"/>
      <c r="H480" s="81"/>
      <c r="I480" s="81"/>
      <c r="J480" s="81"/>
      <c r="K480" s="81"/>
      <c r="N480" s="81"/>
      <c r="O480" s="81"/>
      <c r="P480" s="81"/>
      <c r="Q480" s="81"/>
      <c r="R480" s="81"/>
      <c r="S480" s="81"/>
      <c r="T480" s="81"/>
      <c r="U480" s="81"/>
      <c r="V480" s="81"/>
      <c r="W480" s="81"/>
    </row>
    <row r="481" spans="2:23" ht="12.75" customHeight="1" x14ac:dyDescent="0.2">
      <c r="B481" s="81"/>
      <c r="C481" s="81"/>
      <c r="D481" s="81"/>
      <c r="E481" s="81"/>
      <c r="F481" s="81"/>
      <c r="G481" s="81"/>
      <c r="H481" s="81"/>
      <c r="I481" s="81"/>
      <c r="J481" s="81"/>
      <c r="K481" s="81"/>
      <c r="N481" s="81"/>
      <c r="O481" s="81"/>
      <c r="P481" s="81"/>
      <c r="Q481" s="81"/>
      <c r="R481" s="81"/>
      <c r="S481" s="81"/>
      <c r="T481" s="81"/>
      <c r="U481" s="81"/>
      <c r="V481" s="81"/>
      <c r="W481" s="81"/>
    </row>
    <row r="482" spans="2:23" ht="12.75" customHeight="1" x14ac:dyDescent="0.2">
      <c r="B482" s="81"/>
      <c r="C482" s="81"/>
      <c r="D482" s="81"/>
      <c r="E482" s="81"/>
      <c r="F482" s="81"/>
      <c r="G482" s="81"/>
      <c r="H482" s="81"/>
      <c r="I482" s="81"/>
      <c r="J482" s="81"/>
      <c r="K482" s="81"/>
      <c r="N482" s="81"/>
      <c r="O482" s="81"/>
      <c r="P482" s="81"/>
      <c r="Q482" s="81"/>
      <c r="R482" s="81"/>
      <c r="S482" s="81"/>
      <c r="T482" s="81"/>
      <c r="U482" s="81"/>
      <c r="V482" s="81"/>
      <c r="W482" s="81"/>
    </row>
    <row r="483" spans="2:23" ht="12.75" customHeight="1" x14ac:dyDescent="0.2">
      <c r="B483" s="81"/>
      <c r="C483" s="81"/>
      <c r="D483" s="81"/>
      <c r="E483" s="81"/>
      <c r="F483" s="81"/>
      <c r="G483" s="81"/>
      <c r="H483" s="81"/>
      <c r="I483" s="81"/>
      <c r="J483" s="81"/>
      <c r="K483" s="81"/>
      <c r="N483" s="81"/>
      <c r="O483" s="81"/>
      <c r="P483" s="81"/>
      <c r="Q483" s="81"/>
      <c r="R483" s="81"/>
      <c r="S483" s="81"/>
      <c r="T483" s="81"/>
      <c r="U483" s="81"/>
      <c r="V483" s="81"/>
      <c r="W483" s="81"/>
    </row>
    <row r="484" spans="2:23" ht="12.75" customHeight="1" x14ac:dyDescent="0.2">
      <c r="B484" s="81"/>
      <c r="C484" s="81"/>
      <c r="D484" s="81"/>
      <c r="E484" s="81"/>
      <c r="F484" s="81"/>
      <c r="G484" s="81"/>
      <c r="H484" s="81"/>
      <c r="I484" s="81"/>
      <c r="J484" s="81"/>
      <c r="K484" s="81"/>
      <c r="N484" s="81"/>
      <c r="O484" s="81"/>
      <c r="P484" s="81"/>
      <c r="Q484" s="81"/>
      <c r="R484" s="81"/>
      <c r="S484" s="81"/>
      <c r="T484" s="81"/>
      <c r="U484" s="81"/>
      <c r="V484" s="81"/>
      <c r="W484" s="81"/>
    </row>
    <row r="485" spans="2:23" ht="12.75" customHeight="1" x14ac:dyDescent="0.2">
      <c r="B485" s="81"/>
      <c r="C485" s="81"/>
      <c r="D485" s="81"/>
      <c r="E485" s="81"/>
      <c r="F485" s="81"/>
      <c r="G485" s="81"/>
      <c r="H485" s="81"/>
      <c r="I485" s="81"/>
      <c r="J485" s="81"/>
      <c r="K485" s="81"/>
      <c r="N485" s="81"/>
      <c r="O485" s="81"/>
      <c r="P485" s="81"/>
      <c r="Q485" s="81"/>
      <c r="R485" s="81"/>
      <c r="S485" s="81"/>
      <c r="T485" s="81"/>
      <c r="U485" s="81"/>
      <c r="V485" s="81"/>
      <c r="W485" s="81"/>
    </row>
    <row r="486" spans="2:23" ht="12.75" customHeight="1" x14ac:dyDescent="0.2">
      <c r="B486" s="81"/>
      <c r="C486" s="81"/>
      <c r="D486" s="81"/>
      <c r="E486" s="81"/>
      <c r="F486" s="81"/>
      <c r="G486" s="81"/>
      <c r="H486" s="81"/>
      <c r="I486" s="81"/>
      <c r="J486" s="81"/>
      <c r="K486" s="81"/>
      <c r="N486" s="81"/>
      <c r="O486" s="81"/>
      <c r="P486" s="81"/>
      <c r="Q486" s="81"/>
      <c r="R486" s="81"/>
      <c r="S486" s="81"/>
      <c r="T486" s="81"/>
      <c r="U486" s="81"/>
      <c r="V486" s="81"/>
      <c r="W486" s="81"/>
    </row>
    <row r="487" spans="2:23" ht="12.75" customHeight="1" x14ac:dyDescent="0.2">
      <c r="B487" s="81"/>
      <c r="C487" s="81"/>
      <c r="D487" s="81"/>
      <c r="E487" s="81"/>
      <c r="F487" s="81"/>
      <c r="G487" s="81"/>
      <c r="H487" s="81"/>
      <c r="I487" s="81"/>
      <c r="J487" s="81"/>
      <c r="K487" s="81"/>
      <c r="N487" s="81"/>
      <c r="O487" s="81"/>
      <c r="P487" s="81"/>
      <c r="Q487" s="81"/>
      <c r="R487" s="81"/>
      <c r="S487" s="81"/>
      <c r="T487" s="81"/>
      <c r="U487" s="81"/>
      <c r="V487" s="81"/>
      <c r="W487" s="81"/>
    </row>
    <row r="488" spans="2:23" ht="12.75" customHeight="1" x14ac:dyDescent="0.2">
      <c r="B488" s="81"/>
      <c r="C488" s="81"/>
      <c r="D488" s="81"/>
      <c r="E488" s="81"/>
      <c r="F488" s="81"/>
      <c r="G488" s="81"/>
      <c r="H488" s="81"/>
      <c r="I488" s="81"/>
      <c r="J488" s="81"/>
      <c r="K488" s="81"/>
      <c r="N488" s="81"/>
      <c r="O488" s="81"/>
      <c r="P488" s="81"/>
      <c r="Q488" s="81"/>
      <c r="R488" s="81"/>
      <c r="S488" s="81"/>
      <c r="T488" s="81"/>
      <c r="U488" s="81"/>
      <c r="V488" s="81"/>
      <c r="W488" s="81"/>
    </row>
    <row r="489" spans="2:23" ht="12.75" customHeight="1" x14ac:dyDescent="0.2">
      <c r="B489" s="81"/>
      <c r="C489" s="81"/>
      <c r="D489" s="81"/>
      <c r="E489" s="81"/>
      <c r="F489" s="81"/>
      <c r="G489" s="81"/>
      <c r="H489" s="81"/>
      <c r="I489" s="81"/>
      <c r="J489" s="81"/>
      <c r="K489" s="81"/>
      <c r="N489" s="81"/>
      <c r="O489" s="81"/>
      <c r="P489" s="81"/>
      <c r="Q489" s="81"/>
      <c r="R489" s="81"/>
      <c r="S489" s="81"/>
      <c r="T489" s="81"/>
      <c r="U489" s="81"/>
      <c r="V489" s="81"/>
      <c r="W489" s="81"/>
    </row>
    <row r="490" spans="2:23" ht="12.75" customHeight="1" x14ac:dyDescent="0.2">
      <c r="B490" s="81"/>
      <c r="C490" s="81"/>
      <c r="D490" s="81"/>
      <c r="E490" s="81"/>
      <c r="F490" s="81"/>
      <c r="G490" s="81"/>
      <c r="H490" s="81"/>
      <c r="I490" s="81"/>
      <c r="J490" s="81"/>
      <c r="K490" s="81"/>
      <c r="N490" s="81"/>
      <c r="O490" s="81"/>
      <c r="P490" s="81"/>
      <c r="Q490" s="81"/>
      <c r="R490" s="81"/>
      <c r="S490" s="81"/>
      <c r="T490" s="81"/>
      <c r="U490" s="81"/>
      <c r="V490" s="81"/>
      <c r="W490" s="81"/>
    </row>
    <row r="491" spans="2:23" ht="12.75" customHeight="1" x14ac:dyDescent="0.2">
      <c r="B491" s="81"/>
      <c r="C491" s="81"/>
      <c r="D491" s="81"/>
      <c r="E491" s="81"/>
      <c r="F491" s="81"/>
      <c r="G491" s="81"/>
      <c r="H491" s="81"/>
      <c r="I491" s="81"/>
      <c r="J491" s="81"/>
      <c r="K491" s="81"/>
      <c r="N491" s="81"/>
      <c r="O491" s="81"/>
      <c r="P491" s="81"/>
      <c r="Q491" s="81"/>
      <c r="R491" s="81"/>
      <c r="S491" s="81"/>
      <c r="T491" s="81"/>
      <c r="U491" s="81"/>
      <c r="V491" s="81"/>
      <c r="W491" s="81"/>
    </row>
    <row r="492" spans="2:23" ht="12.75" customHeight="1" x14ac:dyDescent="0.2">
      <c r="B492" s="81"/>
      <c r="C492" s="81"/>
      <c r="D492" s="81"/>
      <c r="E492" s="81"/>
      <c r="F492" s="81"/>
      <c r="G492" s="81"/>
      <c r="H492" s="81"/>
      <c r="I492" s="81"/>
      <c r="J492" s="81"/>
      <c r="K492" s="81"/>
      <c r="N492" s="81"/>
      <c r="O492" s="81"/>
      <c r="P492" s="81"/>
      <c r="Q492" s="81"/>
      <c r="R492" s="81"/>
      <c r="S492" s="81"/>
      <c r="T492" s="81"/>
      <c r="U492" s="81"/>
      <c r="V492" s="81"/>
      <c r="W492" s="81"/>
    </row>
    <row r="493" spans="2:23" ht="12.75" customHeight="1" x14ac:dyDescent="0.2">
      <c r="B493" s="81"/>
      <c r="C493" s="81"/>
      <c r="D493" s="81"/>
      <c r="E493" s="81"/>
      <c r="F493" s="81"/>
      <c r="G493" s="81"/>
      <c r="H493" s="81"/>
      <c r="I493" s="81"/>
      <c r="J493" s="81"/>
      <c r="K493" s="81"/>
      <c r="N493" s="81"/>
      <c r="O493" s="81"/>
      <c r="P493" s="81"/>
      <c r="Q493" s="81"/>
      <c r="R493" s="81"/>
      <c r="S493" s="81"/>
      <c r="T493" s="81"/>
      <c r="U493" s="81"/>
      <c r="V493" s="81"/>
      <c r="W493" s="81"/>
    </row>
    <row r="494" spans="2:23" ht="12.75" customHeight="1" x14ac:dyDescent="0.2">
      <c r="B494" s="81"/>
      <c r="C494" s="81"/>
      <c r="D494" s="81"/>
      <c r="E494" s="81"/>
      <c r="F494" s="81"/>
      <c r="G494" s="81"/>
      <c r="H494" s="81"/>
      <c r="I494" s="81"/>
      <c r="J494" s="81"/>
      <c r="K494" s="81"/>
      <c r="N494" s="81"/>
      <c r="O494" s="81"/>
      <c r="P494" s="81"/>
      <c r="Q494" s="81"/>
      <c r="R494" s="81"/>
      <c r="S494" s="81"/>
      <c r="T494" s="81"/>
      <c r="U494" s="81"/>
      <c r="V494" s="81"/>
      <c r="W494" s="81"/>
    </row>
    <row r="495" spans="2:23" ht="12.75" customHeight="1" x14ac:dyDescent="0.2">
      <c r="B495" s="81"/>
      <c r="C495" s="81"/>
      <c r="D495" s="81"/>
      <c r="E495" s="81"/>
      <c r="F495" s="81"/>
      <c r="G495" s="81"/>
      <c r="H495" s="81"/>
      <c r="I495" s="81"/>
      <c r="J495" s="81"/>
      <c r="K495" s="81"/>
      <c r="N495" s="81"/>
      <c r="O495" s="81"/>
      <c r="P495" s="81"/>
      <c r="Q495" s="81"/>
      <c r="R495" s="81"/>
      <c r="S495" s="81"/>
      <c r="T495" s="81"/>
      <c r="U495" s="81"/>
      <c r="V495" s="81"/>
      <c r="W495" s="81"/>
    </row>
    <row r="496" spans="2:23" ht="12.75" customHeight="1" x14ac:dyDescent="0.2">
      <c r="B496" s="81"/>
      <c r="C496" s="81"/>
      <c r="D496" s="81"/>
      <c r="E496" s="81"/>
      <c r="F496" s="81"/>
      <c r="G496" s="81"/>
      <c r="H496" s="81"/>
      <c r="I496" s="81"/>
      <c r="J496" s="81"/>
      <c r="K496" s="81"/>
      <c r="N496" s="81"/>
      <c r="O496" s="81"/>
      <c r="P496" s="81"/>
      <c r="Q496" s="81"/>
      <c r="R496" s="81"/>
      <c r="S496" s="81"/>
      <c r="T496" s="81"/>
      <c r="U496" s="81"/>
      <c r="V496" s="81"/>
      <c r="W496" s="81"/>
    </row>
    <row r="497" spans="2:23" ht="12.75" customHeight="1" x14ac:dyDescent="0.2">
      <c r="B497" s="81"/>
      <c r="C497" s="81"/>
      <c r="D497" s="81"/>
      <c r="E497" s="81"/>
      <c r="F497" s="81"/>
      <c r="G497" s="81"/>
      <c r="H497" s="81"/>
      <c r="I497" s="81"/>
      <c r="J497" s="81"/>
      <c r="K497" s="81"/>
      <c r="N497" s="81"/>
      <c r="O497" s="81"/>
      <c r="P497" s="81"/>
      <c r="Q497" s="81"/>
      <c r="R497" s="81"/>
      <c r="S497" s="81"/>
      <c r="T497" s="81"/>
      <c r="U497" s="81"/>
      <c r="V497" s="81"/>
      <c r="W497" s="81"/>
    </row>
    <row r="498" spans="2:23" ht="12.75" customHeight="1" x14ac:dyDescent="0.2">
      <c r="B498" s="81"/>
      <c r="C498" s="81"/>
      <c r="D498" s="81"/>
      <c r="E498" s="81"/>
      <c r="F498" s="81"/>
      <c r="G498" s="81"/>
      <c r="H498" s="81"/>
      <c r="I498" s="81"/>
      <c r="J498" s="81"/>
      <c r="K498" s="81"/>
      <c r="N498" s="81"/>
      <c r="O498" s="81"/>
      <c r="P498" s="81"/>
      <c r="Q498" s="81"/>
      <c r="R498" s="81"/>
      <c r="S498" s="81"/>
      <c r="T498" s="81"/>
      <c r="U498" s="81"/>
      <c r="V498" s="81"/>
      <c r="W498" s="81"/>
    </row>
    <row r="499" spans="2:23" ht="12.75" customHeight="1" x14ac:dyDescent="0.2">
      <c r="B499" s="81"/>
      <c r="C499" s="81"/>
      <c r="D499" s="81"/>
      <c r="E499" s="81"/>
      <c r="F499" s="81"/>
      <c r="G499" s="81"/>
      <c r="H499" s="81"/>
      <c r="I499" s="81"/>
      <c r="J499" s="81"/>
      <c r="K499" s="81"/>
      <c r="N499" s="81"/>
      <c r="O499" s="81"/>
      <c r="P499" s="81"/>
      <c r="Q499" s="81"/>
      <c r="R499" s="81"/>
      <c r="S499" s="81"/>
      <c r="T499" s="81"/>
      <c r="U499" s="81"/>
      <c r="V499" s="81"/>
      <c r="W499" s="81"/>
    </row>
    <row r="500" spans="2:23" ht="12.75" customHeight="1" x14ac:dyDescent="0.2">
      <c r="B500" s="81"/>
      <c r="C500" s="81"/>
      <c r="D500" s="81"/>
      <c r="E500" s="81"/>
      <c r="F500" s="81"/>
      <c r="G500" s="81"/>
      <c r="H500" s="81"/>
      <c r="I500" s="81"/>
      <c r="J500" s="81"/>
      <c r="K500" s="81"/>
      <c r="N500" s="81"/>
      <c r="O500" s="81"/>
      <c r="P500" s="81"/>
      <c r="Q500" s="81"/>
      <c r="R500" s="81"/>
      <c r="S500" s="81"/>
      <c r="T500" s="81"/>
      <c r="U500" s="81"/>
      <c r="V500" s="81"/>
      <c r="W500" s="81"/>
    </row>
    <row r="501" spans="2:23" ht="12.75" customHeight="1" x14ac:dyDescent="0.2">
      <c r="B501" s="81"/>
      <c r="C501" s="81"/>
      <c r="D501" s="81"/>
      <c r="E501" s="81"/>
      <c r="F501" s="81"/>
      <c r="G501" s="81"/>
      <c r="H501" s="81"/>
      <c r="I501" s="81"/>
      <c r="J501" s="81"/>
      <c r="K501" s="81"/>
      <c r="N501" s="81"/>
      <c r="O501" s="81"/>
      <c r="P501" s="81"/>
      <c r="Q501" s="81"/>
      <c r="R501" s="81"/>
      <c r="S501" s="81"/>
      <c r="T501" s="81"/>
      <c r="U501" s="81"/>
      <c r="V501" s="81"/>
      <c r="W501" s="81"/>
    </row>
    <row r="502" spans="2:23" ht="12.75" customHeight="1" x14ac:dyDescent="0.2">
      <c r="B502" s="81"/>
      <c r="C502" s="81"/>
      <c r="D502" s="81"/>
      <c r="E502" s="81"/>
      <c r="F502" s="81"/>
      <c r="G502" s="81"/>
      <c r="H502" s="81"/>
      <c r="I502" s="81"/>
      <c r="J502" s="81"/>
      <c r="K502" s="81"/>
      <c r="N502" s="81"/>
      <c r="O502" s="81"/>
      <c r="P502" s="81"/>
      <c r="Q502" s="81"/>
      <c r="R502" s="81"/>
      <c r="S502" s="81"/>
      <c r="T502" s="81"/>
      <c r="U502" s="81"/>
      <c r="V502" s="81"/>
      <c r="W502" s="81"/>
    </row>
    <row r="503" spans="2:23" ht="12.75" customHeight="1" x14ac:dyDescent="0.2">
      <c r="B503" s="81"/>
      <c r="C503" s="81"/>
      <c r="D503" s="81"/>
      <c r="E503" s="81"/>
      <c r="F503" s="81"/>
      <c r="G503" s="81"/>
      <c r="H503" s="81"/>
      <c r="I503" s="81"/>
      <c r="J503" s="81"/>
      <c r="K503" s="81"/>
      <c r="N503" s="81"/>
      <c r="O503" s="81"/>
      <c r="P503" s="81"/>
      <c r="Q503" s="81"/>
      <c r="R503" s="81"/>
      <c r="S503" s="81"/>
      <c r="T503" s="81"/>
      <c r="U503" s="81"/>
      <c r="V503" s="81"/>
      <c r="W503" s="81"/>
    </row>
    <row r="504" spans="2:23" ht="12.75" customHeight="1" x14ac:dyDescent="0.2">
      <c r="B504" s="81"/>
      <c r="C504" s="81"/>
      <c r="D504" s="81"/>
      <c r="E504" s="81"/>
      <c r="F504" s="81"/>
      <c r="G504" s="81"/>
      <c r="H504" s="81"/>
      <c r="I504" s="81"/>
      <c r="J504" s="81"/>
      <c r="K504" s="81"/>
      <c r="N504" s="81"/>
      <c r="O504" s="81"/>
      <c r="P504" s="81"/>
      <c r="Q504" s="81"/>
      <c r="R504" s="81"/>
      <c r="S504" s="81"/>
      <c r="T504" s="81"/>
      <c r="U504" s="81"/>
      <c r="V504" s="81"/>
      <c r="W504" s="81"/>
    </row>
    <row r="505" spans="2:23" ht="12.75" customHeight="1" x14ac:dyDescent="0.2">
      <c r="B505" s="81"/>
      <c r="C505" s="81"/>
      <c r="D505" s="81"/>
      <c r="E505" s="81"/>
      <c r="F505" s="81"/>
      <c r="G505" s="81"/>
      <c r="H505" s="81"/>
      <c r="I505" s="81"/>
      <c r="J505" s="81"/>
      <c r="K505" s="81"/>
      <c r="N505" s="81"/>
      <c r="O505" s="81"/>
      <c r="P505" s="81"/>
      <c r="Q505" s="81"/>
      <c r="R505" s="81"/>
      <c r="S505" s="81"/>
      <c r="T505" s="81"/>
      <c r="U505" s="81"/>
      <c r="V505" s="81"/>
      <c r="W505" s="81"/>
    </row>
    <row r="506" spans="2:23" ht="12.75" customHeight="1" x14ac:dyDescent="0.2">
      <c r="B506" s="81"/>
      <c r="C506" s="81"/>
      <c r="D506" s="81"/>
      <c r="E506" s="81"/>
      <c r="F506" s="81"/>
      <c r="G506" s="81"/>
      <c r="H506" s="81"/>
      <c r="I506" s="81"/>
      <c r="J506" s="81"/>
      <c r="K506" s="81"/>
      <c r="N506" s="81"/>
      <c r="O506" s="81"/>
      <c r="P506" s="81"/>
      <c r="Q506" s="81"/>
      <c r="R506" s="81"/>
      <c r="S506" s="81"/>
      <c r="T506" s="81"/>
      <c r="U506" s="81"/>
      <c r="V506" s="81"/>
      <c r="W506" s="81"/>
    </row>
    <row r="507" spans="2:23" ht="12.75" customHeight="1" x14ac:dyDescent="0.2">
      <c r="B507" s="81"/>
      <c r="C507" s="81"/>
      <c r="D507" s="81"/>
      <c r="E507" s="81"/>
      <c r="F507" s="81"/>
      <c r="G507" s="81"/>
      <c r="H507" s="81"/>
      <c r="I507" s="81"/>
      <c r="J507" s="81"/>
      <c r="K507" s="81"/>
      <c r="N507" s="81"/>
      <c r="O507" s="81"/>
      <c r="P507" s="81"/>
      <c r="Q507" s="81"/>
      <c r="R507" s="81"/>
      <c r="S507" s="81"/>
      <c r="T507" s="81"/>
      <c r="U507" s="81"/>
      <c r="V507" s="81"/>
      <c r="W507" s="81"/>
    </row>
    <row r="508" spans="2:23" ht="12.75" customHeight="1" x14ac:dyDescent="0.2">
      <c r="B508" s="81"/>
      <c r="C508" s="81"/>
      <c r="D508" s="81"/>
      <c r="E508" s="81"/>
      <c r="F508" s="81"/>
      <c r="G508" s="81"/>
      <c r="H508" s="81"/>
      <c r="I508" s="81"/>
      <c r="J508" s="81"/>
      <c r="K508" s="81"/>
      <c r="N508" s="81"/>
      <c r="O508" s="81"/>
      <c r="P508" s="81"/>
      <c r="Q508" s="81"/>
      <c r="R508" s="81"/>
      <c r="S508" s="81"/>
      <c r="T508" s="81"/>
      <c r="U508" s="81"/>
      <c r="V508" s="81"/>
      <c r="W508" s="81"/>
    </row>
    <row r="509" spans="2:23" ht="12.75" customHeight="1" x14ac:dyDescent="0.2">
      <c r="B509" s="81"/>
      <c r="C509" s="81"/>
      <c r="D509" s="81"/>
      <c r="E509" s="81"/>
      <c r="F509" s="81"/>
      <c r="G509" s="81"/>
      <c r="H509" s="81"/>
      <c r="I509" s="81"/>
      <c r="J509" s="81"/>
      <c r="K509" s="81"/>
      <c r="N509" s="81"/>
      <c r="O509" s="81"/>
      <c r="P509" s="81"/>
      <c r="Q509" s="81"/>
      <c r="R509" s="81"/>
      <c r="S509" s="81"/>
      <c r="T509" s="81"/>
      <c r="U509" s="81"/>
      <c r="V509" s="81"/>
      <c r="W509" s="81"/>
    </row>
    <row r="510" spans="2:23" ht="12.75" customHeight="1" x14ac:dyDescent="0.2">
      <c r="B510" s="81"/>
      <c r="C510" s="81"/>
      <c r="D510" s="81"/>
      <c r="E510" s="81"/>
      <c r="F510" s="81"/>
      <c r="G510" s="81"/>
      <c r="H510" s="81"/>
      <c r="I510" s="81"/>
      <c r="J510" s="81"/>
      <c r="K510" s="81"/>
      <c r="N510" s="81"/>
      <c r="O510" s="81"/>
      <c r="P510" s="81"/>
      <c r="Q510" s="81"/>
      <c r="R510" s="81"/>
      <c r="S510" s="81"/>
      <c r="T510" s="81"/>
      <c r="U510" s="81"/>
      <c r="V510" s="81"/>
      <c r="W510" s="81"/>
    </row>
    <row r="511" spans="2:23" ht="12.75" customHeight="1" x14ac:dyDescent="0.2">
      <c r="B511" s="81"/>
      <c r="C511" s="81"/>
      <c r="D511" s="81"/>
      <c r="E511" s="81"/>
      <c r="F511" s="81"/>
      <c r="G511" s="81"/>
      <c r="H511" s="81"/>
      <c r="I511" s="81"/>
      <c r="J511" s="81"/>
      <c r="K511" s="81"/>
      <c r="N511" s="81"/>
      <c r="O511" s="81"/>
      <c r="P511" s="81"/>
      <c r="Q511" s="81"/>
      <c r="R511" s="81"/>
      <c r="S511" s="81"/>
      <c r="T511" s="81"/>
      <c r="U511" s="81"/>
      <c r="V511" s="81"/>
      <c r="W511" s="81"/>
    </row>
    <row r="512" spans="2:23" ht="12.75" customHeight="1" x14ac:dyDescent="0.2">
      <c r="B512" s="81"/>
      <c r="C512" s="81"/>
      <c r="D512" s="81"/>
      <c r="E512" s="81"/>
      <c r="F512" s="81"/>
      <c r="G512" s="81"/>
      <c r="H512" s="81"/>
      <c r="I512" s="81"/>
      <c r="J512" s="81"/>
      <c r="K512" s="81"/>
      <c r="N512" s="81"/>
      <c r="O512" s="81"/>
      <c r="P512" s="81"/>
      <c r="Q512" s="81"/>
      <c r="R512" s="81"/>
      <c r="S512" s="81"/>
      <c r="T512" s="81"/>
      <c r="U512" s="81"/>
      <c r="V512" s="81"/>
      <c r="W512" s="81"/>
    </row>
    <row r="513" spans="2:23" ht="12.75" customHeight="1" x14ac:dyDescent="0.2">
      <c r="B513" s="81"/>
      <c r="C513" s="81"/>
      <c r="D513" s="81"/>
      <c r="E513" s="81"/>
      <c r="F513" s="81"/>
      <c r="G513" s="81"/>
      <c r="H513" s="81"/>
      <c r="I513" s="81"/>
      <c r="J513" s="81"/>
      <c r="K513" s="81"/>
      <c r="N513" s="81"/>
      <c r="O513" s="81"/>
      <c r="P513" s="81"/>
      <c r="Q513" s="81"/>
      <c r="R513" s="81"/>
      <c r="S513" s="81"/>
      <c r="T513" s="81"/>
      <c r="U513" s="81"/>
      <c r="V513" s="81"/>
      <c r="W513" s="81"/>
    </row>
    <row r="514" spans="2:23" ht="12.75" customHeight="1" x14ac:dyDescent="0.2">
      <c r="B514" s="81"/>
      <c r="C514" s="81"/>
      <c r="D514" s="81"/>
      <c r="E514" s="81"/>
      <c r="F514" s="81"/>
      <c r="G514" s="81"/>
      <c r="H514" s="81"/>
      <c r="I514" s="81"/>
      <c r="J514" s="81"/>
      <c r="K514" s="81"/>
      <c r="N514" s="81"/>
      <c r="O514" s="81"/>
      <c r="P514" s="81"/>
      <c r="Q514" s="81"/>
      <c r="R514" s="81"/>
      <c r="S514" s="81"/>
      <c r="T514" s="81"/>
      <c r="U514" s="81"/>
      <c r="V514" s="81"/>
      <c r="W514" s="81"/>
    </row>
    <row r="515" spans="2:23" ht="12.75" customHeight="1" x14ac:dyDescent="0.2">
      <c r="B515" s="81"/>
      <c r="C515" s="81"/>
      <c r="D515" s="81"/>
      <c r="E515" s="81"/>
      <c r="F515" s="81"/>
      <c r="G515" s="81"/>
      <c r="H515" s="81"/>
      <c r="I515" s="81"/>
      <c r="J515" s="81"/>
      <c r="K515" s="81"/>
      <c r="N515" s="81"/>
      <c r="O515" s="81"/>
      <c r="P515" s="81"/>
      <c r="Q515" s="81"/>
      <c r="R515" s="81"/>
      <c r="S515" s="81"/>
      <c r="T515" s="81"/>
      <c r="U515" s="81"/>
      <c r="V515" s="81"/>
      <c r="W515" s="81"/>
    </row>
    <row r="516" spans="2:23" ht="12.75" customHeight="1" x14ac:dyDescent="0.2">
      <c r="B516" s="81"/>
      <c r="C516" s="81"/>
      <c r="D516" s="81"/>
      <c r="E516" s="81"/>
      <c r="F516" s="81"/>
      <c r="G516" s="81"/>
      <c r="H516" s="81"/>
      <c r="I516" s="81"/>
      <c r="J516" s="81"/>
      <c r="K516" s="81"/>
      <c r="N516" s="81"/>
      <c r="O516" s="81"/>
      <c r="P516" s="81"/>
      <c r="Q516" s="81"/>
      <c r="R516" s="81"/>
      <c r="S516" s="81"/>
      <c r="T516" s="81"/>
      <c r="U516" s="81"/>
      <c r="V516" s="81"/>
      <c r="W516" s="81"/>
    </row>
    <row r="517" spans="2:23" ht="12.75" customHeight="1" x14ac:dyDescent="0.2">
      <c r="B517" s="81"/>
      <c r="C517" s="81"/>
      <c r="D517" s="81"/>
      <c r="E517" s="81"/>
      <c r="F517" s="81"/>
      <c r="G517" s="81"/>
      <c r="H517" s="81"/>
      <c r="I517" s="81"/>
      <c r="J517" s="81"/>
      <c r="K517" s="81"/>
      <c r="N517" s="81"/>
      <c r="O517" s="81"/>
      <c r="P517" s="81"/>
      <c r="Q517" s="81"/>
      <c r="R517" s="81"/>
      <c r="S517" s="81"/>
      <c r="T517" s="81"/>
      <c r="U517" s="81"/>
      <c r="V517" s="81"/>
      <c r="W517" s="81"/>
    </row>
    <row r="518" spans="2:23" ht="12.75" customHeight="1" x14ac:dyDescent="0.2">
      <c r="B518" s="81"/>
      <c r="C518" s="81"/>
      <c r="D518" s="81"/>
      <c r="E518" s="81"/>
      <c r="F518" s="81"/>
      <c r="G518" s="81"/>
      <c r="H518" s="81"/>
      <c r="I518" s="81"/>
      <c r="J518" s="81"/>
      <c r="K518" s="81"/>
      <c r="N518" s="81"/>
      <c r="O518" s="81"/>
      <c r="P518" s="81"/>
      <c r="Q518" s="81"/>
      <c r="R518" s="81"/>
      <c r="S518" s="81"/>
      <c r="T518" s="81"/>
      <c r="U518" s="81"/>
      <c r="V518" s="81"/>
      <c r="W518" s="81"/>
    </row>
    <row r="519" spans="2:23" ht="12.75" customHeight="1" x14ac:dyDescent="0.2">
      <c r="B519" s="81"/>
      <c r="C519" s="81"/>
      <c r="D519" s="81"/>
      <c r="E519" s="81"/>
      <c r="F519" s="81"/>
      <c r="G519" s="81"/>
      <c r="H519" s="81"/>
      <c r="I519" s="81"/>
      <c r="J519" s="81"/>
      <c r="K519" s="81"/>
      <c r="N519" s="81"/>
      <c r="O519" s="81"/>
      <c r="P519" s="81"/>
      <c r="Q519" s="81"/>
      <c r="R519" s="81"/>
      <c r="S519" s="81"/>
      <c r="T519" s="81"/>
      <c r="U519" s="81"/>
      <c r="V519" s="81"/>
      <c r="W519" s="81"/>
    </row>
    <row r="520" spans="2:23" ht="12.75" customHeight="1" x14ac:dyDescent="0.2">
      <c r="B520" s="81"/>
      <c r="C520" s="81"/>
      <c r="D520" s="81"/>
      <c r="E520" s="81"/>
      <c r="F520" s="81"/>
      <c r="G520" s="81"/>
      <c r="H520" s="81"/>
      <c r="I520" s="81"/>
      <c r="J520" s="81"/>
      <c r="K520" s="81"/>
      <c r="N520" s="81"/>
      <c r="O520" s="81"/>
      <c r="P520" s="81"/>
      <c r="Q520" s="81"/>
      <c r="R520" s="81"/>
      <c r="S520" s="81"/>
      <c r="T520" s="81"/>
      <c r="U520" s="81"/>
      <c r="V520" s="81"/>
      <c r="W520" s="81"/>
    </row>
    <row r="521" spans="2:23" ht="12.75" customHeight="1" x14ac:dyDescent="0.2">
      <c r="B521" s="81"/>
      <c r="C521" s="81"/>
      <c r="D521" s="81"/>
      <c r="E521" s="81"/>
      <c r="F521" s="81"/>
      <c r="G521" s="81"/>
      <c r="H521" s="81"/>
      <c r="I521" s="81"/>
      <c r="J521" s="81"/>
      <c r="K521" s="81"/>
      <c r="N521" s="81"/>
      <c r="O521" s="81"/>
      <c r="P521" s="81"/>
      <c r="Q521" s="81"/>
      <c r="R521" s="81"/>
      <c r="S521" s="81"/>
      <c r="T521" s="81"/>
      <c r="U521" s="81"/>
      <c r="V521" s="81"/>
      <c r="W521" s="81"/>
    </row>
    <row r="522" spans="2:23" ht="12.75" customHeight="1" x14ac:dyDescent="0.2">
      <c r="B522" s="81"/>
      <c r="C522" s="81"/>
      <c r="D522" s="81"/>
      <c r="E522" s="81"/>
      <c r="F522" s="81"/>
      <c r="G522" s="81"/>
      <c r="H522" s="81"/>
      <c r="I522" s="81"/>
      <c r="J522" s="81"/>
      <c r="K522" s="81"/>
      <c r="N522" s="81"/>
      <c r="O522" s="81"/>
      <c r="P522" s="81"/>
      <c r="Q522" s="81"/>
      <c r="R522" s="81"/>
      <c r="S522" s="81"/>
      <c r="T522" s="81"/>
      <c r="U522" s="81"/>
      <c r="V522" s="81"/>
      <c r="W522" s="81"/>
    </row>
    <row r="523" spans="2:23" ht="12.75" customHeight="1" x14ac:dyDescent="0.2">
      <c r="B523" s="81"/>
      <c r="C523" s="81"/>
      <c r="D523" s="81"/>
      <c r="E523" s="81"/>
      <c r="F523" s="81"/>
      <c r="G523" s="81"/>
      <c r="H523" s="81"/>
      <c r="I523" s="81"/>
      <c r="J523" s="81"/>
      <c r="K523" s="81"/>
      <c r="N523" s="81"/>
      <c r="O523" s="81"/>
      <c r="P523" s="81"/>
      <c r="Q523" s="81"/>
      <c r="R523" s="81"/>
      <c r="S523" s="81"/>
      <c r="T523" s="81"/>
      <c r="U523" s="81"/>
      <c r="V523" s="81"/>
      <c r="W523" s="81"/>
    </row>
    <row r="524" spans="2:23" ht="12.75" customHeight="1" x14ac:dyDescent="0.2">
      <c r="B524" s="81"/>
      <c r="C524" s="81"/>
      <c r="D524" s="81"/>
      <c r="E524" s="81"/>
      <c r="F524" s="81"/>
      <c r="G524" s="81"/>
      <c r="H524" s="81"/>
      <c r="I524" s="81"/>
      <c r="J524" s="81"/>
      <c r="K524" s="81"/>
      <c r="N524" s="81"/>
      <c r="O524" s="81"/>
      <c r="P524" s="81"/>
      <c r="Q524" s="81"/>
      <c r="R524" s="81"/>
      <c r="S524" s="81"/>
      <c r="T524" s="81"/>
      <c r="U524" s="81"/>
      <c r="V524" s="81"/>
      <c r="W524" s="81"/>
    </row>
    <row r="525" spans="2:23" ht="12.75" customHeight="1" x14ac:dyDescent="0.2">
      <c r="B525" s="81"/>
      <c r="C525" s="81"/>
      <c r="D525" s="81"/>
      <c r="E525" s="81"/>
      <c r="F525" s="81"/>
      <c r="G525" s="81"/>
      <c r="H525" s="81"/>
      <c r="I525" s="81"/>
      <c r="J525" s="81"/>
      <c r="K525" s="81"/>
      <c r="N525" s="81"/>
      <c r="O525" s="81"/>
      <c r="P525" s="81"/>
      <c r="Q525" s="81"/>
      <c r="R525" s="81"/>
      <c r="S525" s="81"/>
      <c r="T525" s="81"/>
      <c r="U525" s="81"/>
      <c r="V525" s="81"/>
      <c r="W525" s="81"/>
    </row>
    <row r="526" spans="2:23" ht="12.75" customHeight="1" x14ac:dyDescent="0.2">
      <c r="B526" s="81"/>
      <c r="C526" s="81"/>
      <c r="D526" s="81"/>
      <c r="E526" s="81"/>
      <c r="F526" s="81"/>
      <c r="G526" s="81"/>
      <c r="H526" s="81"/>
      <c r="I526" s="81"/>
      <c r="J526" s="81"/>
      <c r="K526" s="81"/>
      <c r="N526" s="81"/>
      <c r="O526" s="81"/>
      <c r="P526" s="81"/>
      <c r="Q526" s="81"/>
      <c r="R526" s="81"/>
      <c r="S526" s="81"/>
      <c r="T526" s="81"/>
      <c r="U526" s="81"/>
      <c r="V526" s="81"/>
      <c r="W526" s="81"/>
    </row>
    <row r="527" spans="2:23" ht="12.75" customHeight="1" x14ac:dyDescent="0.2">
      <c r="B527" s="81"/>
      <c r="C527" s="81"/>
      <c r="D527" s="81"/>
      <c r="E527" s="81"/>
      <c r="F527" s="81"/>
      <c r="G527" s="81"/>
      <c r="H527" s="81"/>
      <c r="I527" s="81"/>
      <c r="J527" s="81"/>
      <c r="K527" s="81"/>
      <c r="N527" s="81"/>
      <c r="O527" s="81"/>
      <c r="P527" s="81"/>
      <c r="Q527" s="81"/>
      <c r="R527" s="81"/>
      <c r="S527" s="81"/>
      <c r="T527" s="81"/>
      <c r="U527" s="81"/>
      <c r="V527" s="81"/>
      <c r="W527" s="81"/>
    </row>
    <row r="528" spans="2:23" ht="12.75" customHeight="1" x14ac:dyDescent="0.2">
      <c r="B528" s="81"/>
      <c r="C528" s="81"/>
      <c r="D528" s="81"/>
      <c r="E528" s="81"/>
      <c r="F528" s="81"/>
      <c r="G528" s="81"/>
      <c r="H528" s="81"/>
      <c r="I528" s="81"/>
      <c r="J528" s="81"/>
      <c r="K528" s="81"/>
      <c r="N528" s="81"/>
      <c r="O528" s="81"/>
      <c r="P528" s="81"/>
      <c r="Q528" s="81"/>
      <c r="R528" s="81"/>
      <c r="S528" s="81"/>
      <c r="T528" s="81"/>
      <c r="U528" s="81"/>
      <c r="V528" s="81"/>
      <c r="W528" s="81"/>
    </row>
    <row r="529" spans="2:23" ht="12.75" customHeight="1" x14ac:dyDescent="0.2">
      <c r="B529" s="81"/>
      <c r="C529" s="81"/>
      <c r="D529" s="81"/>
      <c r="E529" s="81"/>
      <c r="F529" s="81"/>
      <c r="G529" s="81"/>
      <c r="H529" s="81"/>
      <c r="I529" s="81"/>
      <c r="J529" s="81"/>
      <c r="K529" s="81"/>
      <c r="N529" s="81"/>
      <c r="O529" s="81"/>
      <c r="P529" s="81"/>
      <c r="Q529" s="81"/>
      <c r="R529" s="81"/>
      <c r="S529" s="81"/>
      <c r="T529" s="81"/>
      <c r="U529" s="81"/>
      <c r="V529" s="81"/>
      <c r="W529" s="81"/>
    </row>
    <row r="530" spans="2:23" ht="12.75" customHeight="1" x14ac:dyDescent="0.2">
      <c r="B530" s="81"/>
      <c r="C530" s="81"/>
      <c r="D530" s="81"/>
      <c r="E530" s="81"/>
      <c r="F530" s="81"/>
      <c r="G530" s="81"/>
      <c r="H530" s="81"/>
      <c r="I530" s="81"/>
      <c r="J530" s="81"/>
      <c r="K530" s="81"/>
      <c r="N530" s="81"/>
      <c r="O530" s="81"/>
      <c r="P530" s="81"/>
      <c r="Q530" s="81"/>
      <c r="R530" s="81"/>
      <c r="S530" s="81"/>
      <c r="T530" s="81"/>
      <c r="U530" s="81"/>
      <c r="V530" s="81"/>
      <c r="W530" s="81"/>
    </row>
    <row r="531" spans="2:23" ht="12.75" customHeight="1" x14ac:dyDescent="0.2">
      <c r="B531" s="81"/>
      <c r="C531" s="81"/>
      <c r="D531" s="81"/>
      <c r="E531" s="81"/>
      <c r="F531" s="81"/>
      <c r="G531" s="81"/>
      <c r="H531" s="81"/>
      <c r="I531" s="81"/>
      <c r="J531" s="81"/>
      <c r="K531" s="81"/>
      <c r="N531" s="81"/>
      <c r="O531" s="81"/>
      <c r="P531" s="81"/>
      <c r="Q531" s="81"/>
      <c r="R531" s="81"/>
      <c r="S531" s="81"/>
      <c r="T531" s="81"/>
      <c r="U531" s="81"/>
      <c r="V531" s="81"/>
      <c r="W531" s="81"/>
    </row>
    <row r="532" spans="2:23" ht="12.75" customHeight="1" x14ac:dyDescent="0.2">
      <c r="B532" s="81"/>
      <c r="C532" s="81"/>
      <c r="D532" s="81"/>
      <c r="E532" s="81"/>
      <c r="F532" s="81"/>
      <c r="G532" s="81"/>
      <c r="H532" s="81"/>
      <c r="I532" s="81"/>
      <c r="J532" s="81"/>
      <c r="K532" s="81"/>
      <c r="N532" s="81"/>
      <c r="O532" s="81"/>
      <c r="P532" s="81"/>
      <c r="Q532" s="81"/>
      <c r="R532" s="81"/>
      <c r="S532" s="81"/>
      <c r="T532" s="81"/>
      <c r="U532" s="81"/>
      <c r="V532" s="81"/>
      <c r="W532" s="81"/>
    </row>
    <row r="533" spans="2:23" ht="12.75" customHeight="1" x14ac:dyDescent="0.2">
      <c r="B533" s="81"/>
      <c r="C533" s="81"/>
      <c r="D533" s="81"/>
      <c r="E533" s="81"/>
      <c r="F533" s="81"/>
      <c r="G533" s="81"/>
      <c r="H533" s="81"/>
      <c r="I533" s="81"/>
      <c r="J533" s="81"/>
      <c r="K533" s="81"/>
      <c r="N533" s="81"/>
      <c r="O533" s="81"/>
      <c r="P533" s="81"/>
      <c r="Q533" s="81"/>
      <c r="R533" s="81"/>
      <c r="S533" s="81"/>
      <c r="T533" s="81"/>
      <c r="U533" s="81"/>
      <c r="V533" s="81"/>
      <c r="W533" s="81"/>
    </row>
    <row r="534" spans="2:23" ht="12.75" customHeight="1" x14ac:dyDescent="0.2">
      <c r="B534" s="81"/>
      <c r="C534" s="81"/>
      <c r="D534" s="81"/>
      <c r="E534" s="81"/>
      <c r="F534" s="81"/>
      <c r="G534" s="81"/>
      <c r="H534" s="81"/>
      <c r="I534" s="81"/>
      <c r="J534" s="81"/>
      <c r="K534" s="81"/>
      <c r="N534" s="81"/>
      <c r="O534" s="81"/>
      <c r="P534" s="81"/>
      <c r="Q534" s="81"/>
      <c r="R534" s="81"/>
      <c r="S534" s="81"/>
      <c r="T534" s="81"/>
      <c r="U534" s="81"/>
      <c r="V534" s="81"/>
      <c r="W534" s="81"/>
    </row>
    <row r="535" spans="2:23" ht="12.75" customHeight="1" x14ac:dyDescent="0.2">
      <c r="B535" s="81"/>
      <c r="C535" s="81"/>
      <c r="D535" s="81"/>
      <c r="E535" s="81"/>
      <c r="F535" s="81"/>
      <c r="G535" s="81"/>
      <c r="H535" s="81"/>
      <c r="I535" s="81"/>
      <c r="J535" s="81"/>
      <c r="K535" s="81"/>
      <c r="N535" s="81"/>
      <c r="O535" s="81"/>
      <c r="P535" s="81"/>
      <c r="Q535" s="81"/>
      <c r="R535" s="81"/>
      <c r="S535" s="81"/>
      <c r="T535" s="81"/>
      <c r="U535" s="81"/>
      <c r="V535" s="81"/>
      <c r="W535" s="81"/>
    </row>
    <row r="536" spans="2:23" ht="12.75" customHeight="1" x14ac:dyDescent="0.2">
      <c r="B536" s="81"/>
      <c r="C536" s="81"/>
      <c r="D536" s="81"/>
      <c r="E536" s="81"/>
      <c r="F536" s="81"/>
      <c r="G536" s="81"/>
      <c r="H536" s="81"/>
      <c r="I536" s="81"/>
      <c r="J536" s="81"/>
      <c r="K536" s="81"/>
      <c r="N536" s="81"/>
      <c r="O536" s="81"/>
      <c r="P536" s="81"/>
      <c r="Q536" s="81"/>
      <c r="R536" s="81"/>
      <c r="S536" s="81"/>
      <c r="T536" s="81"/>
      <c r="U536" s="81"/>
      <c r="V536" s="81"/>
      <c r="W536" s="81"/>
    </row>
    <row r="537" spans="2:23" ht="12.75" customHeight="1" x14ac:dyDescent="0.2">
      <c r="B537" s="81"/>
      <c r="C537" s="81"/>
      <c r="D537" s="81"/>
      <c r="E537" s="81"/>
      <c r="F537" s="81"/>
      <c r="G537" s="81"/>
      <c r="H537" s="81"/>
      <c r="I537" s="81"/>
      <c r="J537" s="81"/>
      <c r="K537" s="81"/>
      <c r="N537" s="81"/>
      <c r="O537" s="81"/>
      <c r="P537" s="81"/>
      <c r="Q537" s="81"/>
      <c r="R537" s="81"/>
      <c r="S537" s="81"/>
      <c r="T537" s="81"/>
      <c r="U537" s="81"/>
      <c r="V537" s="81"/>
      <c r="W537" s="81"/>
    </row>
    <row r="538" spans="2:23" ht="12.75" customHeight="1" x14ac:dyDescent="0.2">
      <c r="B538" s="81"/>
      <c r="C538" s="81"/>
      <c r="D538" s="81"/>
      <c r="E538" s="81"/>
      <c r="F538" s="81"/>
      <c r="G538" s="81"/>
      <c r="H538" s="81"/>
      <c r="I538" s="81"/>
      <c r="J538" s="81"/>
      <c r="K538" s="81"/>
      <c r="N538" s="81"/>
      <c r="O538" s="81"/>
      <c r="P538" s="81"/>
      <c r="Q538" s="81"/>
      <c r="R538" s="81"/>
      <c r="S538" s="81"/>
      <c r="T538" s="81"/>
      <c r="U538" s="81"/>
      <c r="V538" s="81"/>
      <c r="W538" s="81"/>
    </row>
    <row r="539" spans="2:23" ht="12.75" customHeight="1" x14ac:dyDescent="0.2">
      <c r="B539" s="81"/>
      <c r="C539" s="81"/>
      <c r="D539" s="81"/>
      <c r="E539" s="81"/>
      <c r="F539" s="81"/>
      <c r="G539" s="81"/>
      <c r="H539" s="81"/>
      <c r="I539" s="81"/>
      <c r="J539" s="81"/>
      <c r="K539" s="81"/>
      <c r="N539" s="81"/>
      <c r="O539" s="81"/>
      <c r="P539" s="81"/>
      <c r="Q539" s="81"/>
      <c r="R539" s="81"/>
      <c r="S539" s="81"/>
      <c r="T539" s="81"/>
      <c r="U539" s="81"/>
      <c r="V539" s="81"/>
      <c r="W539" s="81"/>
    </row>
    <row r="540" spans="2:23" ht="12.75" customHeight="1" x14ac:dyDescent="0.2">
      <c r="B540" s="81"/>
      <c r="C540" s="81"/>
      <c r="D540" s="81"/>
      <c r="E540" s="81"/>
      <c r="F540" s="81"/>
      <c r="G540" s="81"/>
      <c r="H540" s="81"/>
      <c r="I540" s="81"/>
      <c r="J540" s="81"/>
      <c r="K540" s="81"/>
      <c r="N540" s="81"/>
      <c r="O540" s="81"/>
      <c r="P540" s="81"/>
      <c r="Q540" s="81"/>
      <c r="R540" s="81"/>
      <c r="S540" s="81"/>
      <c r="T540" s="81"/>
      <c r="U540" s="81"/>
      <c r="V540" s="81"/>
      <c r="W540" s="81"/>
    </row>
    <row r="541" spans="2:23" ht="12.75" customHeight="1" x14ac:dyDescent="0.2">
      <c r="B541" s="81"/>
      <c r="C541" s="81"/>
      <c r="D541" s="81"/>
      <c r="E541" s="81"/>
      <c r="F541" s="81"/>
      <c r="G541" s="81"/>
      <c r="H541" s="81"/>
      <c r="I541" s="81"/>
      <c r="J541" s="81"/>
      <c r="K541" s="81"/>
      <c r="N541" s="81"/>
      <c r="O541" s="81"/>
      <c r="P541" s="81"/>
      <c r="Q541" s="81"/>
      <c r="R541" s="81"/>
      <c r="S541" s="81"/>
      <c r="T541" s="81"/>
      <c r="U541" s="81"/>
      <c r="V541" s="81"/>
      <c r="W541" s="81"/>
    </row>
    <row r="542" spans="2:23" ht="12.75" customHeight="1" x14ac:dyDescent="0.2">
      <c r="B542" s="81"/>
      <c r="C542" s="81"/>
      <c r="D542" s="81"/>
      <c r="E542" s="81"/>
      <c r="F542" s="81"/>
      <c r="G542" s="81"/>
      <c r="H542" s="81"/>
      <c r="I542" s="81"/>
      <c r="J542" s="81"/>
      <c r="K542" s="81"/>
      <c r="N542" s="81"/>
      <c r="O542" s="81"/>
      <c r="P542" s="81"/>
      <c r="Q542" s="81"/>
      <c r="R542" s="81"/>
      <c r="S542" s="81"/>
      <c r="T542" s="81"/>
      <c r="U542" s="81"/>
      <c r="V542" s="81"/>
      <c r="W542" s="81"/>
    </row>
    <row r="543" spans="2:23" ht="12.75" customHeight="1" x14ac:dyDescent="0.2">
      <c r="B543" s="81"/>
      <c r="C543" s="81"/>
      <c r="D543" s="81"/>
      <c r="E543" s="81"/>
      <c r="F543" s="81"/>
      <c r="G543" s="81"/>
      <c r="H543" s="81"/>
      <c r="I543" s="81"/>
      <c r="J543" s="81"/>
      <c r="K543" s="81"/>
      <c r="N543" s="81"/>
      <c r="O543" s="81"/>
      <c r="P543" s="81"/>
      <c r="Q543" s="81"/>
      <c r="R543" s="81"/>
      <c r="S543" s="81"/>
      <c r="T543" s="81"/>
      <c r="U543" s="81"/>
      <c r="V543" s="81"/>
      <c r="W543" s="81"/>
    </row>
    <row r="544" spans="2:23" ht="12.75" customHeight="1" x14ac:dyDescent="0.2">
      <c r="B544" s="81"/>
      <c r="C544" s="81"/>
      <c r="D544" s="81"/>
      <c r="E544" s="81"/>
      <c r="F544" s="81"/>
      <c r="G544" s="81"/>
      <c r="H544" s="81"/>
      <c r="I544" s="81"/>
      <c r="J544" s="81"/>
      <c r="K544" s="81"/>
      <c r="N544" s="81"/>
      <c r="O544" s="81"/>
      <c r="P544" s="81"/>
      <c r="Q544" s="81"/>
      <c r="R544" s="81"/>
      <c r="S544" s="81"/>
      <c r="T544" s="81"/>
      <c r="U544" s="81"/>
      <c r="V544" s="81"/>
      <c r="W544" s="81"/>
    </row>
    <row r="545" spans="2:23" ht="12.75" customHeight="1" x14ac:dyDescent="0.2">
      <c r="B545" s="81"/>
      <c r="C545" s="81"/>
      <c r="D545" s="81"/>
      <c r="E545" s="81"/>
      <c r="F545" s="81"/>
      <c r="G545" s="81"/>
      <c r="H545" s="81"/>
      <c r="I545" s="81"/>
      <c r="J545" s="81"/>
      <c r="K545" s="81"/>
      <c r="N545" s="81"/>
      <c r="O545" s="81"/>
      <c r="P545" s="81"/>
      <c r="Q545" s="81"/>
      <c r="R545" s="81"/>
      <c r="S545" s="81"/>
      <c r="T545" s="81"/>
      <c r="U545" s="81"/>
      <c r="V545" s="81"/>
      <c r="W545" s="81"/>
    </row>
    <row r="546" spans="2:23" ht="12.75" customHeight="1" x14ac:dyDescent="0.2">
      <c r="B546" s="81"/>
      <c r="C546" s="81"/>
      <c r="D546" s="81"/>
      <c r="E546" s="81"/>
      <c r="F546" s="81"/>
      <c r="G546" s="81"/>
      <c r="H546" s="81"/>
      <c r="I546" s="81"/>
      <c r="J546" s="81"/>
      <c r="K546" s="81"/>
      <c r="N546" s="81"/>
      <c r="O546" s="81"/>
      <c r="P546" s="81"/>
      <c r="Q546" s="81"/>
      <c r="R546" s="81"/>
      <c r="S546" s="81"/>
      <c r="T546" s="81"/>
      <c r="U546" s="81"/>
      <c r="V546" s="81"/>
      <c r="W546" s="81"/>
    </row>
    <row r="547" spans="2:23" ht="12.75" customHeight="1" x14ac:dyDescent="0.2">
      <c r="B547" s="81"/>
      <c r="C547" s="81"/>
      <c r="D547" s="81"/>
      <c r="E547" s="81"/>
      <c r="F547" s="81"/>
      <c r="G547" s="81"/>
      <c r="H547" s="81"/>
      <c r="I547" s="81"/>
      <c r="J547" s="81"/>
      <c r="K547" s="81"/>
      <c r="N547" s="81"/>
      <c r="O547" s="81"/>
      <c r="P547" s="81"/>
      <c r="Q547" s="81"/>
      <c r="R547" s="81"/>
      <c r="S547" s="81"/>
      <c r="T547" s="81"/>
      <c r="U547" s="81"/>
      <c r="V547" s="81"/>
      <c r="W547" s="81"/>
    </row>
    <row r="548" spans="2:23" ht="12.75" customHeight="1" x14ac:dyDescent="0.2">
      <c r="B548" s="81"/>
      <c r="C548" s="81"/>
      <c r="D548" s="81"/>
      <c r="E548" s="81"/>
      <c r="F548" s="81"/>
      <c r="G548" s="81"/>
      <c r="H548" s="81"/>
      <c r="I548" s="81"/>
      <c r="J548" s="81"/>
      <c r="K548" s="81"/>
      <c r="N548" s="81"/>
      <c r="O548" s="81"/>
      <c r="P548" s="81"/>
      <c r="Q548" s="81"/>
      <c r="R548" s="81"/>
      <c r="S548" s="81"/>
      <c r="T548" s="81"/>
      <c r="U548" s="81"/>
      <c r="V548" s="81"/>
      <c r="W548" s="81"/>
    </row>
    <row r="549" spans="2:23" ht="12.75" customHeight="1" x14ac:dyDescent="0.2">
      <c r="B549" s="81"/>
      <c r="C549" s="81"/>
      <c r="D549" s="81"/>
      <c r="E549" s="81"/>
      <c r="F549" s="81"/>
      <c r="G549" s="81"/>
      <c r="H549" s="81"/>
      <c r="I549" s="81"/>
      <c r="J549" s="81"/>
      <c r="K549" s="81"/>
      <c r="N549" s="81"/>
      <c r="O549" s="81"/>
      <c r="P549" s="81"/>
      <c r="Q549" s="81"/>
      <c r="R549" s="81"/>
      <c r="S549" s="81"/>
      <c r="T549" s="81"/>
      <c r="U549" s="81"/>
      <c r="V549" s="81"/>
      <c r="W549" s="81"/>
    </row>
    <row r="550" spans="2:23" ht="12.75" customHeight="1" x14ac:dyDescent="0.2">
      <c r="B550" s="81"/>
      <c r="C550" s="81"/>
      <c r="D550" s="81"/>
      <c r="E550" s="81"/>
      <c r="F550" s="81"/>
      <c r="G550" s="81"/>
      <c r="H550" s="81"/>
      <c r="I550" s="81"/>
      <c r="J550" s="81"/>
      <c r="K550" s="81"/>
      <c r="N550" s="81"/>
      <c r="O550" s="81"/>
      <c r="P550" s="81"/>
      <c r="Q550" s="81"/>
      <c r="R550" s="81"/>
      <c r="S550" s="81"/>
      <c r="T550" s="81"/>
      <c r="U550" s="81"/>
      <c r="V550" s="81"/>
      <c r="W550" s="81"/>
    </row>
    <row r="551" spans="2:23" ht="12.75" customHeight="1" x14ac:dyDescent="0.2">
      <c r="B551" s="81"/>
      <c r="C551" s="81"/>
      <c r="D551" s="81"/>
      <c r="E551" s="81"/>
      <c r="F551" s="81"/>
      <c r="G551" s="81"/>
      <c r="H551" s="81"/>
      <c r="I551" s="81"/>
      <c r="J551" s="81"/>
      <c r="K551" s="81"/>
      <c r="N551" s="81"/>
      <c r="O551" s="81"/>
      <c r="P551" s="81"/>
      <c r="Q551" s="81"/>
      <c r="R551" s="81"/>
      <c r="S551" s="81"/>
      <c r="T551" s="81"/>
      <c r="U551" s="81"/>
      <c r="V551" s="81"/>
      <c r="W551" s="81"/>
    </row>
    <row r="552" spans="2:23" ht="12.75" customHeight="1" x14ac:dyDescent="0.2">
      <c r="B552" s="81"/>
      <c r="C552" s="81"/>
      <c r="D552" s="81"/>
      <c r="E552" s="81"/>
      <c r="F552" s="81"/>
      <c r="G552" s="81"/>
      <c r="H552" s="81"/>
      <c r="I552" s="81"/>
      <c r="J552" s="81"/>
      <c r="K552" s="81"/>
      <c r="N552" s="81"/>
      <c r="O552" s="81"/>
      <c r="P552" s="81"/>
      <c r="Q552" s="81"/>
      <c r="R552" s="81"/>
      <c r="S552" s="81"/>
      <c r="T552" s="81"/>
      <c r="U552" s="81"/>
      <c r="V552" s="81"/>
      <c r="W552" s="81"/>
    </row>
    <row r="553" spans="2:23" ht="12.75" customHeight="1" x14ac:dyDescent="0.2">
      <c r="B553" s="81"/>
      <c r="C553" s="81"/>
      <c r="D553" s="81"/>
      <c r="E553" s="81"/>
      <c r="F553" s="81"/>
      <c r="G553" s="81"/>
      <c r="H553" s="81"/>
      <c r="I553" s="81"/>
      <c r="J553" s="81"/>
      <c r="K553" s="81"/>
      <c r="N553" s="81"/>
      <c r="O553" s="81"/>
      <c r="P553" s="81"/>
      <c r="Q553" s="81"/>
      <c r="R553" s="81"/>
      <c r="S553" s="81"/>
      <c r="T553" s="81"/>
      <c r="U553" s="81"/>
      <c r="V553" s="81"/>
      <c r="W553" s="81"/>
    </row>
    <row r="554" spans="2:23" ht="12.75" customHeight="1" x14ac:dyDescent="0.2">
      <c r="B554" s="81"/>
      <c r="C554" s="81"/>
      <c r="D554" s="81"/>
      <c r="E554" s="81"/>
      <c r="F554" s="81"/>
      <c r="G554" s="81"/>
      <c r="H554" s="81"/>
      <c r="I554" s="81"/>
      <c r="J554" s="81"/>
      <c r="K554" s="81"/>
      <c r="N554" s="81"/>
      <c r="O554" s="81"/>
      <c r="P554" s="81"/>
      <c r="Q554" s="81"/>
      <c r="R554" s="81"/>
      <c r="S554" s="81"/>
      <c r="T554" s="81"/>
      <c r="U554" s="81"/>
      <c r="V554" s="81"/>
      <c r="W554" s="81"/>
    </row>
    <row r="555" spans="2:23" ht="12.75" customHeight="1" x14ac:dyDescent="0.2">
      <c r="B555" s="81"/>
      <c r="C555" s="81"/>
      <c r="D555" s="81"/>
      <c r="E555" s="81"/>
      <c r="F555" s="81"/>
      <c r="G555" s="81"/>
      <c r="H555" s="81"/>
      <c r="I555" s="81"/>
      <c r="J555" s="81"/>
      <c r="K555" s="81"/>
      <c r="N555" s="81"/>
      <c r="O555" s="81"/>
      <c r="P555" s="81"/>
      <c r="Q555" s="81"/>
      <c r="R555" s="81"/>
      <c r="S555" s="81"/>
      <c r="T555" s="81"/>
      <c r="U555" s="81"/>
      <c r="V555" s="81"/>
      <c r="W555" s="81"/>
    </row>
    <row r="556" spans="2:23" ht="12.75" customHeight="1" x14ac:dyDescent="0.2">
      <c r="B556" s="81"/>
      <c r="C556" s="81"/>
      <c r="D556" s="81"/>
      <c r="E556" s="81"/>
      <c r="F556" s="81"/>
      <c r="G556" s="81"/>
      <c r="H556" s="81"/>
      <c r="I556" s="81"/>
      <c r="J556" s="81"/>
      <c r="K556" s="81"/>
      <c r="N556" s="81"/>
      <c r="O556" s="81"/>
      <c r="P556" s="81"/>
      <c r="Q556" s="81"/>
      <c r="R556" s="81"/>
      <c r="S556" s="81"/>
      <c r="T556" s="81"/>
      <c r="U556" s="81"/>
      <c r="V556" s="81"/>
      <c r="W556" s="81"/>
    </row>
    <row r="557" spans="2:23" ht="12.75" customHeight="1" x14ac:dyDescent="0.2">
      <c r="B557" s="81"/>
      <c r="C557" s="81"/>
      <c r="D557" s="81"/>
      <c r="E557" s="81"/>
      <c r="F557" s="81"/>
      <c r="G557" s="81"/>
      <c r="H557" s="81"/>
      <c r="I557" s="81"/>
      <c r="J557" s="81"/>
      <c r="K557" s="81"/>
      <c r="N557" s="81"/>
      <c r="O557" s="81"/>
      <c r="P557" s="81"/>
      <c r="Q557" s="81"/>
      <c r="R557" s="81"/>
      <c r="S557" s="81"/>
      <c r="T557" s="81"/>
      <c r="U557" s="81"/>
      <c r="V557" s="81"/>
      <c r="W557" s="81"/>
    </row>
    <row r="558" spans="2:23" ht="12.75" customHeight="1" x14ac:dyDescent="0.2">
      <c r="B558" s="81"/>
      <c r="C558" s="81"/>
      <c r="D558" s="81"/>
      <c r="E558" s="81"/>
      <c r="F558" s="81"/>
      <c r="G558" s="81"/>
      <c r="H558" s="81"/>
      <c r="I558" s="81"/>
      <c r="J558" s="81"/>
      <c r="K558" s="81"/>
      <c r="N558" s="81"/>
      <c r="O558" s="81"/>
      <c r="P558" s="81"/>
      <c r="Q558" s="81"/>
      <c r="R558" s="81"/>
      <c r="S558" s="81"/>
      <c r="T558" s="81"/>
      <c r="U558" s="81"/>
      <c r="V558" s="81"/>
      <c r="W558" s="81"/>
    </row>
    <row r="559" spans="2:23" ht="12.75" customHeight="1" x14ac:dyDescent="0.2">
      <c r="B559" s="81"/>
      <c r="C559" s="81"/>
      <c r="D559" s="81"/>
      <c r="E559" s="81"/>
      <c r="F559" s="81"/>
      <c r="G559" s="81"/>
      <c r="H559" s="81"/>
      <c r="I559" s="81"/>
      <c r="J559" s="81"/>
      <c r="K559" s="81"/>
      <c r="N559" s="81"/>
      <c r="O559" s="81"/>
      <c r="P559" s="81"/>
      <c r="Q559" s="81"/>
      <c r="R559" s="81"/>
      <c r="S559" s="81"/>
      <c r="T559" s="81"/>
      <c r="U559" s="81"/>
      <c r="V559" s="81"/>
      <c r="W559" s="81"/>
    </row>
    <row r="560" spans="2:23" ht="12.75" customHeight="1" x14ac:dyDescent="0.2">
      <c r="B560" s="81"/>
      <c r="C560" s="81"/>
      <c r="D560" s="81"/>
      <c r="E560" s="81"/>
      <c r="F560" s="81"/>
      <c r="G560" s="81"/>
      <c r="H560" s="81"/>
      <c r="I560" s="81"/>
      <c r="J560" s="81"/>
      <c r="K560" s="81"/>
      <c r="N560" s="81"/>
      <c r="O560" s="81"/>
      <c r="P560" s="81"/>
      <c r="Q560" s="81"/>
      <c r="R560" s="81"/>
      <c r="S560" s="81"/>
      <c r="T560" s="81"/>
      <c r="U560" s="81"/>
      <c r="V560" s="81"/>
      <c r="W560" s="81"/>
    </row>
    <row r="561" spans="2:23" ht="12.75" customHeight="1" x14ac:dyDescent="0.2">
      <c r="B561" s="81"/>
      <c r="C561" s="81"/>
      <c r="D561" s="81"/>
      <c r="E561" s="81"/>
      <c r="F561" s="81"/>
      <c r="G561" s="81"/>
      <c r="H561" s="81"/>
      <c r="I561" s="81"/>
      <c r="J561" s="81"/>
      <c r="K561" s="81"/>
      <c r="N561" s="81"/>
      <c r="O561" s="81"/>
      <c r="P561" s="81"/>
      <c r="Q561" s="81"/>
      <c r="R561" s="81"/>
      <c r="S561" s="81"/>
      <c r="T561" s="81"/>
      <c r="U561" s="81"/>
      <c r="V561" s="81"/>
      <c r="W561" s="81"/>
    </row>
    <row r="562" spans="2:23" ht="12.75" customHeight="1" x14ac:dyDescent="0.2">
      <c r="B562" s="81"/>
      <c r="C562" s="81"/>
      <c r="D562" s="81"/>
      <c r="E562" s="81"/>
      <c r="F562" s="81"/>
      <c r="G562" s="81"/>
      <c r="H562" s="81"/>
      <c r="I562" s="81"/>
      <c r="J562" s="81"/>
      <c r="K562" s="81"/>
      <c r="N562" s="81"/>
      <c r="O562" s="81"/>
      <c r="P562" s="81"/>
      <c r="Q562" s="81"/>
      <c r="R562" s="81"/>
      <c r="S562" s="81"/>
      <c r="T562" s="81"/>
      <c r="U562" s="81"/>
      <c r="V562" s="81"/>
      <c r="W562" s="81"/>
    </row>
    <row r="563" spans="2:23" ht="12.75" customHeight="1" x14ac:dyDescent="0.2">
      <c r="B563" s="81"/>
      <c r="C563" s="81"/>
      <c r="D563" s="81"/>
      <c r="E563" s="81"/>
      <c r="F563" s="81"/>
      <c r="G563" s="81"/>
      <c r="H563" s="81"/>
      <c r="I563" s="81"/>
      <c r="J563" s="81"/>
      <c r="K563" s="81"/>
      <c r="N563" s="81"/>
      <c r="O563" s="81"/>
      <c r="P563" s="81"/>
      <c r="Q563" s="81"/>
      <c r="R563" s="81"/>
      <c r="S563" s="81"/>
      <c r="T563" s="81"/>
      <c r="U563" s="81"/>
      <c r="V563" s="81"/>
      <c r="W563" s="81"/>
    </row>
    <row r="564" spans="2:23" ht="12.75" customHeight="1" x14ac:dyDescent="0.2">
      <c r="B564" s="81"/>
      <c r="C564" s="81"/>
      <c r="D564" s="81"/>
      <c r="E564" s="81"/>
      <c r="F564" s="81"/>
      <c r="G564" s="81"/>
      <c r="H564" s="81"/>
      <c r="I564" s="81"/>
      <c r="J564" s="81"/>
      <c r="K564" s="81"/>
      <c r="N564" s="81"/>
      <c r="O564" s="81"/>
      <c r="P564" s="81"/>
      <c r="Q564" s="81"/>
      <c r="R564" s="81"/>
      <c r="S564" s="81"/>
      <c r="T564" s="81"/>
      <c r="U564" s="81"/>
      <c r="V564" s="81"/>
      <c r="W564" s="81"/>
    </row>
    <row r="565" spans="2:23" ht="12.75" customHeight="1" x14ac:dyDescent="0.2">
      <c r="B565" s="81"/>
      <c r="C565" s="81"/>
      <c r="D565" s="81"/>
      <c r="E565" s="81"/>
      <c r="F565" s="81"/>
      <c r="G565" s="81"/>
      <c r="H565" s="81"/>
      <c r="I565" s="81"/>
      <c r="J565" s="81"/>
      <c r="K565" s="81"/>
      <c r="N565" s="81"/>
      <c r="O565" s="81"/>
      <c r="P565" s="81"/>
      <c r="Q565" s="81"/>
      <c r="R565" s="81"/>
      <c r="S565" s="81"/>
      <c r="T565" s="81"/>
      <c r="U565" s="81"/>
      <c r="V565" s="81"/>
      <c r="W565" s="81"/>
    </row>
    <row r="566" spans="2:23" ht="12.75" customHeight="1" x14ac:dyDescent="0.2">
      <c r="B566" s="81"/>
      <c r="C566" s="81"/>
      <c r="D566" s="81"/>
      <c r="E566" s="81"/>
      <c r="F566" s="81"/>
      <c r="G566" s="81"/>
      <c r="H566" s="81"/>
      <c r="I566" s="81"/>
      <c r="J566" s="81"/>
      <c r="K566" s="81"/>
      <c r="N566" s="81"/>
      <c r="O566" s="81"/>
      <c r="P566" s="81"/>
      <c r="Q566" s="81"/>
      <c r="R566" s="81"/>
      <c r="S566" s="81"/>
      <c r="T566" s="81"/>
      <c r="U566" s="81"/>
      <c r="V566" s="81"/>
      <c r="W566" s="81"/>
    </row>
    <row r="567" spans="2:23" ht="12.75" customHeight="1" x14ac:dyDescent="0.2">
      <c r="B567" s="81"/>
      <c r="C567" s="81"/>
      <c r="D567" s="81"/>
      <c r="E567" s="81"/>
      <c r="F567" s="81"/>
      <c r="G567" s="81"/>
      <c r="H567" s="81"/>
      <c r="I567" s="81"/>
      <c r="J567" s="81"/>
      <c r="K567" s="81"/>
      <c r="N567" s="81"/>
      <c r="O567" s="81"/>
      <c r="P567" s="81"/>
      <c r="Q567" s="81"/>
      <c r="R567" s="81"/>
      <c r="S567" s="81"/>
      <c r="T567" s="81"/>
      <c r="U567" s="81"/>
      <c r="V567" s="81"/>
      <c r="W567" s="81"/>
    </row>
    <row r="568" spans="2:23" ht="12.75" customHeight="1" x14ac:dyDescent="0.2">
      <c r="B568" s="81"/>
      <c r="C568" s="81"/>
      <c r="D568" s="81"/>
      <c r="E568" s="81"/>
      <c r="F568" s="81"/>
      <c r="G568" s="81"/>
      <c r="H568" s="81"/>
      <c r="I568" s="81"/>
      <c r="J568" s="81"/>
      <c r="K568" s="81"/>
      <c r="N568" s="81"/>
      <c r="O568" s="81"/>
      <c r="P568" s="81"/>
      <c r="Q568" s="81"/>
      <c r="R568" s="81"/>
      <c r="S568" s="81"/>
      <c r="T568" s="81"/>
      <c r="U568" s="81"/>
      <c r="V568" s="81"/>
      <c r="W568" s="81"/>
    </row>
    <row r="569" spans="2:23" ht="12.75" customHeight="1" x14ac:dyDescent="0.2">
      <c r="B569" s="81"/>
      <c r="C569" s="81"/>
      <c r="D569" s="81"/>
      <c r="E569" s="81"/>
      <c r="F569" s="81"/>
      <c r="G569" s="81"/>
      <c r="H569" s="81"/>
      <c r="I569" s="81"/>
      <c r="J569" s="81"/>
      <c r="K569" s="81"/>
      <c r="N569" s="81"/>
      <c r="O569" s="81"/>
      <c r="P569" s="81"/>
      <c r="Q569" s="81"/>
      <c r="R569" s="81"/>
      <c r="S569" s="81"/>
      <c r="T569" s="81"/>
      <c r="U569" s="81"/>
      <c r="V569" s="81"/>
      <c r="W569" s="81"/>
    </row>
    <row r="570" spans="2:23" ht="12.75" customHeight="1" x14ac:dyDescent="0.2">
      <c r="B570" s="81"/>
      <c r="C570" s="81"/>
      <c r="D570" s="81"/>
      <c r="E570" s="81"/>
      <c r="F570" s="81"/>
      <c r="G570" s="81"/>
      <c r="H570" s="81"/>
      <c r="I570" s="81"/>
      <c r="J570" s="81"/>
      <c r="K570" s="81"/>
      <c r="N570" s="81"/>
      <c r="O570" s="81"/>
      <c r="P570" s="81"/>
      <c r="Q570" s="81"/>
      <c r="R570" s="81"/>
      <c r="S570" s="81"/>
      <c r="T570" s="81"/>
      <c r="U570" s="81"/>
      <c r="V570" s="81"/>
      <c r="W570" s="81"/>
    </row>
    <row r="571" spans="2:23" ht="12.75" customHeight="1" x14ac:dyDescent="0.2">
      <c r="B571" s="81"/>
      <c r="C571" s="81"/>
      <c r="D571" s="81"/>
      <c r="E571" s="81"/>
      <c r="F571" s="81"/>
      <c r="G571" s="81"/>
      <c r="H571" s="81"/>
      <c r="I571" s="81"/>
      <c r="J571" s="81"/>
      <c r="K571" s="81"/>
      <c r="N571" s="81"/>
      <c r="O571" s="81"/>
      <c r="P571" s="81"/>
      <c r="Q571" s="81"/>
      <c r="R571" s="81"/>
      <c r="S571" s="81"/>
      <c r="T571" s="81"/>
      <c r="U571" s="81"/>
      <c r="V571" s="81"/>
      <c r="W571" s="81"/>
    </row>
    <row r="572" spans="2:23" ht="12.75" customHeight="1" x14ac:dyDescent="0.2">
      <c r="B572" s="81"/>
      <c r="C572" s="81"/>
      <c r="D572" s="81"/>
      <c r="E572" s="81"/>
      <c r="F572" s="81"/>
      <c r="G572" s="81"/>
      <c r="H572" s="81"/>
      <c r="I572" s="81"/>
      <c r="J572" s="81"/>
      <c r="K572" s="81"/>
      <c r="N572" s="81"/>
      <c r="O572" s="81"/>
      <c r="P572" s="81"/>
      <c r="Q572" s="81"/>
      <c r="R572" s="81"/>
      <c r="S572" s="81"/>
      <c r="T572" s="81"/>
      <c r="U572" s="81"/>
      <c r="V572" s="81"/>
      <c r="W572" s="81"/>
    </row>
    <row r="573" spans="2:23" ht="12.75" customHeight="1" x14ac:dyDescent="0.2">
      <c r="B573" s="81"/>
      <c r="C573" s="81"/>
      <c r="D573" s="81"/>
      <c r="E573" s="81"/>
      <c r="F573" s="81"/>
      <c r="G573" s="81"/>
      <c r="H573" s="81"/>
      <c r="I573" s="81"/>
      <c r="J573" s="81"/>
      <c r="K573" s="81"/>
      <c r="N573" s="81"/>
      <c r="O573" s="81"/>
      <c r="P573" s="81"/>
      <c r="Q573" s="81"/>
      <c r="R573" s="81"/>
      <c r="S573" s="81"/>
      <c r="T573" s="81"/>
      <c r="U573" s="81"/>
      <c r="V573" s="81"/>
      <c r="W573" s="81"/>
    </row>
    <row r="574" spans="2:23" ht="12.75" customHeight="1" x14ac:dyDescent="0.2">
      <c r="B574" s="81"/>
      <c r="C574" s="81"/>
      <c r="D574" s="81"/>
      <c r="E574" s="81"/>
      <c r="F574" s="81"/>
      <c r="G574" s="81"/>
      <c r="H574" s="81"/>
      <c r="I574" s="81"/>
      <c r="J574" s="81"/>
      <c r="K574" s="81"/>
      <c r="N574" s="81"/>
      <c r="O574" s="81"/>
      <c r="P574" s="81"/>
      <c r="Q574" s="81"/>
      <c r="R574" s="81"/>
      <c r="S574" s="81"/>
      <c r="T574" s="81"/>
      <c r="U574" s="81"/>
      <c r="V574" s="81"/>
      <c r="W574" s="81"/>
    </row>
    <row r="575" spans="2:23" ht="12.75" customHeight="1" x14ac:dyDescent="0.2">
      <c r="B575" s="81"/>
      <c r="C575" s="81"/>
      <c r="D575" s="81"/>
      <c r="E575" s="81"/>
      <c r="F575" s="81"/>
      <c r="G575" s="81"/>
      <c r="H575" s="81"/>
      <c r="I575" s="81"/>
      <c r="J575" s="81"/>
      <c r="K575" s="81"/>
      <c r="N575" s="81"/>
      <c r="O575" s="81"/>
      <c r="P575" s="81"/>
      <c r="Q575" s="81"/>
      <c r="R575" s="81"/>
      <c r="S575" s="81"/>
      <c r="T575" s="81"/>
      <c r="U575" s="81"/>
      <c r="V575" s="81"/>
      <c r="W575" s="81"/>
    </row>
    <row r="576" spans="2:23" ht="12.75" customHeight="1" x14ac:dyDescent="0.2">
      <c r="B576" s="81"/>
      <c r="C576" s="81"/>
      <c r="D576" s="81"/>
      <c r="E576" s="81"/>
      <c r="F576" s="81"/>
      <c r="G576" s="81"/>
      <c r="H576" s="81"/>
      <c r="I576" s="81"/>
      <c r="J576" s="81"/>
      <c r="K576" s="81"/>
      <c r="N576" s="81"/>
      <c r="O576" s="81"/>
      <c r="P576" s="81"/>
      <c r="Q576" s="81"/>
      <c r="R576" s="81"/>
      <c r="S576" s="81"/>
      <c r="T576" s="81"/>
      <c r="U576" s="81"/>
      <c r="V576" s="81"/>
      <c r="W576" s="81"/>
    </row>
    <row r="577" spans="2:23" ht="12.75" customHeight="1" x14ac:dyDescent="0.2">
      <c r="B577" s="81"/>
      <c r="C577" s="81"/>
      <c r="D577" s="81"/>
      <c r="E577" s="81"/>
      <c r="F577" s="81"/>
      <c r="G577" s="81"/>
      <c r="H577" s="81"/>
      <c r="I577" s="81"/>
      <c r="J577" s="81"/>
      <c r="K577" s="81"/>
      <c r="N577" s="81"/>
      <c r="O577" s="81"/>
      <c r="P577" s="81"/>
      <c r="Q577" s="81"/>
      <c r="R577" s="81"/>
      <c r="S577" s="81"/>
      <c r="T577" s="81"/>
      <c r="U577" s="81"/>
      <c r="V577" s="81"/>
      <c r="W577" s="81"/>
    </row>
    <row r="578" spans="2:23" ht="12.75" customHeight="1" x14ac:dyDescent="0.2">
      <c r="B578" s="81"/>
      <c r="C578" s="81"/>
      <c r="D578" s="81"/>
      <c r="E578" s="81"/>
      <c r="F578" s="81"/>
      <c r="G578" s="81"/>
      <c r="H578" s="81"/>
      <c r="I578" s="81"/>
      <c r="J578" s="81"/>
      <c r="K578" s="81"/>
      <c r="N578" s="81"/>
      <c r="O578" s="81"/>
      <c r="P578" s="81"/>
      <c r="Q578" s="81"/>
      <c r="R578" s="81"/>
      <c r="S578" s="81"/>
      <c r="T578" s="81"/>
      <c r="U578" s="81"/>
      <c r="V578" s="81"/>
      <c r="W578" s="81"/>
    </row>
    <row r="579" spans="2:23" ht="12.75" customHeight="1" x14ac:dyDescent="0.2">
      <c r="B579" s="81"/>
      <c r="C579" s="81"/>
      <c r="D579" s="81"/>
      <c r="E579" s="81"/>
      <c r="F579" s="81"/>
      <c r="G579" s="81"/>
      <c r="H579" s="81"/>
      <c r="I579" s="81"/>
      <c r="J579" s="81"/>
      <c r="K579" s="81"/>
      <c r="N579" s="81"/>
      <c r="O579" s="81"/>
      <c r="P579" s="81"/>
      <c r="Q579" s="81"/>
      <c r="R579" s="81"/>
      <c r="S579" s="81"/>
      <c r="T579" s="81"/>
      <c r="U579" s="81"/>
      <c r="V579" s="81"/>
      <c r="W579" s="81"/>
    </row>
    <row r="580" spans="2:23" ht="12.75" customHeight="1" x14ac:dyDescent="0.2">
      <c r="B580" s="81"/>
      <c r="C580" s="81"/>
      <c r="D580" s="81"/>
      <c r="E580" s="81"/>
      <c r="F580" s="81"/>
      <c r="G580" s="81"/>
      <c r="H580" s="81"/>
      <c r="I580" s="81"/>
      <c r="J580" s="81"/>
      <c r="K580" s="81"/>
      <c r="N580" s="81"/>
      <c r="O580" s="81"/>
      <c r="P580" s="81"/>
      <c r="Q580" s="81"/>
      <c r="R580" s="81"/>
      <c r="S580" s="81"/>
      <c r="T580" s="81"/>
      <c r="U580" s="81"/>
      <c r="V580" s="81"/>
      <c r="W580" s="81"/>
    </row>
    <row r="581" spans="2:23" ht="12.75" customHeight="1" x14ac:dyDescent="0.2">
      <c r="B581" s="81"/>
      <c r="C581" s="81"/>
      <c r="D581" s="81"/>
      <c r="E581" s="81"/>
      <c r="F581" s="81"/>
      <c r="G581" s="81"/>
      <c r="H581" s="81"/>
      <c r="I581" s="81"/>
      <c r="J581" s="81"/>
      <c r="K581" s="81"/>
      <c r="N581" s="81"/>
      <c r="O581" s="81"/>
      <c r="P581" s="81"/>
      <c r="Q581" s="81"/>
      <c r="R581" s="81"/>
      <c r="S581" s="81"/>
      <c r="T581" s="81"/>
      <c r="U581" s="81"/>
      <c r="V581" s="81"/>
      <c r="W581" s="81"/>
    </row>
    <row r="582" spans="2:23" ht="12.75" customHeight="1" x14ac:dyDescent="0.2">
      <c r="B582" s="81"/>
      <c r="C582" s="81"/>
      <c r="D582" s="81"/>
      <c r="E582" s="81"/>
      <c r="F582" s="81"/>
      <c r="G582" s="81"/>
      <c r="H582" s="81"/>
      <c r="I582" s="81"/>
      <c r="J582" s="81"/>
      <c r="K582" s="81"/>
      <c r="N582" s="81"/>
      <c r="O582" s="81"/>
      <c r="P582" s="81"/>
      <c r="Q582" s="81"/>
      <c r="R582" s="81"/>
      <c r="S582" s="81"/>
      <c r="T582" s="81"/>
      <c r="U582" s="81"/>
      <c r="V582" s="81"/>
      <c r="W582" s="81"/>
    </row>
    <row r="583" spans="2:23" ht="12.75" customHeight="1" x14ac:dyDescent="0.2">
      <c r="B583" s="81"/>
      <c r="C583" s="81"/>
      <c r="D583" s="81"/>
      <c r="E583" s="81"/>
      <c r="F583" s="81"/>
      <c r="G583" s="81"/>
      <c r="H583" s="81"/>
      <c r="I583" s="81"/>
      <c r="J583" s="81"/>
      <c r="K583" s="81"/>
      <c r="N583" s="81"/>
      <c r="O583" s="81"/>
      <c r="P583" s="81"/>
      <c r="Q583" s="81"/>
      <c r="R583" s="81"/>
      <c r="S583" s="81"/>
      <c r="T583" s="81"/>
      <c r="U583" s="81"/>
      <c r="V583" s="81"/>
      <c r="W583" s="81"/>
    </row>
    <row r="584" spans="2:23" ht="12.75" customHeight="1" x14ac:dyDescent="0.2">
      <c r="B584" s="81"/>
      <c r="C584" s="81"/>
      <c r="D584" s="81"/>
      <c r="E584" s="81"/>
      <c r="F584" s="81"/>
      <c r="G584" s="81"/>
      <c r="H584" s="81"/>
      <c r="I584" s="81"/>
      <c r="J584" s="81"/>
      <c r="K584" s="81"/>
      <c r="N584" s="81"/>
      <c r="O584" s="81"/>
      <c r="P584" s="81"/>
      <c r="Q584" s="81"/>
      <c r="R584" s="81"/>
      <c r="S584" s="81"/>
      <c r="T584" s="81"/>
      <c r="U584" s="81"/>
      <c r="V584" s="81"/>
      <c r="W584" s="81"/>
    </row>
    <row r="585" spans="2:23" ht="12.75" customHeight="1" x14ac:dyDescent="0.2">
      <c r="B585" s="81"/>
      <c r="C585" s="81"/>
      <c r="D585" s="81"/>
      <c r="E585" s="81"/>
      <c r="F585" s="81"/>
      <c r="G585" s="81"/>
      <c r="H585" s="81"/>
      <c r="I585" s="81"/>
      <c r="J585" s="81"/>
      <c r="K585" s="81"/>
      <c r="N585" s="81"/>
      <c r="O585" s="81"/>
      <c r="P585" s="81"/>
      <c r="Q585" s="81"/>
      <c r="R585" s="81"/>
      <c r="S585" s="81"/>
      <c r="T585" s="81"/>
      <c r="U585" s="81"/>
      <c r="V585" s="81"/>
      <c r="W585" s="81"/>
    </row>
    <row r="586" spans="2:23" ht="12.75" customHeight="1" x14ac:dyDescent="0.2">
      <c r="B586" s="81"/>
      <c r="C586" s="81"/>
      <c r="D586" s="81"/>
      <c r="E586" s="81"/>
      <c r="F586" s="81"/>
      <c r="G586" s="81"/>
      <c r="H586" s="81"/>
      <c r="I586" s="81"/>
      <c r="J586" s="81"/>
      <c r="K586" s="81"/>
      <c r="N586" s="81"/>
      <c r="O586" s="81"/>
      <c r="P586" s="81"/>
      <c r="Q586" s="81"/>
      <c r="R586" s="81"/>
      <c r="S586" s="81"/>
      <c r="T586" s="81"/>
      <c r="U586" s="81"/>
      <c r="V586" s="81"/>
      <c r="W586" s="81"/>
    </row>
    <row r="587" spans="2:23" ht="12.75" customHeight="1" x14ac:dyDescent="0.2">
      <c r="B587" s="81"/>
      <c r="C587" s="81"/>
      <c r="D587" s="81"/>
      <c r="E587" s="81"/>
      <c r="F587" s="81"/>
      <c r="G587" s="81"/>
      <c r="H587" s="81"/>
      <c r="I587" s="81"/>
      <c r="J587" s="81"/>
      <c r="K587" s="81"/>
      <c r="N587" s="81"/>
      <c r="O587" s="81"/>
      <c r="P587" s="81"/>
      <c r="Q587" s="81"/>
      <c r="R587" s="81"/>
      <c r="S587" s="81"/>
      <c r="T587" s="81"/>
      <c r="U587" s="81"/>
      <c r="V587" s="81"/>
      <c r="W587" s="81"/>
    </row>
    <row r="588" spans="2:23" ht="12.75" customHeight="1" x14ac:dyDescent="0.2">
      <c r="B588" s="81"/>
      <c r="C588" s="81"/>
      <c r="D588" s="81"/>
      <c r="E588" s="81"/>
      <c r="F588" s="81"/>
      <c r="G588" s="81"/>
      <c r="H588" s="81"/>
      <c r="I588" s="81"/>
      <c r="J588" s="81"/>
      <c r="K588" s="81"/>
      <c r="N588" s="81"/>
      <c r="O588" s="81"/>
      <c r="P588" s="81"/>
      <c r="Q588" s="81"/>
      <c r="R588" s="81"/>
      <c r="S588" s="81"/>
      <c r="T588" s="81"/>
      <c r="U588" s="81"/>
      <c r="V588" s="81"/>
      <c r="W588" s="81"/>
    </row>
    <row r="589" spans="2:23" ht="12.75" customHeight="1" x14ac:dyDescent="0.2"/>
    <row r="590" spans="2:23" ht="12.75" customHeight="1" x14ac:dyDescent="0.2"/>
    <row r="591" spans="2:23" ht="12.75" customHeight="1" x14ac:dyDescent="0.2"/>
    <row r="592" spans="2:23" ht="12.75" customHeight="1" x14ac:dyDescent="0.2"/>
    <row r="593" customFormat="1" ht="12.75" customHeight="1" x14ac:dyDescent="0.2"/>
    <row r="594" customFormat="1" ht="12.75" customHeight="1" x14ac:dyDescent="0.2"/>
    <row r="595" customFormat="1" ht="12.75" customHeight="1" x14ac:dyDescent="0.2"/>
    <row r="596" customFormat="1" ht="12.75" customHeight="1" x14ac:dyDescent="0.2"/>
    <row r="597" customFormat="1" ht="12.75" customHeight="1" x14ac:dyDescent="0.2"/>
    <row r="598" customFormat="1" ht="12.75" customHeight="1" x14ac:dyDescent="0.2"/>
    <row r="599" customFormat="1" ht="12.75" customHeight="1" x14ac:dyDescent="0.2"/>
    <row r="600" customFormat="1" ht="12.75" customHeight="1" x14ac:dyDescent="0.2"/>
    <row r="601" customFormat="1" ht="12.75" customHeight="1" x14ac:dyDescent="0.2"/>
    <row r="602" customFormat="1" ht="12.75" customHeight="1" x14ac:dyDescent="0.2"/>
    <row r="603" customFormat="1" ht="12.75" customHeight="1" x14ac:dyDescent="0.2"/>
    <row r="604" customFormat="1" ht="12.75" customHeight="1" x14ac:dyDescent="0.2"/>
    <row r="605" customFormat="1" ht="12.75" customHeight="1" x14ac:dyDescent="0.2"/>
    <row r="606" customFormat="1" ht="12.75" customHeight="1" x14ac:dyDescent="0.2"/>
    <row r="607" customFormat="1" ht="12.75" customHeight="1" x14ac:dyDescent="0.2"/>
    <row r="608" customFormat="1" ht="12.75" customHeight="1" x14ac:dyDescent="0.2"/>
    <row r="609" customFormat="1" ht="12.75" customHeight="1" x14ac:dyDescent="0.2"/>
    <row r="610" customFormat="1" ht="12.75" customHeight="1" x14ac:dyDescent="0.2"/>
    <row r="611" customFormat="1" ht="12.75" customHeight="1" x14ac:dyDescent="0.2"/>
    <row r="612" customFormat="1" ht="12.75" customHeight="1" x14ac:dyDescent="0.2"/>
    <row r="613" customFormat="1" ht="12.75" customHeight="1" x14ac:dyDescent="0.2"/>
    <row r="614" customFormat="1" ht="12.75" customHeight="1" x14ac:dyDescent="0.2"/>
    <row r="615" customFormat="1" ht="12.75" customHeight="1" x14ac:dyDescent="0.2"/>
    <row r="616" customFormat="1" ht="12.75" customHeight="1" x14ac:dyDescent="0.2"/>
    <row r="617" customFormat="1" ht="12.75" customHeight="1" x14ac:dyDescent="0.2"/>
    <row r="618" customFormat="1" ht="12.75" customHeight="1" x14ac:dyDescent="0.2"/>
    <row r="619" customFormat="1" ht="12.75" customHeight="1" x14ac:dyDescent="0.2"/>
    <row r="620" customFormat="1" ht="12.75" customHeight="1" x14ac:dyDescent="0.2"/>
    <row r="621" customFormat="1" ht="12.75" customHeight="1" x14ac:dyDescent="0.2"/>
    <row r="622" customFormat="1" ht="12.75" customHeight="1" x14ac:dyDescent="0.2"/>
    <row r="623" customFormat="1" ht="12.75" customHeight="1" x14ac:dyDescent="0.2"/>
    <row r="624" customFormat="1" ht="12.75" customHeight="1" x14ac:dyDescent="0.2"/>
    <row r="625" customFormat="1" ht="12.75" customHeight="1" x14ac:dyDescent="0.2"/>
    <row r="626" customFormat="1" ht="12.75" customHeight="1" x14ac:dyDescent="0.2"/>
    <row r="627" customFormat="1" ht="12.75" customHeight="1" x14ac:dyDescent="0.2"/>
    <row r="628" customFormat="1" ht="12.75" customHeight="1" x14ac:dyDescent="0.2"/>
    <row r="629" customFormat="1" ht="12.75" customHeight="1" x14ac:dyDescent="0.2"/>
    <row r="630" customFormat="1" ht="12.75" customHeight="1" x14ac:dyDescent="0.2"/>
    <row r="631" customFormat="1" ht="12.75" customHeight="1" x14ac:dyDescent="0.2"/>
    <row r="632" customFormat="1" ht="12.75" customHeight="1" x14ac:dyDescent="0.2"/>
    <row r="633" customFormat="1" ht="12.75" customHeight="1" x14ac:dyDescent="0.2"/>
    <row r="634" customFormat="1" ht="12.75" customHeight="1" x14ac:dyDescent="0.2"/>
    <row r="635" customFormat="1" ht="12.75" customHeight="1" x14ac:dyDescent="0.2"/>
    <row r="636" customFormat="1" ht="12.75" customHeight="1" x14ac:dyDescent="0.2"/>
    <row r="637" customFormat="1" ht="12.75" customHeight="1" x14ac:dyDescent="0.2"/>
    <row r="638" customFormat="1" ht="12.75" customHeight="1" x14ac:dyDescent="0.2"/>
    <row r="639" customFormat="1" ht="12.75" customHeight="1" x14ac:dyDescent="0.2"/>
    <row r="640" customFormat="1" ht="12.75" customHeight="1" x14ac:dyDescent="0.2"/>
    <row r="641" customFormat="1" ht="12.75" customHeight="1" x14ac:dyDescent="0.2"/>
    <row r="642" customFormat="1" ht="12.75" customHeight="1" x14ac:dyDescent="0.2"/>
    <row r="643" customFormat="1" ht="12.75" customHeight="1" x14ac:dyDescent="0.2"/>
    <row r="644" customFormat="1" ht="12.75" customHeight="1" x14ac:dyDescent="0.2"/>
    <row r="645" customFormat="1" ht="12.75" customHeight="1" x14ac:dyDescent="0.2"/>
    <row r="646" customFormat="1" ht="12.75" customHeight="1" x14ac:dyDescent="0.2"/>
    <row r="647" customFormat="1" ht="12.75" customHeight="1" x14ac:dyDescent="0.2"/>
    <row r="648" customFormat="1" ht="12.75" customHeight="1" x14ac:dyDescent="0.2"/>
    <row r="649" customFormat="1" ht="12.75" customHeight="1" x14ac:dyDescent="0.2"/>
    <row r="650" customFormat="1" ht="12.75" customHeight="1" x14ac:dyDescent="0.2"/>
    <row r="651" customFormat="1" ht="12.75" customHeight="1" x14ac:dyDescent="0.2"/>
    <row r="652" customFormat="1" ht="12.75" customHeight="1" x14ac:dyDescent="0.2"/>
    <row r="653" customFormat="1" ht="12.75" customHeight="1" x14ac:dyDescent="0.2"/>
    <row r="654" customFormat="1" ht="12.75" customHeight="1" x14ac:dyDescent="0.2"/>
    <row r="655" customFormat="1" ht="12.75" customHeight="1" x14ac:dyDescent="0.2"/>
    <row r="656" customFormat="1" ht="12.75" customHeight="1" x14ac:dyDescent="0.2"/>
    <row r="657" customFormat="1" ht="12.75" customHeight="1" x14ac:dyDescent="0.2"/>
    <row r="658" customFormat="1" ht="12.75" customHeight="1" x14ac:dyDescent="0.2"/>
    <row r="659" customFormat="1" ht="12.75" customHeight="1" x14ac:dyDescent="0.2"/>
    <row r="660" customFormat="1" ht="12.75" customHeight="1" x14ac:dyDescent="0.2"/>
    <row r="661" customFormat="1" ht="12.75" customHeight="1" x14ac:dyDescent="0.2"/>
    <row r="662" customFormat="1" ht="12.75" customHeight="1" x14ac:dyDescent="0.2"/>
    <row r="663" customFormat="1" ht="12.75" customHeight="1" x14ac:dyDescent="0.2"/>
    <row r="664" customFormat="1" ht="12.75" customHeight="1" x14ac:dyDescent="0.2"/>
    <row r="665" customFormat="1" ht="12.75" customHeight="1" x14ac:dyDescent="0.2"/>
    <row r="666" customFormat="1" ht="12.75" customHeight="1" x14ac:dyDescent="0.2"/>
    <row r="667" customFormat="1" ht="12.75" customHeight="1" x14ac:dyDescent="0.2"/>
    <row r="668" customFormat="1" ht="12.75" customHeight="1" x14ac:dyDescent="0.2"/>
    <row r="669" customFormat="1" ht="12.75" customHeight="1" x14ac:dyDescent="0.2"/>
    <row r="670" customFormat="1" ht="12.75" customHeight="1" x14ac:dyDescent="0.2"/>
    <row r="671" customFormat="1" ht="12.75" customHeight="1" x14ac:dyDescent="0.2"/>
    <row r="672" customFormat="1" ht="12.75" customHeight="1" x14ac:dyDescent="0.2"/>
    <row r="673" customFormat="1" ht="12.75" customHeight="1" x14ac:dyDescent="0.2"/>
    <row r="674" customFormat="1" ht="12.75" customHeight="1" x14ac:dyDescent="0.2"/>
    <row r="675" customFormat="1" ht="12.75" customHeight="1" x14ac:dyDescent="0.2"/>
    <row r="676" customFormat="1" ht="12.75" customHeight="1" x14ac:dyDescent="0.2"/>
    <row r="677" customFormat="1" ht="12.75" customHeight="1" x14ac:dyDescent="0.2"/>
    <row r="678" customFormat="1" ht="12.75" customHeight="1" x14ac:dyDescent="0.2"/>
    <row r="679" customFormat="1" ht="12.75" customHeight="1" x14ac:dyDescent="0.2"/>
    <row r="680" customFormat="1" ht="12.75" customHeight="1" x14ac:dyDescent="0.2"/>
    <row r="681" customFormat="1" ht="12.75" customHeight="1" x14ac:dyDescent="0.2"/>
    <row r="682" customFormat="1" ht="12.75" customHeight="1" x14ac:dyDescent="0.2"/>
    <row r="683" customFormat="1" ht="12.75" customHeight="1" x14ac:dyDescent="0.2"/>
    <row r="684" customFormat="1" ht="12.75" customHeight="1" x14ac:dyDescent="0.2"/>
    <row r="685" customFormat="1" ht="12.75" customHeight="1" x14ac:dyDescent="0.2"/>
    <row r="686" customFormat="1" ht="12.75" customHeight="1" x14ac:dyDescent="0.2"/>
    <row r="687" customFormat="1" ht="12.75" customHeight="1" x14ac:dyDescent="0.2"/>
    <row r="688" customFormat="1" ht="12.75" customHeight="1" x14ac:dyDescent="0.2"/>
    <row r="689" customFormat="1" ht="12.75" customHeight="1" x14ac:dyDescent="0.2"/>
    <row r="690" customFormat="1" ht="12.75" customHeight="1" x14ac:dyDescent="0.2"/>
    <row r="691" customFormat="1" ht="12.75" customHeight="1" x14ac:dyDescent="0.2"/>
    <row r="692" customFormat="1" ht="12.75" customHeight="1" x14ac:dyDescent="0.2"/>
    <row r="693" customFormat="1" ht="12.75" customHeight="1" x14ac:dyDescent="0.2"/>
    <row r="694" customFormat="1" ht="12.75" customHeight="1" x14ac:dyDescent="0.2"/>
    <row r="695" customFormat="1" ht="12.75" customHeight="1" x14ac:dyDescent="0.2"/>
    <row r="696" customFormat="1" ht="12.75" customHeight="1" x14ac:dyDescent="0.2"/>
    <row r="697" customFormat="1" ht="12.75" customHeight="1" x14ac:dyDescent="0.2"/>
    <row r="698" customFormat="1" ht="12.75" customHeight="1" x14ac:dyDescent="0.2"/>
    <row r="699" customFormat="1" ht="12.75" customHeight="1" x14ac:dyDescent="0.2"/>
    <row r="700" customFormat="1" ht="12.75" customHeight="1" x14ac:dyDescent="0.2"/>
    <row r="701" customFormat="1" ht="12.75" customHeight="1" x14ac:dyDescent="0.2"/>
    <row r="702" customFormat="1" ht="12.75" customHeight="1" x14ac:dyDescent="0.2"/>
    <row r="703" customFormat="1" ht="12.75" customHeight="1" x14ac:dyDescent="0.2"/>
    <row r="704" customFormat="1" ht="12.75" customHeight="1" x14ac:dyDescent="0.2"/>
    <row r="705" customFormat="1" ht="12.75" customHeight="1" x14ac:dyDescent="0.2"/>
    <row r="706" customFormat="1" ht="12.75" customHeight="1" x14ac:dyDescent="0.2"/>
    <row r="707" customFormat="1" ht="12.75" customHeight="1" x14ac:dyDescent="0.2"/>
    <row r="708" customFormat="1" ht="12.75" customHeight="1" x14ac:dyDescent="0.2"/>
    <row r="709" customFormat="1" ht="12.75" customHeight="1" x14ac:dyDescent="0.2"/>
    <row r="710" customFormat="1" ht="12.75" customHeight="1" x14ac:dyDescent="0.2"/>
    <row r="711" customFormat="1" ht="12.75" customHeight="1" x14ac:dyDescent="0.2"/>
    <row r="712" customFormat="1" ht="12.75" customHeight="1" x14ac:dyDescent="0.2"/>
    <row r="713" customFormat="1" ht="12.75" customHeight="1" x14ac:dyDescent="0.2"/>
    <row r="714" customFormat="1" ht="12.75" customHeight="1" x14ac:dyDescent="0.2"/>
    <row r="715" customFormat="1" ht="12.75" customHeight="1" x14ac:dyDescent="0.2"/>
    <row r="716" customFormat="1" ht="12.75" customHeight="1" x14ac:dyDescent="0.2"/>
    <row r="717" customFormat="1" ht="12.75" customHeight="1" x14ac:dyDescent="0.2"/>
    <row r="718" customFormat="1" ht="12.75" customHeight="1" x14ac:dyDescent="0.2"/>
    <row r="719" customFormat="1" ht="12.75" customHeight="1" x14ac:dyDescent="0.2"/>
    <row r="720" customFormat="1" ht="12.75" customHeight="1" x14ac:dyDescent="0.2"/>
    <row r="721" customFormat="1" ht="12.75" customHeight="1" x14ac:dyDescent="0.2"/>
    <row r="722" customFormat="1" ht="12.75" customHeight="1" x14ac:dyDescent="0.2"/>
    <row r="723" customFormat="1" ht="12.75" customHeight="1" x14ac:dyDescent="0.2"/>
    <row r="724" customFormat="1" ht="12.75" customHeight="1" x14ac:dyDescent="0.2"/>
    <row r="725" customFormat="1" ht="12.75" customHeight="1" x14ac:dyDescent="0.2"/>
    <row r="726" customFormat="1" ht="12.75" customHeight="1" x14ac:dyDescent="0.2"/>
    <row r="727" customFormat="1" ht="12.75" customHeight="1" x14ac:dyDescent="0.2"/>
    <row r="728" customFormat="1" ht="12.75" customHeight="1" x14ac:dyDescent="0.2"/>
    <row r="729" customFormat="1" ht="12.75" customHeight="1" x14ac:dyDescent="0.2"/>
    <row r="730" customFormat="1" ht="12.75" customHeight="1" x14ac:dyDescent="0.2"/>
    <row r="731" customFormat="1" ht="12.75" customHeight="1" x14ac:dyDescent="0.2"/>
    <row r="732" customFormat="1" ht="12.75" customHeight="1" x14ac:dyDescent="0.2"/>
    <row r="733" customFormat="1" ht="12.75" customHeight="1" x14ac:dyDescent="0.2"/>
    <row r="734" customFormat="1" ht="12.75" customHeight="1" x14ac:dyDescent="0.2"/>
    <row r="735" customFormat="1" ht="12.75" customHeight="1" x14ac:dyDescent="0.2"/>
    <row r="736" customFormat="1" ht="12.75" customHeight="1" x14ac:dyDescent="0.2"/>
    <row r="737" customFormat="1" ht="12.75" customHeight="1" x14ac:dyDescent="0.2"/>
    <row r="738" customFormat="1" ht="12.75" customHeight="1" x14ac:dyDescent="0.2"/>
    <row r="739" customFormat="1" ht="12.75" customHeight="1" x14ac:dyDescent="0.2"/>
    <row r="740" customFormat="1" ht="12.75" customHeight="1" x14ac:dyDescent="0.2"/>
    <row r="741" customFormat="1" ht="12.75" customHeight="1" x14ac:dyDescent="0.2"/>
    <row r="742" customFormat="1" ht="12.75" customHeight="1" x14ac:dyDescent="0.2"/>
    <row r="743" customFormat="1" ht="12.75" customHeight="1" x14ac:dyDescent="0.2"/>
    <row r="744" customFormat="1" ht="12.75" customHeight="1" x14ac:dyDescent="0.2"/>
    <row r="745" customFormat="1" ht="12.75" customHeight="1" x14ac:dyDescent="0.2"/>
    <row r="746" customFormat="1" ht="12.75" customHeight="1" x14ac:dyDescent="0.2"/>
    <row r="747" customFormat="1" ht="12.75" customHeight="1" x14ac:dyDescent="0.2"/>
    <row r="748" customFormat="1" ht="12.75" customHeight="1" x14ac:dyDescent="0.2"/>
    <row r="749" customFormat="1" ht="12.75" customHeight="1" x14ac:dyDescent="0.2"/>
    <row r="750" customFormat="1" ht="12.75" customHeight="1" x14ac:dyDescent="0.2"/>
    <row r="751" customFormat="1" ht="12.75" customHeight="1" x14ac:dyDescent="0.2"/>
    <row r="752" customFormat="1" ht="12.75" customHeight="1" x14ac:dyDescent="0.2"/>
    <row r="753" customFormat="1" ht="12.75" customHeight="1" x14ac:dyDescent="0.2"/>
    <row r="754" customFormat="1" ht="12.75" customHeight="1" x14ac:dyDescent="0.2"/>
    <row r="755" customFormat="1" ht="12.75" customHeight="1" x14ac:dyDescent="0.2"/>
    <row r="756" customFormat="1" ht="12.75" customHeight="1" x14ac:dyDescent="0.2"/>
    <row r="757" customFormat="1" ht="12.75" customHeight="1" x14ac:dyDescent="0.2"/>
    <row r="758" customFormat="1" ht="12.75" customHeight="1" x14ac:dyDescent="0.2"/>
    <row r="759" customFormat="1" ht="12.75" customHeight="1" x14ac:dyDescent="0.2"/>
    <row r="760" customFormat="1" ht="12.75" customHeight="1" x14ac:dyDescent="0.2"/>
    <row r="761" customFormat="1" ht="12.75" customHeight="1" x14ac:dyDescent="0.2"/>
    <row r="762" customFormat="1" ht="12.75" customHeight="1" x14ac:dyDescent="0.2"/>
    <row r="763" customFormat="1" ht="12.75" customHeight="1" x14ac:dyDescent="0.2"/>
    <row r="764" customFormat="1" ht="12.75" customHeight="1" x14ac:dyDescent="0.2"/>
    <row r="765" customFormat="1" ht="12.75" customHeight="1" x14ac:dyDescent="0.2"/>
    <row r="766" customFormat="1" ht="12.75" customHeight="1" x14ac:dyDescent="0.2"/>
    <row r="767" customFormat="1" ht="12.75" customHeight="1" x14ac:dyDescent="0.2"/>
    <row r="768" customFormat="1" ht="12.75" customHeight="1" x14ac:dyDescent="0.2"/>
    <row r="769" customFormat="1" ht="12.75" customHeight="1" x14ac:dyDescent="0.2"/>
    <row r="770" customFormat="1" ht="12.75" customHeight="1" x14ac:dyDescent="0.2"/>
    <row r="771" customFormat="1" ht="12.75" customHeight="1" x14ac:dyDescent="0.2"/>
    <row r="772" customFormat="1" ht="12.75" customHeight="1" x14ac:dyDescent="0.2"/>
    <row r="773" customFormat="1" ht="12.75" customHeight="1" x14ac:dyDescent="0.2"/>
    <row r="774" customFormat="1" ht="12.75" customHeight="1" x14ac:dyDescent="0.2"/>
    <row r="775" customFormat="1" ht="12.75" customHeight="1" x14ac:dyDescent="0.2"/>
    <row r="776" customFormat="1" ht="12.75" customHeight="1" x14ac:dyDescent="0.2"/>
    <row r="777" customFormat="1" ht="12.75" customHeight="1" x14ac:dyDescent="0.2"/>
    <row r="778" customFormat="1" ht="12.75" customHeight="1" x14ac:dyDescent="0.2"/>
    <row r="779" customFormat="1" ht="12.75" customHeight="1" x14ac:dyDescent="0.2"/>
    <row r="780" customFormat="1" ht="12.75" customHeight="1" x14ac:dyDescent="0.2"/>
    <row r="781" customFormat="1" ht="12.75" customHeight="1" x14ac:dyDescent="0.2"/>
    <row r="782" customFormat="1" ht="12.75" customHeight="1" x14ac:dyDescent="0.2"/>
    <row r="783" customFormat="1" ht="12.75" customHeight="1" x14ac:dyDescent="0.2"/>
    <row r="784" customFormat="1" ht="12.75" customHeight="1" x14ac:dyDescent="0.2"/>
    <row r="785" customFormat="1" ht="12.75" customHeight="1" x14ac:dyDescent="0.2"/>
    <row r="786" customFormat="1" ht="12.75" customHeight="1" x14ac:dyDescent="0.2"/>
    <row r="787" customFormat="1" ht="12.75" customHeight="1" x14ac:dyDescent="0.2"/>
    <row r="788" customFormat="1" ht="12.75" customHeight="1" x14ac:dyDescent="0.2"/>
    <row r="789" customFormat="1" ht="12.75" customHeight="1" x14ac:dyDescent="0.2"/>
    <row r="790" customFormat="1" ht="12.75" customHeight="1" x14ac:dyDescent="0.2"/>
    <row r="791" customFormat="1" ht="12.75" customHeight="1" x14ac:dyDescent="0.2"/>
    <row r="792" customFormat="1" ht="12.75" customHeight="1" x14ac:dyDescent="0.2"/>
    <row r="793" customFormat="1" ht="12.75" customHeight="1" x14ac:dyDescent="0.2"/>
    <row r="794" customFormat="1" ht="12.75" customHeight="1" x14ac:dyDescent="0.2"/>
    <row r="795" customFormat="1" ht="12.75" customHeight="1" x14ac:dyDescent="0.2"/>
    <row r="796" customFormat="1" ht="12.75" customHeight="1" x14ac:dyDescent="0.2"/>
    <row r="797" customFormat="1" ht="12.75" customHeight="1" x14ac:dyDescent="0.2"/>
    <row r="798" customFormat="1" ht="12.75" customHeight="1" x14ac:dyDescent="0.2"/>
    <row r="799" customFormat="1" ht="12.75" customHeight="1" x14ac:dyDescent="0.2"/>
    <row r="800" customFormat="1" ht="12.75" customHeight="1" x14ac:dyDescent="0.2"/>
    <row r="801" customFormat="1" ht="12.75" customHeight="1" x14ac:dyDescent="0.2"/>
    <row r="802" customFormat="1" ht="12.75" customHeight="1" x14ac:dyDescent="0.2"/>
    <row r="803" customFormat="1" ht="12.75" customHeight="1" x14ac:dyDescent="0.2"/>
    <row r="804" customFormat="1" ht="12.75" customHeight="1" x14ac:dyDescent="0.2"/>
    <row r="805" customFormat="1" ht="12.75" customHeight="1" x14ac:dyDescent="0.2"/>
    <row r="806" customFormat="1" ht="12.75" customHeight="1" x14ac:dyDescent="0.2"/>
    <row r="807" customFormat="1" ht="12.75" customHeight="1" x14ac:dyDescent="0.2"/>
    <row r="808" customFormat="1" ht="12.75" customHeight="1" x14ac:dyDescent="0.2"/>
    <row r="809" customFormat="1" ht="12.75" customHeight="1" x14ac:dyDescent="0.2"/>
    <row r="810" customFormat="1" ht="12.75" customHeight="1" x14ac:dyDescent="0.2"/>
    <row r="811" customFormat="1" ht="12.75" customHeight="1" x14ac:dyDescent="0.2"/>
    <row r="812" customFormat="1" ht="12.75" customHeight="1" x14ac:dyDescent="0.2"/>
    <row r="813" customFormat="1" ht="12.75" customHeight="1" x14ac:dyDescent="0.2"/>
    <row r="814" customFormat="1" ht="12.75" customHeight="1" x14ac:dyDescent="0.2"/>
    <row r="815" customFormat="1" ht="12.75" customHeight="1" x14ac:dyDescent="0.2"/>
    <row r="816" customFormat="1" ht="12.75" customHeight="1" x14ac:dyDescent="0.2"/>
    <row r="817" customFormat="1" ht="12.75" customHeight="1" x14ac:dyDescent="0.2"/>
    <row r="818" customFormat="1" ht="12.75" customHeight="1" x14ac:dyDescent="0.2"/>
    <row r="819" customFormat="1" ht="12.75" customHeight="1" x14ac:dyDescent="0.2"/>
    <row r="820" customFormat="1" ht="12.75" customHeight="1" x14ac:dyDescent="0.2"/>
    <row r="821" customFormat="1" ht="12.75" customHeight="1" x14ac:dyDescent="0.2"/>
    <row r="822" customFormat="1" ht="12.75" customHeight="1" x14ac:dyDescent="0.2"/>
    <row r="823" customFormat="1" ht="12.75" customHeight="1" x14ac:dyDescent="0.2"/>
    <row r="824" customFormat="1" ht="12.75" customHeight="1" x14ac:dyDescent="0.2"/>
    <row r="825" customFormat="1" ht="12.75" customHeight="1" x14ac:dyDescent="0.2"/>
    <row r="826" customFormat="1" ht="12.75" customHeight="1" x14ac:dyDescent="0.2"/>
    <row r="827" customFormat="1" ht="12.75" customHeight="1" x14ac:dyDescent="0.2"/>
    <row r="828" customFormat="1" ht="12.75" customHeight="1" x14ac:dyDescent="0.2"/>
    <row r="829" customFormat="1" ht="12.75" customHeight="1" x14ac:dyDescent="0.2"/>
    <row r="830" customFormat="1" ht="12.75" customHeight="1" x14ac:dyDescent="0.2"/>
    <row r="831" customFormat="1" ht="12.75" customHeight="1" x14ac:dyDescent="0.2"/>
    <row r="832" customFormat="1" ht="12.75" customHeight="1" x14ac:dyDescent="0.2"/>
    <row r="833" customFormat="1" ht="12.75" customHeight="1" x14ac:dyDescent="0.2"/>
    <row r="834" customFormat="1" ht="12.75" customHeight="1" x14ac:dyDescent="0.2"/>
    <row r="835" customFormat="1" ht="12.75" customHeight="1" x14ac:dyDescent="0.2"/>
    <row r="836" customFormat="1" ht="12.75" customHeight="1" x14ac:dyDescent="0.2"/>
    <row r="837" customFormat="1" ht="12.75" customHeight="1" x14ac:dyDescent="0.2"/>
    <row r="838" customFormat="1" ht="12.75" customHeight="1" x14ac:dyDescent="0.2"/>
    <row r="839" customFormat="1" ht="12.75" customHeight="1" x14ac:dyDescent="0.2"/>
    <row r="840" customFormat="1" ht="12.75" customHeight="1" x14ac:dyDescent="0.2"/>
    <row r="841" customFormat="1" ht="12.75" customHeight="1" x14ac:dyDescent="0.2"/>
    <row r="842" customFormat="1" ht="12.75" customHeight="1" x14ac:dyDescent="0.2"/>
    <row r="843" customFormat="1" ht="12.75" customHeight="1" x14ac:dyDescent="0.2"/>
    <row r="844" customFormat="1" ht="12.75" customHeight="1" x14ac:dyDescent="0.2"/>
    <row r="845" customFormat="1" ht="12.75" customHeight="1" x14ac:dyDescent="0.2"/>
    <row r="846" customFormat="1" ht="12.75" customHeight="1" x14ac:dyDescent="0.2"/>
    <row r="847" customFormat="1" x14ac:dyDescent="0.2"/>
    <row r="848" customFormat="1" x14ac:dyDescent="0.2"/>
    <row r="849" customFormat="1" x14ac:dyDescent="0.2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D878"/>
  <sheetViews>
    <sheetView tabSelected="1" zoomScaleNormal="100" workbookViewId="0">
      <pane xSplit="1" ySplit="8" topLeftCell="B299" activePane="bottomRight" state="frozen"/>
      <selection pane="topRight" activeCell="B1" sqref="B1"/>
      <selection pane="bottomLeft" activeCell="A9" sqref="A9"/>
      <selection pane="bottomRight" activeCell="F323" sqref="F323"/>
    </sheetView>
  </sheetViews>
  <sheetFormatPr defaultRowHeight="12.75" x14ac:dyDescent="0.2"/>
  <cols>
    <col min="1" max="1" width="11.5703125" customWidth="1"/>
    <col min="2" max="2" width="16.28515625" customWidth="1"/>
    <col min="3" max="5" width="13.7109375" customWidth="1"/>
    <col min="6" max="6" width="13.42578125" customWidth="1"/>
    <col min="7" max="7" width="14.28515625" customWidth="1"/>
    <col min="8" max="8" width="13.5703125" style="1" customWidth="1"/>
    <col min="9" max="9" width="12" customWidth="1"/>
    <col min="10" max="10" width="2" customWidth="1"/>
    <col min="11" max="65" width="9.28515625"/>
  </cols>
  <sheetData>
    <row r="1" spans="1:30" s="4" customFormat="1" ht="15.75" x14ac:dyDescent="0.25">
      <c r="A1" s="90" t="s">
        <v>21</v>
      </c>
      <c r="B1" s="90"/>
      <c r="C1" s="90"/>
      <c r="D1" s="90"/>
      <c r="E1" s="90"/>
      <c r="F1" s="90"/>
      <c r="G1" s="90"/>
      <c r="H1" s="90"/>
      <c r="I1" s="90"/>
    </row>
    <row r="2" spans="1:30" s="4" customFormat="1" ht="15.75" x14ac:dyDescent="0.25">
      <c r="A2" s="88" t="s">
        <v>1</v>
      </c>
      <c r="B2" s="6"/>
      <c r="C2" s="6"/>
      <c r="D2" s="6"/>
      <c r="E2" s="6"/>
      <c r="F2" s="6"/>
    </row>
    <row r="3" spans="1:30" s="2" customFormat="1" ht="14.25" customHeight="1" x14ac:dyDescent="0.25">
      <c r="A3" s="1"/>
      <c r="B3" s="42"/>
      <c r="C3" s="27"/>
      <c r="D3" s="27"/>
      <c r="E3" s="3"/>
      <c r="G3" s="45"/>
      <c r="H3" s="46"/>
      <c r="I3" s="28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 spans="1:30" s="2" customFormat="1" ht="12.75" customHeight="1" x14ac:dyDescent="0.25">
      <c r="A4" s="3"/>
      <c r="B4" s="43" t="s">
        <v>22</v>
      </c>
      <c r="C4" s="37"/>
      <c r="D4" s="39"/>
      <c r="E4" s="39"/>
      <c r="F4" s="38"/>
      <c r="G4" s="48"/>
      <c r="H4" s="49" t="s">
        <v>3</v>
      </c>
      <c r="I4" s="17" t="s">
        <v>23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 spans="1:30" s="2" customFormat="1" ht="12.75" customHeight="1" x14ac:dyDescent="0.25">
      <c r="A5" s="3"/>
      <c r="B5" s="50" t="s">
        <v>24</v>
      </c>
      <c r="C5" s="51"/>
      <c r="D5" s="52"/>
      <c r="E5" s="53" t="s">
        <v>25</v>
      </c>
      <c r="F5" s="54" t="s">
        <v>2</v>
      </c>
      <c r="G5" s="54" t="s">
        <v>26</v>
      </c>
      <c r="H5" s="49" t="s">
        <v>27</v>
      </c>
      <c r="I5" s="17" t="s">
        <v>6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 spans="1:30" s="2" customFormat="1" ht="12.75" customHeight="1" x14ac:dyDescent="0.25">
      <c r="A6" s="3"/>
      <c r="B6" s="44"/>
      <c r="C6" s="40"/>
      <c r="D6" s="41"/>
      <c r="E6" s="17" t="s">
        <v>28</v>
      </c>
      <c r="F6" s="57" t="s">
        <v>4</v>
      </c>
      <c r="G6" s="57" t="s">
        <v>3</v>
      </c>
      <c r="H6" s="49" t="s">
        <v>28</v>
      </c>
      <c r="I6" s="17" t="s">
        <v>29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 spans="1:30" s="2" customFormat="1" ht="12.75" customHeight="1" x14ac:dyDescent="0.25">
      <c r="A7" s="3"/>
      <c r="B7" s="21" t="s">
        <v>30</v>
      </c>
      <c r="C7" s="22" t="s">
        <v>31</v>
      </c>
      <c r="D7" s="19" t="s">
        <v>3</v>
      </c>
      <c r="E7" s="17" t="s">
        <v>32</v>
      </c>
      <c r="F7" s="57" t="s">
        <v>3</v>
      </c>
      <c r="G7" s="57"/>
      <c r="H7" s="49" t="s">
        <v>32</v>
      </c>
      <c r="I7" s="17" t="s">
        <v>32</v>
      </c>
      <c r="J7" s="80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 spans="1:30" s="2" customFormat="1" ht="12.75" customHeight="1" x14ac:dyDescent="0.25">
      <c r="A8" s="58"/>
      <c r="B8" s="23"/>
      <c r="C8" s="24" t="s">
        <v>33</v>
      </c>
      <c r="D8" s="25"/>
      <c r="E8" s="18"/>
      <c r="F8" s="15"/>
      <c r="G8" s="15"/>
      <c r="H8" s="59"/>
      <c r="I8" s="18"/>
      <c r="J8" s="80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 spans="1:30" s="12" customFormat="1" ht="12.75" customHeight="1" x14ac:dyDescent="0.25">
      <c r="A9" s="9"/>
      <c r="B9" s="60"/>
      <c r="C9" s="61"/>
      <c r="D9" s="62"/>
      <c r="E9" s="63"/>
      <c r="F9" s="64"/>
      <c r="G9" s="64"/>
      <c r="H9" s="63"/>
      <c r="I9" s="67"/>
      <c r="J9" s="1"/>
      <c r="K9" s="1"/>
      <c r="L9" s="1"/>
      <c r="M9" s="1"/>
      <c r="N9" s="1"/>
      <c r="O9" s="4"/>
      <c r="P9" s="4"/>
      <c r="Q9" s="4"/>
      <c r="R9" s="4"/>
      <c r="S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 spans="1:30" s="11" customFormat="1" ht="12.75" customHeight="1" x14ac:dyDescent="0.25">
      <c r="A10" s="89">
        <v>36586</v>
      </c>
      <c r="B10" s="114">
        <v>3852</v>
      </c>
      <c r="C10" s="114">
        <v>769</v>
      </c>
      <c r="D10" s="114">
        <v>4621</v>
      </c>
      <c r="E10" s="114">
        <v>188</v>
      </c>
      <c r="F10" s="114">
        <v>4809</v>
      </c>
      <c r="G10" s="114">
        <v>3070</v>
      </c>
      <c r="H10" s="114">
        <v>7879</v>
      </c>
      <c r="I10" s="120">
        <v>429</v>
      </c>
      <c r="J10" s="125"/>
      <c r="K10" s="69"/>
      <c r="L10" s="69"/>
      <c r="M10" s="69"/>
      <c r="N10" s="115"/>
      <c r="O10" s="121"/>
      <c r="P10" s="121"/>
      <c r="Q10" s="4"/>
      <c r="R10" s="4"/>
      <c r="S10" s="4"/>
      <c r="T10" s="121"/>
      <c r="U10" s="121"/>
      <c r="V10" s="4"/>
      <c r="W10" s="4"/>
      <c r="X10" s="4"/>
      <c r="Y10" s="4"/>
      <c r="Z10" s="4"/>
      <c r="AA10" s="4"/>
      <c r="AB10" s="4"/>
      <c r="AC10" s="4"/>
      <c r="AD10" s="4"/>
    </row>
    <row r="11" spans="1:30" s="11" customFormat="1" ht="12.75" customHeight="1" x14ac:dyDescent="0.25">
      <c r="A11" s="89">
        <v>36617</v>
      </c>
      <c r="B11" s="114">
        <v>4023</v>
      </c>
      <c r="C11" s="114">
        <v>494</v>
      </c>
      <c r="D11" s="114">
        <v>4517</v>
      </c>
      <c r="E11" s="114">
        <v>281</v>
      </c>
      <c r="F11" s="114">
        <v>4798</v>
      </c>
      <c r="G11" s="114">
        <v>3073</v>
      </c>
      <c r="H11" s="114">
        <v>7871</v>
      </c>
      <c r="I11" s="120">
        <v>258</v>
      </c>
      <c r="J11" s="125"/>
      <c r="K11" s="69"/>
      <c r="L11" s="69"/>
      <c r="M11" s="69"/>
      <c r="N11" s="115"/>
      <c r="O11" s="121"/>
      <c r="P11" s="121"/>
      <c r="Q11" s="4"/>
      <c r="R11" s="4"/>
      <c r="S11" s="4"/>
      <c r="T11" s="121"/>
      <c r="U11" s="121"/>
      <c r="V11" s="4"/>
      <c r="W11" s="4"/>
      <c r="X11" s="4"/>
      <c r="Y11" s="4"/>
      <c r="Z11" s="4"/>
      <c r="AA11" s="4"/>
      <c r="AB11" s="4"/>
      <c r="AC11" s="4"/>
      <c r="AD11" s="4"/>
    </row>
    <row r="12" spans="1:30" s="11" customFormat="1" ht="12.75" customHeight="1" x14ac:dyDescent="0.25">
      <c r="A12" s="89">
        <v>36647</v>
      </c>
      <c r="B12" s="114">
        <v>4147</v>
      </c>
      <c r="C12" s="114">
        <v>194</v>
      </c>
      <c r="D12" s="114">
        <v>4341</v>
      </c>
      <c r="E12" s="114">
        <v>517</v>
      </c>
      <c r="F12" s="114">
        <v>4858</v>
      </c>
      <c r="G12" s="114">
        <v>2972</v>
      </c>
      <c r="H12" s="114">
        <v>7830</v>
      </c>
      <c r="I12" s="120">
        <v>225</v>
      </c>
      <c r="J12" s="125"/>
      <c r="K12" s="79"/>
      <c r="L12" s="79"/>
      <c r="M12" s="69"/>
      <c r="N12" s="115"/>
      <c r="O12" s="121"/>
      <c r="P12" s="121"/>
      <c r="Q12" s="80"/>
      <c r="R12" s="4"/>
      <c r="S12" s="80"/>
      <c r="T12" s="121"/>
      <c r="U12" s="121"/>
      <c r="V12" s="80"/>
      <c r="W12" s="80"/>
      <c r="X12" s="80"/>
      <c r="Y12" s="80"/>
      <c r="Z12" s="80"/>
      <c r="AA12" s="80"/>
      <c r="AB12" s="80"/>
      <c r="AC12" s="80"/>
      <c r="AD12" s="80"/>
    </row>
    <row r="13" spans="1:30" s="11" customFormat="1" ht="12.75" customHeight="1" x14ac:dyDescent="0.25">
      <c r="A13" s="89">
        <v>36678</v>
      </c>
      <c r="B13" s="114">
        <v>4149</v>
      </c>
      <c r="C13" s="114">
        <v>76</v>
      </c>
      <c r="D13" s="114">
        <v>4225</v>
      </c>
      <c r="E13" s="114">
        <v>448</v>
      </c>
      <c r="F13" s="114">
        <v>4673</v>
      </c>
      <c r="G13" s="114">
        <v>3100</v>
      </c>
      <c r="H13" s="114">
        <v>7773</v>
      </c>
      <c r="I13" s="120">
        <v>225</v>
      </c>
      <c r="J13" s="125"/>
      <c r="K13" s="79"/>
      <c r="L13" s="79"/>
      <c r="M13" s="69"/>
      <c r="N13" s="115"/>
      <c r="O13" s="121"/>
      <c r="P13" s="121"/>
      <c r="Q13" s="80"/>
      <c r="R13" s="4"/>
      <c r="S13" s="80"/>
      <c r="T13" s="121"/>
      <c r="U13" s="121"/>
      <c r="V13" s="80"/>
      <c r="W13" s="80"/>
      <c r="X13" s="80"/>
      <c r="Y13" s="80"/>
      <c r="Z13" s="80"/>
      <c r="AA13" s="80"/>
      <c r="AB13" s="80"/>
      <c r="AC13" s="80"/>
      <c r="AD13" s="80"/>
    </row>
    <row r="14" spans="1:30" s="11" customFormat="1" ht="12.75" customHeight="1" x14ac:dyDescent="0.25">
      <c r="A14" s="89">
        <v>36708</v>
      </c>
      <c r="B14" s="114">
        <v>3713</v>
      </c>
      <c r="C14" s="114">
        <v>129</v>
      </c>
      <c r="D14" s="114">
        <v>3842</v>
      </c>
      <c r="E14" s="114">
        <v>704</v>
      </c>
      <c r="F14" s="114">
        <v>4546</v>
      </c>
      <c r="G14" s="114">
        <v>3176</v>
      </c>
      <c r="H14" s="114">
        <v>7722</v>
      </c>
      <c r="I14" s="120">
        <v>187</v>
      </c>
      <c r="J14" s="125"/>
      <c r="K14" s="79"/>
      <c r="L14" s="79"/>
      <c r="M14" s="69"/>
      <c r="N14" s="115"/>
      <c r="O14" s="121"/>
      <c r="P14" s="121"/>
      <c r="Q14" s="80"/>
      <c r="R14" s="4"/>
      <c r="S14" s="80"/>
      <c r="T14" s="121"/>
      <c r="U14" s="121"/>
      <c r="V14" s="80"/>
      <c r="W14" s="80"/>
      <c r="X14" s="80"/>
      <c r="Y14" s="80"/>
      <c r="Z14" s="80"/>
      <c r="AA14" s="80"/>
      <c r="AB14" s="80"/>
      <c r="AC14" s="80"/>
      <c r="AD14" s="80"/>
    </row>
    <row r="15" spans="1:30" s="11" customFormat="1" ht="12.75" customHeight="1" x14ac:dyDescent="0.25">
      <c r="A15" s="89">
        <v>36739</v>
      </c>
      <c r="B15" s="114">
        <v>4038</v>
      </c>
      <c r="C15" s="114">
        <v>217</v>
      </c>
      <c r="D15" s="114">
        <v>4255</v>
      </c>
      <c r="E15" s="114">
        <v>737</v>
      </c>
      <c r="F15" s="114">
        <v>4992</v>
      </c>
      <c r="G15" s="114">
        <v>3420</v>
      </c>
      <c r="H15" s="114">
        <v>8412</v>
      </c>
      <c r="I15" s="120">
        <v>290</v>
      </c>
      <c r="J15" s="125"/>
      <c r="K15" s="79"/>
      <c r="L15" s="79"/>
      <c r="M15" s="69"/>
      <c r="N15" s="115"/>
      <c r="O15" s="121"/>
      <c r="P15" s="121"/>
      <c r="Q15" s="80"/>
      <c r="R15" s="4"/>
      <c r="S15" s="80"/>
      <c r="T15" s="121"/>
      <c r="U15" s="121"/>
      <c r="V15" s="80"/>
      <c r="W15" s="80"/>
      <c r="X15" s="80"/>
      <c r="Y15" s="80"/>
      <c r="Z15" s="80"/>
      <c r="AA15" s="80"/>
      <c r="AB15" s="80"/>
      <c r="AC15" s="80"/>
      <c r="AD15" s="80"/>
    </row>
    <row r="16" spans="1:30" s="11" customFormat="1" ht="12.75" customHeight="1" x14ac:dyDescent="0.25">
      <c r="A16" s="89">
        <v>36770</v>
      </c>
      <c r="B16" s="114">
        <v>4211</v>
      </c>
      <c r="C16" s="114">
        <v>356</v>
      </c>
      <c r="D16" s="114">
        <v>4567</v>
      </c>
      <c r="E16" s="114">
        <v>670</v>
      </c>
      <c r="F16" s="114">
        <v>5237</v>
      </c>
      <c r="G16" s="114">
        <v>3476</v>
      </c>
      <c r="H16" s="114">
        <v>8713</v>
      </c>
      <c r="I16" s="120">
        <v>454</v>
      </c>
      <c r="J16" s="125"/>
      <c r="K16" s="79"/>
      <c r="L16" s="79"/>
      <c r="M16" s="69"/>
      <c r="N16" s="115"/>
      <c r="O16" s="121"/>
      <c r="P16" s="121"/>
      <c r="Q16" s="80"/>
      <c r="R16" s="4"/>
      <c r="S16" s="80"/>
      <c r="T16" s="121"/>
      <c r="U16" s="121"/>
      <c r="V16" s="80"/>
      <c r="W16" s="80"/>
      <c r="X16" s="80"/>
      <c r="Y16" s="80"/>
      <c r="Z16" s="80"/>
      <c r="AA16" s="80"/>
      <c r="AB16" s="80"/>
      <c r="AC16" s="80"/>
      <c r="AD16" s="80"/>
    </row>
    <row r="17" spans="1:30" s="11" customFormat="1" ht="12.75" customHeight="1" x14ac:dyDescent="0.25">
      <c r="A17" s="89">
        <v>36800</v>
      </c>
      <c r="B17" s="114">
        <v>4088</v>
      </c>
      <c r="C17" s="114">
        <v>381</v>
      </c>
      <c r="D17" s="114">
        <v>4469</v>
      </c>
      <c r="E17" s="114">
        <v>854</v>
      </c>
      <c r="F17" s="114">
        <v>5323</v>
      </c>
      <c r="G17" s="114">
        <v>4067</v>
      </c>
      <c r="H17" s="114">
        <v>9390</v>
      </c>
      <c r="I17" s="120">
        <v>269</v>
      </c>
      <c r="J17" s="125"/>
      <c r="K17" s="79"/>
      <c r="L17" s="79"/>
      <c r="M17" s="69"/>
      <c r="N17" s="115"/>
      <c r="O17" s="121"/>
      <c r="P17" s="121"/>
      <c r="Q17" s="80"/>
      <c r="R17" s="4"/>
      <c r="S17" s="80"/>
      <c r="T17" s="121"/>
      <c r="U17" s="121"/>
      <c r="V17" s="80"/>
      <c r="W17" s="80"/>
      <c r="X17" s="80"/>
      <c r="Y17" s="80"/>
      <c r="Z17" s="80"/>
      <c r="AA17" s="80"/>
      <c r="AB17" s="80"/>
      <c r="AC17" s="80"/>
      <c r="AD17" s="80"/>
    </row>
    <row r="18" spans="1:30" s="11" customFormat="1" ht="12.75" customHeight="1" x14ac:dyDescent="0.25">
      <c r="A18" s="89">
        <v>36831</v>
      </c>
      <c r="B18" s="114">
        <v>4055</v>
      </c>
      <c r="C18" s="114">
        <v>192</v>
      </c>
      <c r="D18" s="114">
        <v>4247</v>
      </c>
      <c r="E18" s="114">
        <v>1028</v>
      </c>
      <c r="F18" s="114">
        <v>5275</v>
      </c>
      <c r="G18" s="114">
        <v>3900</v>
      </c>
      <c r="H18" s="114">
        <v>9175</v>
      </c>
      <c r="I18" s="120">
        <v>313</v>
      </c>
      <c r="J18" s="125"/>
      <c r="K18" s="79"/>
      <c r="L18" s="79"/>
      <c r="M18" s="69"/>
      <c r="N18" s="115"/>
      <c r="O18" s="121"/>
      <c r="P18" s="121"/>
      <c r="Q18" s="80"/>
      <c r="R18" s="4"/>
      <c r="S18" s="80"/>
      <c r="T18" s="121"/>
      <c r="U18" s="121"/>
      <c r="V18" s="80"/>
      <c r="W18" s="80"/>
      <c r="X18" s="80"/>
      <c r="Y18" s="80"/>
      <c r="Z18" s="80"/>
      <c r="AA18" s="80"/>
      <c r="AB18" s="80"/>
      <c r="AC18" s="80"/>
      <c r="AD18" s="80"/>
    </row>
    <row r="19" spans="1:30" s="11" customFormat="1" ht="12.75" customHeight="1" x14ac:dyDescent="0.25">
      <c r="A19" s="89">
        <v>36861</v>
      </c>
      <c r="B19" s="114">
        <v>3092</v>
      </c>
      <c r="C19" s="114">
        <v>748</v>
      </c>
      <c r="D19" s="114">
        <v>3840</v>
      </c>
      <c r="E19" s="114">
        <v>1448</v>
      </c>
      <c r="F19" s="114">
        <v>5288</v>
      </c>
      <c r="G19" s="114">
        <v>3695</v>
      </c>
      <c r="H19" s="114">
        <v>8983</v>
      </c>
      <c r="I19" s="120">
        <v>278</v>
      </c>
      <c r="J19" s="125"/>
      <c r="K19" s="79"/>
      <c r="L19" s="79"/>
      <c r="M19" s="69"/>
      <c r="N19" s="115"/>
      <c r="O19" s="121"/>
      <c r="P19" s="121"/>
      <c r="Q19" s="80"/>
      <c r="R19" s="4"/>
      <c r="S19" s="80"/>
      <c r="T19" s="121"/>
      <c r="U19" s="121"/>
      <c r="V19" s="80"/>
      <c r="W19" s="80"/>
      <c r="X19" s="80"/>
      <c r="Y19" s="80"/>
      <c r="Z19" s="80"/>
      <c r="AA19" s="80"/>
      <c r="AB19" s="80"/>
      <c r="AC19" s="80"/>
      <c r="AD19" s="80"/>
    </row>
    <row r="20" spans="1:30" s="11" customFormat="1" ht="12.75" customHeight="1" x14ac:dyDescent="0.25">
      <c r="A20" s="89">
        <v>36892</v>
      </c>
      <c r="B20" s="114">
        <v>2750</v>
      </c>
      <c r="C20" s="114">
        <v>634</v>
      </c>
      <c r="D20" s="114">
        <v>3384</v>
      </c>
      <c r="E20" s="114">
        <v>1753</v>
      </c>
      <c r="F20" s="114">
        <v>5137</v>
      </c>
      <c r="G20" s="114">
        <v>3453</v>
      </c>
      <c r="H20" s="114">
        <v>8590</v>
      </c>
      <c r="I20" s="120">
        <v>132</v>
      </c>
      <c r="J20" s="125"/>
      <c r="K20" s="79"/>
      <c r="L20" s="79"/>
      <c r="M20" s="69"/>
      <c r="N20" s="115"/>
      <c r="O20" s="121"/>
      <c r="P20" s="121"/>
      <c r="Q20" s="80"/>
      <c r="R20" s="4"/>
      <c r="S20" s="80"/>
      <c r="T20" s="121"/>
      <c r="U20" s="121"/>
      <c r="V20" s="80"/>
      <c r="W20" s="80"/>
      <c r="X20" s="80"/>
      <c r="Y20" s="80"/>
      <c r="Z20" s="80"/>
      <c r="AA20" s="80"/>
      <c r="AB20" s="80"/>
      <c r="AC20" s="80"/>
      <c r="AD20" s="80"/>
    </row>
    <row r="21" spans="1:30" s="11" customFormat="1" ht="12.75" customHeight="1" x14ac:dyDescent="0.25">
      <c r="A21" s="89">
        <v>36923</v>
      </c>
      <c r="B21" s="114">
        <v>2792</v>
      </c>
      <c r="C21" s="114">
        <v>157</v>
      </c>
      <c r="D21" s="114">
        <v>2949</v>
      </c>
      <c r="E21" s="114">
        <v>1728</v>
      </c>
      <c r="F21" s="114">
        <v>4677</v>
      </c>
      <c r="G21" s="114">
        <v>3150</v>
      </c>
      <c r="H21" s="114">
        <v>7827</v>
      </c>
      <c r="I21" s="120">
        <v>376</v>
      </c>
      <c r="J21" s="125"/>
      <c r="K21" s="79"/>
      <c r="L21" s="79"/>
      <c r="M21" s="69"/>
      <c r="N21" s="115"/>
      <c r="O21" s="121"/>
      <c r="P21" s="121"/>
      <c r="Q21" s="80"/>
      <c r="R21" s="4"/>
      <c r="S21" s="80"/>
      <c r="T21" s="121"/>
      <c r="U21" s="121"/>
      <c r="V21" s="80"/>
      <c r="W21" s="80"/>
      <c r="X21" s="80"/>
      <c r="Y21" s="80"/>
      <c r="Z21" s="80"/>
      <c r="AA21" s="80"/>
      <c r="AB21" s="80"/>
      <c r="AC21" s="80"/>
      <c r="AD21" s="80"/>
    </row>
    <row r="22" spans="1:30" s="11" customFormat="1" ht="12.75" customHeight="1" x14ac:dyDescent="0.25">
      <c r="A22" s="89">
        <v>36951</v>
      </c>
      <c r="B22" s="114">
        <v>3585</v>
      </c>
      <c r="C22" s="114">
        <v>91</v>
      </c>
      <c r="D22" s="114">
        <v>3676</v>
      </c>
      <c r="E22" s="114">
        <v>1229</v>
      </c>
      <c r="F22" s="114">
        <v>4905</v>
      </c>
      <c r="G22" s="114">
        <v>3662</v>
      </c>
      <c r="H22" s="114">
        <v>8567</v>
      </c>
      <c r="I22" s="120">
        <v>392</v>
      </c>
      <c r="J22" s="125"/>
      <c r="K22" s="79"/>
      <c r="L22" s="79"/>
      <c r="M22" s="69"/>
      <c r="N22" s="115"/>
      <c r="O22" s="121"/>
      <c r="P22" s="121"/>
      <c r="Q22" s="80"/>
      <c r="R22" s="4"/>
      <c r="S22" s="80"/>
      <c r="T22" s="121"/>
      <c r="U22" s="121"/>
      <c r="V22" s="80"/>
      <c r="W22" s="80"/>
      <c r="X22" s="80"/>
      <c r="Y22" s="80"/>
      <c r="Z22" s="80"/>
      <c r="AA22" s="80"/>
      <c r="AB22" s="80"/>
      <c r="AC22" s="80"/>
      <c r="AD22" s="80"/>
    </row>
    <row r="23" spans="1:30" s="11" customFormat="1" ht="12.75" customHeight="1" x14ac:dyDescent="0.25">
      <c r="A23" s="89">
        <v>36982</v>
      </c>
      <c r="B23" s="114">
        <v>3441</v>
      </c>
      <c r="C23" s="114">
        <v>193</v>
      </c>
      <c r="D23" s="114">
        <v>3634</v>
      </c>
      <c r="E23" s="114">
        <v>1146</v>
      </c>
      <c r="F23" s="114">
        <v>4780</v>
      </c>
      <c r="G23" s="114">
        <v>3853</v>
      </c>
      <c r="H23" s="114">
        <v>8633</v>
      </c>
      <c r="I23" s="120">
        <v>499</v>
      </c>
      <c r="J23" s="125"/>
      <c r="K23" s="79"/>
      <c r="L23" s="79"/>
      <c r="M23" s="69"/>
      <c r="N23" s="115"/>
      <c r="O23" s="121"/>
      <c r="P23" s="121"/>
      <c r="Q23" s="80"/>
      <c r="R23" s="4"/>
      <c r="S23" s="80"/>
      <c r="T23" s="121"/>
      <c r="U23" s="121"/>
      <c r="V23" s="80"/>
      <c r="W23" s="80"/>
      <c r="X23" s="80"/>
      <c r="Y23" s="80"/>
      <c r="Z23" s="80"/>
      <c r="AA23" s="80"/>
      <c r="AB23" s="80"/>
      <c r="AC23" s="80"/>
      <c r="AD23" s="80"/>
    </row>
    <row r="24" spans="1:30" s="11" customFormat="1" ht="12.75" customHeight="1" x14ac:dyDescent="0.25">
      <c r="A24" s="89">
        <v>37012</v>
      </c>
      <c r="B24" s="114">
        <v>3344</v>
      </c>
      <c r="C24" s="114">
        <v>298</v>
      </c>
      <c r="D24" s="114">
        <v>3642</v>
      </c>
      <c r="E24" s="114">
        <v>1357</v>
      </c>
      <c r="F24" s="114">
        <v>4999</v>
      </c>
      <c r="G24" s="114">
        <v>3655</v>
      </c>
      <c r="H24" s="114">
        <v>8654</v>
      </c>
      <c r="I24" s="120">
        <v>782</v>
      </c>
      <c r="J24" s="125"/>
      <c r="K24" s="79"/>
      <c r="L24" s="79"/>
      <c r="M24" s="69"/>
      <c r="N24" s="115"/>
      <c r="O24" s="121"/>
      <c r="P24" s="121"/>
      <c r="Q24" s="80"/>
      <c r="R24" s="4"/>
      <c r="S24" s="80"/>
      <c r="T24" s="121"/>
      <c r="U24" s="121"/>
      <c r="V24" s="80"/>
      <c r="W24" s="80"/>
      <c r="X24" s="80"/>
      <c r="Y24" s="80"/>
      <c r="Z24" s="80"/>
      <c r="AA24" s="80"/>
      <c r="AB24" s="80"/>
      <c r="AC24" s="80"/>
      <c r="AD24" s="80"/>
    </row>
    <row r="25" spans="1:30" s="11" customFormat="1" ht="12.75" customHeight="1" x14ac:dyDescent="0.25">
      <c r="A25" s="89">
        <v>37043</v>
      </c>
      <c r="B25" s="114">
        <v>2993</v>
      </c>
      <c r="C25" s="114">
        <v>375</v>
      </c>
      <c r="D25" s="114">
        <v>3368</v>
      </c>
      <c r="E25" s="114">
        <v>1537</v>
      </c>
      <c r="F25" s="114">
        <v>4905</v>
      </c>
      <c r="G25" s="114">
        <v>3596</v>
      </c>
      <c r="H25" s="114">
        <v>8501</v>
      </c>
      <c r="I25" s="120">
        <v>693</v>
      </c>
      <c r="J25" s="125"/>
      <c r="K25" s="79"/>
      <c r="L25" s="79"/>
      <c r="M25" s="69"/>
      <c r="N25" s="115"/>
      <c r="O25" s="121"/>
      <c r="P25" s="121"/>
      <c r="Q25" s="80"/>
      <c r="R25" s="4"/>
      <c r="S25" s="80"/>
      <c r="T25" s="121"/>
      <c r="U25" s="121"/>
      <c r="V25" s="80"/>
      <c r="W25" s="80"/>
      <c r="X25" s="80"/>
      <c r="Y25" s="80"/>
      <c r="Z25" s="80"/>
      <c r="AA25" s="80"/>
      <c r="AB25" s="80"/>
      <c r="AC25" s="80"/>
      <c r="AD25" s="80"/>
    </row>
    <row r="26" spans="1:30" s="11" customFormat="1" ht="12.75" customHeight="1" x14ac:dyDescent="0.25">
      <c r="A26" s="89">
        <v>37073</v>
      </c>
      <c r="B26" s="114">
        <v>3199</v>
      </c>
      <c r="C26" s="114">
        <v>323</v>
      </c>
      <c r="D26" s="114">
        <v>3522</v>
      </c>
      <c r="E26" s="114">
        <v>1356</v>
      </c>
      <c r="F26" s="114">
        <v>4878</v>
      </c>
      <c r="G26" s="114">
        <v>3706</v>
      </c>
      <c r="H26" s="114">
        <v>8584</v>
      </c>
      <c r="I26" s="120">
        <v>718</v>
      </c>
      <c r="J26" s="125"/>
      <c r="K26" s="79"/>
      <c r="L26" s="79"/>
      <c r="M26" s="69"/>
      <c r="N26" s="115"/>
      <c r="O26" s="121"/>
      <c r="P26" s="121"/>
      <c r="Q26" s="80"/>
      <c r="R26" s="4"/>
      <c r="S26" s="80"/>
      <c r="T26" s="121"/>
      <c r="U26" s="121"/>
      <c r="V26" s="80"/>
      <c r="W26" s="80"/>
      <c r="X26" s="80"/>
      <c r="Y26" s="80"/>
      <c r="Z26" s="80"/>
      <c r="AA26" s="80"/>
      <c r="AB26" s="80"/>
      <c r="AC26" s="80"/>
      <c r="AD26" s="80"/>
    </row>
    <row r="27" spans="1:30" s="11" customFormat="1" ht="12.75" customHeight="1" x14ac:dyDescent="0.25">
      <c r="A27" s="89">
        <v>37104</v>
      </c>
      <c r="B27" s="114">
        <v>3310</v>
      </c>
      <c r="C27" s="114">
        <v>138</v>
      </c>
      <c r="D27" s="114">
        <v>3448</v>
      </c>
      <c r="E27" s="114">
        <v>1179</v>
      </c>
      <c r="F27" s="114">
        <v>4627</v>
      </c>
      <c r="G27" s="114">
        <v>3363</v>
      </c>
      <c r="H27" s="114">
        <v>7990</v>
      </c>
      <c r="I27" s="120">
        <v>718</v>
      </c>
      <c r="J27" s="125"/>
      <c r="K27" s="79"/>
      <c r="L27" s="79"/>
      <c r="M27" s="69"/>
      <c r="N27" s="115"/>
      <c r="O27" s="121"/>
      <c r="P27" s="121"/>
      <c r="Q27" s="80"/>
      <c r="R27" s="4"/>
      <c r="S27" s="80"/>
      <c r="T27" s="121"/>
      <c r="U27" s="121"/>
      <c r="V27" s="80"/>
      <c r="W27" s="80"/>
      <c r="X27" s="80"/>
      <c r="Y27" s="80"/>
      <c r="Z27" s="80"/>
      <c r="AA27" s="80"/>
      <c r="AB27" s="80"/>
      <c r="AC27" s="80"/>
      <c r="AD27" s="80"/>
    </row>
    <row r="28" spans="1:30" s="11" customFormat="1" ht="12.75" customHeight="1" x14ac:dyDescent="0.25">
      <c r="A28" s="89">
        <v>37135</v>
      </c>
      <c r="B28" s="114">
        <v>3185</v>
      </c>
      <c r="C28" s="114">
        <v>387</v>
      </c>
      <c r="D28" s="114">
        <v>3572</v>
      </c>
      <c r="E28" s="114">
        <v>1480</v>
      </c>
      <c r="F28" s="114">
        <v>5052</v>
      </c>
      <c r="G28" s="114">
        <v>3881</v>
      </c>
      <c r="H28" s="114">
        <v>8933</v>
      </c>
      <c r="I28" s="120">
        <v>772</v>
      </c>
      <c r="J28" s="125"/>
      <c r="K28" s="79"/>
      <c r="L28" s="79"/>
      <c r="M28" s="69"/>
      <c r="N28" s="115"/>
      <c r="O28" s="121"/>
      <c r="P28" s="121"/>
      <c r="Q28" s="80"/>
      <c r="R28" s="4"/>
      <c r="S28" s="80"/>
      <c r="T28" s="121"/>
      <c r="U28" s="121"/>
      <c r="V28" s="80"/>
      <c r="W28" s="80"/>
      <c r="X28" s="80"/>
      <c r="Y28" s="80"/>
      <c r="Z28" s="80"/>
      <c r="AA28" s="80"/>
      <c r="AB28" s="80"/>
      <c r="AC28" s="80"/>
      <c r="AD28" s="80"/>
    </row>
    <row r="29" spans="1:30" s="11" customFormat="1" ht="12.75" customHeight="1" x14ac:dyDescent="0.25">
      <c r="A29" s="89">
        <v>37165</v>
      </c>
      <c r="B29" s="114">
        <v>3042</v>
      </c>
      <c r="C29" s="114">
        <v>509</v>
      </c>
      <c r="D29" s="114">
        <v>3551</v>
      </c>
      <c r="E29" s="114">
        <v>1523</v>
      </c>
      <c r="F29" s="114">
        <v>5074</v>
      </c>
      <c r="G29" s="114">
        <v>3749</v>
      </c>
      <c r="H29" s="114">
        <v>8823</v>
      </c>
      <c r="I29" s="120">
        <v>752</v>
      </c>
      <c r="J29" s="125"/>
      <c r="K29" s="79"/>
      <c r="L29" s="79"/>
      <c r="M29" s="69"/>
      <c r="N29" s="115"/>
      <c r="O29" s="121"/>
      <c r="P29" s="121"/>
      <c r="Q29" s="80"/>
      <c r="R29" s="4"/>
      <c r="S29" s="80"/>
      <c r="T29" s="121"/>
      <c r="U29" s="121"/>
      <c r="V29" s="80"/>
      <c r="W29" s="80"/>
      <c r="X29" s="80"/>
      <c r="Y29" s="80"/>
      <c r="Z29" s="80"/>
      <c r="AA29" s="80"/>
      <c r="AB29" s="80"/>
      <c r="AC29" s="80"/>
      <c r="AD29" s="80"/>
    </row>
    <row r="30" spans="1:30" s="11" customFormat="1" ht="12" customHeight="1" x14ac:dyDescent="0.25">
      <c r="A30" s="89">
        <v>37196</v>
      </c>
      <c r="B30" s="114">
        <v>3406</v>
      </c>
      <c r="C30" s="114">
        <v>323</v>
      </c>
      <c r="D30" s="114">
        <v>3729</v>
      </c>
      <c r="E30" s="114">
        <v>1120</v>
      </c>
      <c r="F30" s="114">
        <v>4849</v>
      </c>
      <c r="G30" s="114">
        <v>3487</v>
      </c>
      <c r="H30" s="114">
        <v>8336</v>
      </c>
      <c r="I30" s="120">
        <v>692</v>
      </c>
      <c r="J30" s="125"/>
      <c r="K30" s="79"/>
      <c r="L30" s="79"/>
      <c r="M30" s="69"/>
      <c r="N30" s="115"/>
      <c r="O30" s="121"/>
      <c r="P30" s="121"/>
      <c r="Q30" s="80"/>
      <c r="R30" s="4"/>
      <c r="S30" s="80"/>
      <c r="T30" s="121"/>
      <c r="U30" s="121"/>
      <c r="V30" s="80"/>
      <c r="W30" s="80"/>
      <c r="X30" s="80"/>
      <c r="Y30" s="80"/>
      <c r="Z30" s="80"/>
      <c r="AA30" s="80"/>
      <c r="AB30" s="80"/>
      <c r="AC30" s="80"/>
      <c r="AD30" s="80"/>
    </row>
    <row r="31" spans="1:30" s="11" customFormat="1" ht="12.75" customHeight="1" x14ac:dyDescent="0.25">
      <c r="A31" s="89">
        <v>37226</v>
      </c>
      <c r="B31" s="114">
        <v>2872</v>
      </c>
      <c r="C31" s="114">
        <v>793</v>
      </c>
      <c r="D31" s="114">
        <v>3665</v>
      </c>
      <c r="E31" s="114">
        <v>1335</v>
      </c>
      <c r="F31" s="114">
        <v>5000</v>
      </c>
      <c r="G31" s="114">
        <v>3582</v>
      </c>
      <c r="H31" s="114">
        <v>8582</v>
      </c>
      <c r="I31" s="120">
        <v>673</v>
      </c>
      <c r="J31" s="125"/>
      <c r="K31" s="79"/>
      <c r="L31" s="79"/>
      <c r="M31" s="69"/>
      <c r="N31" s="115"/>
      <c r="O31" s="121"/>
      <c r="P31" s="121"/>
      <c r="Q31" s="80"/>
      <c r="R31" s="4"/>
      <c r="S31" s="80"/>
      <c r="T31" s="121"/>
      <c r="U31" s="121"/>
      <c r="V31" s="80"/>
      <c r="W31" s="80"/>
      <c r="X31" s="80"/>
      <c r="Y31" s="80"/>
      <c r="Z31" s="80"/>
      <c r="AA31" s="80"/>
      <c r="AB31" s="80"/>
      <c r="AC31" s="80"/>
      <c r="AD31" s="80"/>
    </row>
    <row r="32" spans="1:30" s="11" customFormat="1" ht="12.75" customHeight="1" x14ac:dyDescent="0.25">
      <c r="A32" s="89">
        <v>37257</v>
      </c>
      <c r="B32" s="114">
        <v>2782</v>
      </c>
      <c r="C32" s="114">
        <v>300</v>
      </c>
      <c r="D32" s="114">
        <v>3082</v>
      </c>
      <c r="E32" s="114">
        <v>1382</v>
      </c>
      <c r="F32" s="114">
        <v>4464</v>
      </c>
      <c r="G32" s="114">
        <v>3477</v>
      </c>
      <c r="H32" s="114">
        <v>7941</v>
      </c>
      <c r="I32" s="120">
        <v>686</v>
      </c>
      <c r="J32" s="125"/>
      <c r="K32" s="79"/>
      <c r="L32" s="79"/>
      <c r="M32" s="69"/>
      <c r="N32" s="115"/>
      <c r="O32" s="121"/>
      <c r="P32" s="121"/>
      <c r="Q32" s="80"/>
      <c r="R32" s="4"/>
      <c r="S32" s="80"/>
      <c r="T32" s="121"/>
      <c r="U32" s="121"/>
      <c r="V32" s="80"/>
      <c r="W32" s="80"/>
      <c r="X32" s="80"/>
      <c r="Y32" s="80"/>
      <c r="Z32" s="80"/>
      <c r="AA32" s="80"/>
      <c r="AB32" s="80"/>
      <c r="AC32" s="80"/>
      <c r="AD32" s="80"/>
    </row>
    <row r="33" spans="1:30" s="11" customFormat="1" ht="15" customHeight="1" x14ac:dyDescent="0.25">
      <c r="A33" s="89">
        <v>37288</v>
      </c>
      <c r="B33" s="114">
        <v>2402</v>
      </c>
      <c r="C33" s="114">
        <v>391</v>
      </c>
      <c r="D33" s="114">
        <v>2793</v>
      </c>
      <c r="E33" s="114">
        <v>1845</v>
      </c>
      <c r="F33" s="114">
        <v>4638</v>
      </c>
      <c r="G33" s="114">
        <v>3816</v>
      </c>
      <c r="H33" s="114">
        <v>8454</v>
      </c>
      <c r="I33" s="120">
        <v>819</v>
      </c>
      <c r="J33" s="125"/>
      <c r="K33" s="79"/>
      <c r="L33" s="79"/>
      <c r="M33" s="69"/>
      <c r="N33" s="115"/>
      <c r="O33" s="121"/>
      <c r="P33" s="121"/>
      <c r="Q33" s="80"/>
      <c r="R33" s="4"/>
      <c r="S33" s="80"/>
      <c r="T33" s="121"/>
      <c r="U33" s="121"/>
      <c r="V33" s="80"/>
      <c r="W33" s="80"/>
      <c r="X33" s="80"/>
      <c r="Y33" s="80"/>
      <c r="Z33" s="80"/>
      <c r="AA33" s="80"/>
      <c r="AB33" s="80"/>
      <c r="AC33" s="80"/>
      <c r="AD33" s="80"/>
    </row>
    <row r="34" spans="1:30" s="11" customFormat="1" ht="15" customHeight="1" x14ac:dyDescent="0.25">
      <c r="A34" s="89">
        <v>37316</v>
      </c>
      <c r="B34" s="114">
        <v>1816</v>
      </c>
      <c r="C34" s="114">
        <v>189</v>
      </c>
      <c r="D34" s="114">
        <v>2005</v>
      </c>
      <c r="E34" s="114">
        <v>2229</v>
      </c>
      <c r="F34" s="114">
        <v>4234</v>
      </c>
      <c r="G34" s="114">
        <v>3488</v>
      </c>
      <c r="H34" s="114">
        <v>7722</v>
      </c>
      <c r="I34" s="120">
        <v>653</v>
      </c>
      <c r="J34" s="125"/>
      <c r="K34" s="79"/>
      <c r="L34" s="79"/>
      <c r="M34" s="69"/>
      <c r="N34" s="115"/>
      <c r="O34" s="121"/>
      <c r="P34" s="121"/>
      <c r="Q34" s="80"/>
      <c r="R34" s="4"/>
      <c r="S34" s="80"/>
      <c r="T34" s="121"/>
      <c r="U34" s="121"/>
      <c r="V34" s="80"/>
      <c r="W34" s="80"/>
      <c r="X34" s="80"/>
      <c r="Y34" s="80"/>
      <c r="Z34" s="80"/>
      <c r="AA34" s="80"/>
      <c r="AB34" s="80"/>
      <c r="AC34" s="80"/>
      <c r="AD34" s="80"/>
    </row>
    <row r="35" spans="1:30" s="11" customFormat="1" ht="12.75" customHeight="1" x14ac:dyDescent="0.25">
      <c r="A35" s="89">
        <v>37347</v>
      </c>
      <c r="B35" s="114">
        <v>1731</v>
      </c>
      <c r="C35" s="114">
        <v>250</v>
      </c>
      <c r="D35" s="114">
        <v>1981</v>
      </c>
      <c r="E35" s="114">
        <v>2248</v>
      </c>
      <c r="F35" s="114">
        <v>4229</v>
      </c>
      <c r="G35" s="114">
        <v>3928</v>
      </c>
      <c r="H35" s="114">
        <v>8157</v>
      </c>
      <c r="I35" s="120">
        <v>639</v>
      </c>
      <c r="J35" s="125"/>
      <c r="K35" s="79"/>
      <c r="L35" s="79"/>
      <c r="M35" s="69"/>
      <c r="N35" s="115"/>
      <c r="O35" s="121"/>
      <c r="P35" s="121"/>
      <c r="Q35" s="80"/>
      <c r="R35" s="4"/>
      <c r="S35" s="80"/>
      <c r="T35" s="121"/>
      <c r="U35" s="121"/>
      <c r="V35" s="80"/>
      <c r="W35" s="80"/>
      <c r="X35" s="80"/>
      <c r="Y35" s="80"/>
      <c r="Z35" s="80"/>
      <c r="AA35" s="80"/>
      <c r="AB35" s="80"/>
      <c r="AC35" s="80"/>
      <c r="AD35" s="80"/>
    </row>
    <row r="36" spans="1:30" s="11" customFormat="1" ht="12.75" customHeight="1" x14ac:dyDescent="0.25">
      <c r="A36" s="89">
        <v>37377</v>
      </c>
      <c r="B36" s="114">
        <v>1920</v>
      </c>
      <c r="C36" s="114">
        <v>191</v>
      </c>
      <c r="D36" s="114">
        <v>2111</v>
      </c>
      <c r="E36" s="114">
        <v>1834</v>
      </c>
      <c r="F36" s="114">
        <v>3945</v>
      </c>
      <c r="G36" s="114">
        <v>3403</v>
      </c>
      <c r="H36" s="114">
        <v>7348</v>
      </c>
      <c r="I36" s="120">
        <v>582</v>
      </c>
      <c r="J36" s="125"/>
      <c r="K36" s="79"/>
      <c r="L36" s="79"/>
      <c r="M36" s="69"/>
      <c r="N36" s="115"/>
      <c r="O36" s="121"/>
      <c r="P36" s="121"/>
      <c r="Q36" s="80"/>
      <c r="R36" s="4"/>
      <c r="S36" s="80"/>
      <c r="T36" s="121"/>
      <c r="U36" s="121"/>
      <c r="V36" s="80"/>
      <c r="W36" s="80"/>
      <c r="X36" s="80"/>
      <c r="Y36" s="80"/>
      <c r="Z36" s="80"/>
      <c r="AA36" s="80"/>
      <c r="AB36" s="80"/>
      <c r="AC36" s="80"/>
      <c r="AD36" s="80"/>
    </row>
    <row r="37" spans="1:30" s="11" customFormat="1" ht="12.75" customHeight="1" x14ac:dyDescent="0.25">
      <c r="A37" s="89">
        <v>37408</v>
      </c>
      <c r="B37" s="114">
        <v>1736</v>
      </c>
      <c r="C37" s="114">
        <v>510</v>
      </c>
      <c r="D37" s="114">
        <v>2246</v>
      </c>
      <c r="E37" s="114">
        <v>2200</v>
      </c>
      <c r="F37" s="114">
        <v>4446</v>
      </c>
      <c r="G37" s="114">
        <v>3052</v>
      </c>
      <c r="H37" s="114">
        <v>7498</v>
      </c>
      <c r="I37" s="120">
        <v>549</v>
      </c>
      <c r="J37" s="125"/>
      <c r="K37" s="70"/>
      <c r="L37" s="70"/>
      <c r="M37" s="69"/>
      <c r="N37" s="115"/>
      <c r="O37" s="121"/>
      <c r="P37" s="121"/>
      <c r="Q37" s="2"/>
      <c r="R37" s="4"/>
      <c r="S37" s="2"/>
      <c r="T37" s="121"/>
      <c r="U37" s="121"/>
      <c r="V37" s="2"/>
      <c r="W37" s="2"/>
      <c r="X37" s="2"/>
      <c r="Y37" s="2"/>
      <c r="Z37" s="2"/>
      <c r="AA37" s="2"/>
      <c r="AB37" s="2"/>
      <c r="AC37" s="2"/>
      <c r="AD37" s="2"/>
    </row>
    <row r="38" spans="1:30" s="11" customFormat="1" ht="12.75" customHeight="1" x14ac:dyDescent="0.25">
      <c r="A38" s="89">
        <v>37438</v>
      </c>
      <c r="B38" s="114">
        <v>1875</v>
      </c>
      <c r="C38" s="114">
        <v>591</v>
      </c>
      <c r="D38" s="114">
        <v>2466</v>
      </c>
      <c r="E38" s="114">
        <v>2157</v>
      </c>
      <c r="F38" s="114">
        <v>4623</v>
      </c>
      <c r="G38" s="114">
        <v>3450</v>
      </c>
      <c r="H38" s="114">
        <v>8073</v>
      </c>
      <c r="I38" s="120">
        <v>736</v>
      </c>
      <c r="J38" s="125"/>
      <c r="K38" s="70"/>
      <c r="L38" s="70"/>
      <c r="M38" s="69"/>
      <c r="N38" s="115"/>
      <c r="O38" s="121"/>
      <c r="P38" s="121"/>
      <c r="Q38" s="2"/>
      <c r="R38" s="4"/>
      <c r="S38" s="2"/>
      <c r="T38" s="121"/>
      <c r="U38" s="121"/>
      <c r="V38" s="2"/>
      <c r="W38" s="2"/>
      <c r="X38" s="2"/>
      <c r="Y38" s="2"/>
      <c r="Z38" s="2"/>
      <c r="AA38" s="2"/>
      <c r="AB38" s="2"/>
      <c r="AC38" s="2"/>
      <c r="AD38" s="2"/>
    </row>
    <row r="39" spans="1:30" s="11" customFormat="1" ht="12.75" customHeight="1" x14ac:dyDescent="0.25">
      <c r="A39" s="89">
        <v>37469</v>
      </c>
      <c r="B39" s="114">
        <v>2032</v>
      </c>
      <c r="C39" s="114">
        <v>112</v>
      </c>
      <c r="D39" s="114">
        <v>2144</v>
      </c>
      <c r="E39" s="114">
        <v>2097</v>
      </c>
      <c r="F39" s="114">
        <v>4241</v>
      </c>
      <c r="G39" s="114">
        <v>3360</v>
      </c>
      <c r="H39" s="114">
        <v>7601</v>
      </c>
      <c r="I39" s="120">
        <v>674</v>
      </c>
      <c r="J39" s="125"/>
      <c r="K39" s="20"/>
      <c r="L39" s="1"/>
      <c r="M39" s="69"/>
      <c r="N39" s="115"/>
      <c r="O39" s="121"/>
      <c r="P39" s="121"/>
      <c r="Q39" s="1"/>
      <c r="R39" s="4"/>
      <c r="S39" s="1"/>
      <c r="T39" s="121"/>
      <c r="U39" s="121"/>
      <c r="V39" s="1"/>
      <c r="W39" s="1"/>
      <c r="X39" s="1"/>
      <c r="Y39" s="1"/>
      <c r="Z39" s="1"/>
      <c r="AA39" s="1"/>
      <c r="AB39" s="1"/>
      <c r="AC39" s="1"/>
      <c r="AD39" s="1"/>
    </row>
    <row r="40" spans="1:30" s="11" customFormat="1" ht="12.75" customHeight="1" x14ac:dyDescent="0.25">
      <c r="A40" s="89">
        <v>37500</v>
      </c>
      <c r="B40" s="114">
        <v>2408</v>
      </c>
      <c r="C40" s="114">
        <v>279</v>
      </c>
      <c r="D40" s="114">
        <v>2687</v>
      </c>
      <c r="E40" s="114">
        <v>1751</v>
      </c>
      <c r="F40" s="114">
        <v>4438</v>
      </c>
      <c r="G40" s="114">
        <v>3587</v>
      </c>
      <c r="H40" s="114">
        <v>8025</v>
      </c>
      <c r="I40" s="120">
        <v>704</v>
      </c>
      <c r="J40" s="125"/>
      <c r="K40" s="20"/>
      <c r="L40" s="1"/>
      <c r="M40" s="69"/>
      <c r="N40" s="115"/>
      <c r="O40" s="121"/>
      <c r="P40" s="121"/>
      <c r="Q40" s="1"/>
      <c r="R40" s="4"/>
      <c r="S40" s="1"/>
      <c r="T40" s="121"/>
      <c r="U40" s="121"/>
      <c r="V40" s="1"/>
      <c r="W40" s="1"/>
      <c r="X40" s="1"/>
      <c r="Y40" s="1"/>
      <c r="Z40" s="1"/>
      <c r="AA40" s="1"/>
      <c r="AB40" s="1"/>
      <c r="AC40" s="1"/>
      <c r="AD40" s="1"/>
    </row>
    <row r="41" spans="1:30" s="11" customFormat="1" ht="12.75" customHeight="1" x14ac:dyDescent="0.25">
      <c r="A41" s="89">
        <v>37530</v>
      </c>
      <c r="B41" s="114">
        <v>1602</v>
      </c>
      <c r="C41" s="114">
        <v>291</v>
      </c>
      <c r="D41" s="114">
        <v>1893</v>
      </c>
      <c r="E41" s="114">
        <v>2402</v>
      </c>
      <c r="F41" s="114">
        <v>4295</v>
      </c>
      <c r="G41" s="114">
        <v>3093</v>
      </c>
      <c r="H41" s="114">
        <v>7388</v>
      </c>
      <c r="I41" s="120">
        <v>662</v>
      </c>
      <c r="J41" s="125"/>
      <c r="K41" s="20"/>
      <c r="L41" s="1"/>
      <c r="M41" s="69"/>
      <c r="N41" s="115"/>
      <c r="O41" s="121"/>
      <c r="P41" s="121"/>
      <c r="Q41" s="1"/>
      <c r="R41" s="4"/>
      <c r="S41" s="1"/>
      <c r="T41" s="121"/>
      <c r="U41" s="121"/>
      <c r="V41" s="1"/>
      <c r="W41" s="1"/>
      <c r="X41" s="1"/>
      <c r="Y41" s="1"/>
      <c r="Z41" s="1"/>
      <c r="AA41" s="1"/>
      <c r="AB41" s="1"/>
      <c r="AC41" s="1"/>
      <c r="AD41" s="1"/>
    </row>
    <row r="42" spans="1:30" s="11" customFormat="1" ht="12.75" customHeight="1" x14ac:dyDescent="0.25">
      <c r="A42" s="89">
        <v>37561</v>
      </c>
      <c r="B42" s="114">
        <v>1725</v>
      </c>
      <c r="C42" s="114">
        <v>1672</v>
      </c>
      <c r="D42" s="114">
        <v>3397</v>
      </c>
      <c r="E42" s="114">
        <v>2184</v>
      </c>
      <c r="F42" s="114">
        <v>5581</v>
      </c>
      <c r="G42" s="114">
        <v>3021</v>
      </c>
      <c r="H42" s="114">
        <v>8602</v>
      </c>
      <c r="I42" s="120">
        <v>605</v>
      </c>
      <c r="J42" s="125"/>
      <c r="K42" s="20"/>
      <c r="L42" s="1"/>
      <c r="M42" s="69"/>
      <c r="N42" s="115"/>
      <c r="O42" s="121"/>
      <c r="P42" s="121"/>
      <c r="Q42" s="1"/>
      <c r="R42" s="4"/>
      <c r="S42" s="1"/>
      <c r="T42" s="121"/>
      <c r="U42" s="121"/>
      <c r="V42" s="1"/>
      <c r="W42" s="1"/>
      <c r="X42" s="1"/>
      <c r="Y42" s="1"/>
      <c r="Z42" s="1"/>
      <c r="AA42" s="1"/>
      <c r="AB42" s="1"/>
      <c r="AC42" s="1"/>
      <c r="AD42" s="1"/>
    </row>
    <row r="43" spans="1:30" s="11" customFormat="1" ht="12.75" customHeight="1" x14ac:dyDescent="0.25">
      <c r="A43" s="89">
        <v>37591</v>
      </c>
      <c r="B43" s="114">
        <v>1667</v>
      </c>
      <c r="C43" s="114">
        <v>1627</v>
      </c>
      <c r="D43" s="114">
        <v>3294</v>
      </c>
      <c r="E43" s="114">
        <v>2291</v>
      </c>
      <c r="F43" s="114">
        <v>5585</v>
      </c>
      <c r="G43" s="114">
        <v>3844</v>
      </c>
      <c r="H43" s="114">
        <v>9429</v>
      </c>
      <c r="I43" s="120">
        <v>633</v>
      </c>
      <c r="J43" s="125"/>
      <c r="K43" s="20"/>
      <c r="L43" s="1"/>
      <c r="M43" s="69"/>
      <c r="N43" s="115"/>
      <c r="O43" s="121"/>
      <c r="P43" s="121"/>
      <c r="Q43" s="1"/>
      <c r="R43" s="4"/>
      <c r="S43" s="1"/>
      <c r="T43" s="121"/>
      <c r="U43" s="121"/>
      <c r="V43" s="1"/>
      <c r="W43" s="1"/>
      <c r="X43" s="1"/>
      <c r="Y43" s="1"/>
      <c r="Z43" s="1"/>
      <c r="AA43" s="1"/>
      <c r="AB43" s="1"/>
      <c r="AC43" s="1"/>
      <c r="AD43" s="1"/>
    </row>
    <row r="44" spans="1:30" s="11" customFormat="1" ht="12.75" customHeight="1" x14ac:dyDescent="0.25">
      <c r="A44" s="89">
        <v>37622</v>
      </c>
      <c r="B44" s="114">
        <v>1922</v>
      </c>
      <c r="C44" s="114">
        <v>400</v>
      </c>
      <c r="D44" s="114">
        <v>2322</v>
      </c>
      <c r="E44" s="114">
        <v>2046</v>
      </c>
      <c r="F44" s="114">
        <v>4368</v>
      </c>
      <c r="G44" s="114">
        <v>3556</v>
      </c>
      <c r="H44" s="114">
        <v>7924</v>
      </c>
      <c r="I44" s="120">
        <v>671</v>
      </c>
      <c r="J44" s="125"/>
      <c r="K44" s="20"/>
      <c r="L44" s="1"/>
      <c r="M44" s="69"/>
      <c r="N44" s="115"/>
      <c r="O44" s="121"/>
      <c r="P44" s="121"/>
      <c r="Q44" s="1"/>
      <c r="R44" s="4"/>
      <c r="S44" s="1"/>
      <c r="T44" s="121"/>
      <c r="U44" s="121"/>
      <c r="V44" s="1"/>
      <c r="W44" s="1"/>
      <c r="X44" s="1"/>
      <c r="Y44" s="1"/>
      <c r="Z44" s="1"/>
      <c r="AA44" s="1"/>
      <c r="AB44" s="1"/>
      <c r="AC44" s="1"/>
      <c r="AD44" s="1"/>
    </row>
    <row r="45" spans="1:30" s="11" customFormat="1" ht="12.75" customHeight="1" x14ac:dyDescent="0.25">
      <c r="A45" s="89">
        <v>37653</v>
      </c>
      <c r="B45" s="114">
        <v>1843</v>
      </c>
      <c r="C45" s="114">
        <v>1184</v>
      </c>
      <c r="D45" s="114">
        <v>3027</v>
      </c>
      <c r="E45" s="114">
        <v>2008</v>
      </c>
      <c r="F45" s="114">
        <v>5035</v>
      </c>
      <c r="G45" s="114">
        <v>3514</v>
      </c>
      <c r="H45" s="114">
        <v>8549</v>
      </c>
      <c r="I45" s="120">
        <v>715</v>
      </c>
      <c r="J45" s="125"/>
      <c r="K45" s="20"/>
      <c r="L45" s="1"/>
      <c r="M45" s="69"/>
      <c r="N45" s="115"/>
      <c r="O45" s="121"/>
      <c r="P45" s="121"/>
      <c r="Q45" s="1"/>
      <c r="R45" s="4"/>
      <c r="S45" s="1"/>
      <c r="T45" s="121"/>
      <c r="U45" s="121"/>
      <c r="V45" s="1"/>
      <c r="W45" s="1"/>
      <c r="X45" s="1"/>
      <c r="Y45" s="1"/>
      <c r="Z45" s="1"/>
      <c r="AA45" s="1"/>
      <c r="AB45" s="1"/>
      <c r="AC45" s="1"/>
      <c r="AD45" s="1"/>
    </row>
    <row r="46" spans="1:30" s="11" customFormat="1" ht="12.75" customHeight="1" x14ac:dyDescent="0.25">
      <c r="A46" s="89">
        <v>37681</v>
      </c>
      <c r="B46" s="114">
        <v>1979</v>
      </c>
      <c r="C46" s="114">
        <v>1673</v>
      </c>
      <c r="D46" s="114">
        <v>3652</v>
      </c>
      <c r="E46" s="114">
        <v>2010</v>
      </c>
      <c r="F46" s="114">
        <v>5662</v>
      </c>
      <c r="G46" s="114">
        <v>3452</v>
      </c>
      <c r="H46" s="114">
        <v>9114</v>
      </c>
      <c r="I46" s="120">
        <v>539</v>
      </c>
      <c r="J46" s="125"/>
      <c r="K46" s="20"/>
      <c r="L46" s="1"/>
      <c r="M46" s="69"/>
      <c r="N46" s="115"/>
      <c r="O46" s="121"/>
      <c r="P46" s="121"/>
      <c r="Q46" s="1"/>
      <c r="R46" s="4"/>
      <c r="S46" s="1"/>
      <c r="T46" s="121"/>
      <c r="U46" s="121"/>
      <c r="V46" s="1"/>
      <c r="W46" s="1"/>
      <c r="X46" s="1"/>
      <c r="Y46" s="1"/>
      <c r="Z46" s="1"/>
      <c r="AA46" s="1"/>
      <c r="AB46" s="1"/>
      <c r="AC46" s="1"/>
      <c r="AD46" s="1"/>
    </row>
    <row r="47" spans="1:30" s="11" customFormat="1" ht="12.75" customHeight="1" x14ac:dyDescent="0.25">
      <c r="A47" s="89">
        <v>37712</v>
      </c>
      <c r="B47" s="114">
        <v>1868</v>
      </c>
      <c r="C47" s="114">
        <v>1144</v>
      </c>
      <c r="D47" s="114">
        <v>3012</v>
      </c>
      <c r="E47" s="114">
        <v>1929</v>
      </c>
      <c r="F47" s="114">
        <v>4941</v>
      </c>
      <c r="G47" s="114">
        <v>3572</v>
      </c>
      <c r="H47" s="114">
        <v>8513</v>
      </c>
      <c r="I47" s="120">
        <v>501</v>
      </c>
      <c r="J47" s="125"/>
      <c r="K47" s="20"/>
      <c r="L47" s="1"/>
      <c r="M47" s="69"/>
      <c r="N47" s="115"/>
      <c r="O47" s="121"/>
      <c r="P47" s="121"/>
      <c r="Q47" s="1"/>
      <c r="R47" s="4"/>
      <c r="S47" s="1"/>
      <c r="T47" s="121"/>
      <c r="U47" s="121"/>
      <c r="V47" s="1"/>
      <c r="W47" s="1"/>
      <c r="X47" s="1"/>
      <c r="Y47" s="1"/>
      <c r="Z47" s="1"/>
      <c r="AA47" s="1"/>
      <c r="AB47" s="1"/>
      <c r="AC47" s="1"/>
      <c r="AD47" s="1"/>
    </row>
    <row r="48" spans="1:30" s="11" customFormat="1" ht="12.75" customHeight="1" x14ac:dyDescent="0.25">
      <c r="A48" s="89">
        <v>37742</v>
      </c>
      <c r="B48" s="114">
        <v>2013</v>
      </c>
      <c r="C48" s="114">
        <v>1175</v>
      </c>
      <c r="D48" s="114">
        <v>3188</v>
      </c>
      <c r="E48" s="114">
        <v>1909</v>
      </c>
      <c r="F48" s="114">
        <v>5097</v>
      </c>
      <c r="G48" s="114">
        <v>3913</v>
      </c>
      <c r="H48" s="114">
        <v>9010</v>
      </c>
      <c r="I48" s="120">
        <v>362</v>
      </c>
      <c r="J48" s="125"/>
      <c r="K48" s="20"/>
      <c r="L48" s="1"/>
      <c r="M48" s="69"/>
      <c r="N48" s="115"/>
      <c r="O48" s="121"/>
      <c r="P48" s="121"/>
      <c r="Q48" s="1"/>
      <c r="R48" s="4"/>
      <c r="S48" s="1"/>
      <c r="T48" s="121"/>
      <c r="U48" s="121"/>
      <c r="V48" s="1"/>
      <c r="W48" s="1"/>
      <c r="X48" s="1"/>
      <c r="Y48" s="1"/>
      <c r="Z48" s="1"/>
      <c r="AA48" s="1"/>
      <c r="AB48" s="1"/>
      <c r="AC48" s="1"/>
      <c r="AD48" s="1"/>
    </row>
    <row r="49" spans="1:30" s="11" customFormat="1" ht="12.75" customHeight="1" x14ac:dyDescent="0.25">
      <c r="A49" s="89">
        <v>37773</v>
      </c>
      <c r="B49" s="114">
        <v>2273</v>
      </c>
      <c r="C49" s="114">
        <v>1177</v>
      </c>
      <c r="D49" s="114">
        <v>3450</v>
      </c>
      <c r="E49" s="114">
        <v>1658</v>
      </c>
      <c r="F49" s="114">
        <v>5108</v>
      </c>
      <c r="G49" s="114">
        <v>4675</v>
      </c>
      <c r="H49" s="114">
        <v>9783</v>
      </c>
      <c r="I49" s="120">
        <v>389</v>
      </c>
      <c r="J49" s="125"/>
      <c r="K49" s="20"/>
      <c r="L49" s="1"/>
      <c r="M49" s="69"/>
      <c r="N49" s="115"/>
      <c r="O49" s="121"/>
      <c r="P49" s="121"/>
      <c r="Q49" s="1"/>
      <c r="R49" s="4"/>
      <c r="S49" s="1"/>
      <c r="T49" s="121"/>
      <c r="U49" s="121"/>
      <c r="V49" s="1"/>
      <c r="W49" s="1"/>
      <c r="X49" s="1"/>
      <c r="Y49" s="1"/>
      <c r="Z49" s="1"/>
      <c r="AA49" s="1"/>
      <c r="AB49" s="1"/>
      <c r="AC49" s="1"/>
      <c r="AD49" s="1"/>
    </row>
    <row r="50" spans="1:30" s="11" customFormat="1" ht="12.75" customHeight="1" x14ac:dyDescent="0.25">
      <c r="A50" s="89">
        <v>37803</v>
      </c>
      <c r="B50" s="114">
        <v>1935</v>
      </c>
      <c r="C50" s="114">
        <v>926</v>
      </c>
      <c r="D50" s="114">
        <v>2861</v>
      </c>
      <c r="E50" s="114">
        <v>1866</v>
      </c>
      <c r="F50" s="114">
        <v>4727</v>
      </c>
      <c r="G50" s="114">
        <v>4561</v>
      </c>
      <c r="H50" s="114">
        <v>9288</v>
      </c>
      <c r="I50" s="120">
        <v>549</v>
      </c>
      <c r="J50" s="125"/>
      <c r="K50" s="20"/>
      <c r="L50" s="1"/>
      <c r="M50" s="69"/>
      <c r="N50" s="115"/>
      <c r="O50" s="121"/>
      <c r="P50" s="121"/>
      <c r="Q50" s="1"/>
      <c r="R50" s="4"/>
      <c r="S50" s="1"/>
      <c r="T50" s="121"/>
      <c r="U50" s="121"/>
      <c r="V50" s="1"/>
      <c r="W50" s="1"/>
      <c r="X50" s="1"/>
      <c r="Y50" s="1"/>
      <c r="Z50" s="1"/>
      <c r="AA50" s="1"/>
      <c r="AB50" s="1"/>
      <c r="AC50" s="1"/>
      <c r="AD50" s="1"/>
    </row>
    <row r="51" spans="1:30" s="11" customFormat="1" ht="12.75" customHeight="1" x14ac:dyDescent="0.25">
      <c r="A51" s="89">
        <v>37834</v>
      </c>
      <c r="B51" s="114">
        <v>1979</v>
      </c>
      <c r="C51" s="114">
        <v>628</v>
      </c>
      <c r="D51" s="114">
        <v>2607</v>
      </c>
      <c r="E51" s="114">
        <v>1759</v>
      </c>
      <c r="F51" s="114">
        <v>4366</v>
      </c>
      <c r="G51" s="114">
        <v>4275</v>
      </c>
      <c r="H51" s="114">
        <v>8641</v>
      </c>
      <c r="I51" s="120">
        <v>534</v>
      </c>
      <c r="J51" s="125"/>
      <c r="K51" s="20"/>
      <c r="L51" s="1"/>
      <c r="M51" s="69"/>
      <c r="N51" s="115"/>
      <c r="O51" s="121"/>
      <c r="P51" s="121"/>
      <c r="Q51" s="1"/>
      <c r="R51" s="4"/>
      <c r="S51" s="1"/>
      <c r="T51" s="121"/>
      <c r="U51" s="121"/>
      <c r="V51" s="1"/>
      <c r="W51" s="1"/>
      <c r="X51" s="1"/>
      <c r="Y51" s="1"/>
      <c r="Z51" s="1"/>
      <c r="AA51" s="1"/>
      <c r="AB51" s="1"/>
      <c r="AC51" s="1"/>
      <c r="AD51" s="1"/>
    </row>
    <row r="52" spans="1:30" s="11" customFormat="1" ht="12.75" customHeight="1" x14ac:dyDescent="0.25">
      <c r="A52" s="89">
        <v>37865</v>
      </c>
      <c r="B52" s="114">
        <v>1457</v>
      </c>
      <c r="C52" s="114">
        <v>706</v>
      </c>
      <c r="D52" s="114">
        <v>2163</v>
      </c>
      <c r="E52" s="114">
        <v>2198</v>
      </c>
      <c r="F52" s="114">
        <v>4361</v>
      </c>
      <c r="G52" s="114">
        <v>4341</v>
      </c>
      <c r="H52" s="114">
        <v>8702</v>
      </c>
      <c r="I52" s="120">
        <v>482</v>
      </c>
      <c r="J52" s="125"/>
      <c r="K52" s="20"/>
      <c r="L52" s="1"/>
      <c r="M52" s="69"/>
      <c r="N52" s="115"/>
      <c r="O52" s="121"/>
      <c r="P52" s="121"/>
      <c r="Q52" s="1"/>
      <c r="R52" s="4"/>
      <c r="S52" s="1"/>
      <c r="T52" s="121"/>
      <c r="U52" s="121"/>
      <c r="V52" s="1"/>
      <c r="W52" s="1"/>
      <c r="X52" s="1"/>
      <c r="Y52" s="1"/>
      <c r="Z52" s="1"/>
      <c r="AA52" s="1"/>
      <c r="AB52" s="1"/>
      <c r="AC52" s="1"/>
      <c r="AD52" s="1"/>
    </row>
    <row r="53" spans="1:30" s="11" customFormat="1" ht="12.75" customHeight="1" x14ac:dyDescent="0.25">
      <c r="A53" s="89">
        <v>37895</v>
      </c>
      <c r="B53" s="114">
        <v>1589</v>
      </c>
      <c r="C53" s="114">
        <v>694</v>
      </c>
      <c r="D53" s="114">
        <v>2283</v>
      </c>
      <c r="E53" s="114">
        <v>2015</v>
      </c>
      <c r="F53" s="114">
        <v>4298</v>
      </c>
      <c r="G53" s="114">
        <v>4992</v>
      </c>
      <c r="H53" s="114">
        <v>9290</v>
      </c>
      <c r="I53" s="120">
        <v>485</v>
      </c>
      <c r="J53" s="125"/>
      <c r="K53" s="20"/>
      <c r="L53" s="1"/>
      <c r="M53" s="69"/>
      <c r="N53" s="115"/>
      <c r="O53" s="121"/>
      <c r="P53" s="121"/>
      <c r="Q53" s="1"/>
      <c r="R53" s="4"/>
      <c r="S53" s="1"/>
      <c r="T53" s="121"/>
      <c r="U53" s="121"/>
      <c r="V53" s="1"/>
      <c r="W53" s="1"/>
      <c r="X53" s="1"/>
      <c r="Y53" s="1"/>
      <c r="Z53" s="1"/>
      <c r="AA53" s="1"/>
      <c r="AB53" s="1"/>
      <c r="AC53" s="1"/>
      <c r="AD53" s="1"/>
    </row>
    <row r="54" spans="1:30" s="11" customFormat="1" ht="12.75" customHeight="1" x14ac:dyDescent="0.25">
      <c r="A54" s="89">
        <v>37926</v>
      </c>
      <c r="B54" s="114">
        <v>1535</v>
      </c>
      <c r="C54" s="114">
        <v>2784</v>
      </c>
      <c r="D54" s="114">
        <v>4319</v>
      </c>
      <c r="E54" s="114">
        <v>1988</v>
      </c>
      <c r="F54" s="114">
        <v>6307</v>
      </c>
      <c r="G54" s="114">
        <v>4303</v>
      </c>
      <c r="H54" s="114">
        <v>10610</v>
      </c>
      <c r="I54" s="120">
        <v>610</v>
      </c>
      <c r="J54" s="125"/>
      <c r="K54" s="20"/>
      <c r="L54" s="1"/>
      <c r="M54" s="69"/>
      <c r="N54" s="115"/>
      <c r="O54" s="121"/>
      <c r="P54" s="121"/>
      <c r="Q54" s="1"/>
      <c r="R54" s="4"/>
      <c r="S54" s="1"/>
      <c r="T54" s="121"/>
      <c r="U54" s="121"/>
      <c r="V54" s="1"/>
      <c r="W54" s="1"/>
      <c r="X54" s="1"/>
      <c r="Y54" s="1"/>
      <c r="Z54" s="1"/>
      <c r="AA54" s="1"/>
      <c r="AB54" s="1"/>
      <c r="AC54" s="1"/>
      <c r="AD54" s="1"/>
    </row>
    <row r="55" spans="1:30" s="11" customFormat="1" ht="12.75" customHeight="1" x14ac:dyDescent="0.25">
      <c r="A55" s="89">
        <v>37956</v>
      </c>
      <c r="B55" s="114">
        <v>1653</v>
      </c>
      <c r="C55" s="114">
        <v>1963</v>
      </c>
      <c r="D55" s="114">
        <v>3616</v>
      </c>
      <c r="E55" s="114">
        <v>1755</v>
      </c>
      <c r="F55" s="114">
        <v>5371</v>
      </c>
      <c r="G55" s="114">
        <v>3929</v>
      </c>
      <c r="H55" s="114">
        <v>9300</v>
      </c>
      <c r="I55" s="120">
        <v>700</v>
      </c>
      <c r="J55" s="125"/>
      <c r="K55" s="20"/>
      <c r="L55" s="1"/>
      <c r="M55" s="69"/>
      <c r="N55" s="115"/>
      <c r="O55" s="121"/>
      <c r="P55" s="121"/>
      <c r="Q55" s="1"/>
      <c r="R55" s="4"/>
      <c r="S55" s="1"/>
      <c r="T55" s="121"/>
      <c r="U55" s="121"/>
      <c r="V55" s="1"/>
      <c r="W55" s="1"/>
      <c r="X55" s="1"/>
      <c r="Y55" s="1"/>
      <c r="Z55" s="1"/>
      <c r="AA55" s="1"/>
      <c r="AB55" s="1"/>
      <c r="AC55" s="1"/>
      <c r="AD55" s="1"/>
    </row>
    <row r="56" spans="1:30" s="11" customFormat="1" ht="12.75" customHeight="1" x14ac:dyDescent="0.25">
      <c r="A56" s="89">
        <v>37987</v>
      </c>
      <c r="B56" s="114">
        <v>1863</v>
      </c>
      <c r="C56" s="114">
        <v>1526</v>
      </c>
      <c r="D56" s="114">
        <v>3389</v>
      </c>
      <c r="E56" s="114">
        <v>1444</v>
      </c>
      <c r="F56" s="114">
        <v>4833</v>
      </c>
      <c r="G56" s="114">
        <v>3612</v>
      </c>
      <c r="H56" s="114">
        <v>8445</v>
      </c>
      <c r="I56" s="120">
        <v>729</v>
      </c>
      <c r="J56" s="125"/>
      <c r="K56" s="20"/>
      <c r="L56" s="1"/>
      <c r="M56" s="69"/>
      <c r="N56" s="115"/>
      <c r="O56" s="121"/>
      <c r="P56" s="121"/>
      <c r="Q56" s="1"/>
      <c r="R56" s="4"/>
      <c r="S56" s="1"/>
      <c r="T56" s="121"/>
      <c r="U56" s="121"/>
      <c r="V56" s="1"/>
      <c r="W56" s="1"/>
      <c r="X56" s="1"/>
      <c r="Y56" s="1"/>
      <c r="Z56" s="1"/>
      <c r="AA56" s="1"/>
      <c r="AB56" s="1"/>
      <c r="AC56" s="1"/>
      <c r="AD56" s="1"/>
    </row>
    <row r="57" spans="1:30" s="11" customFormat="1" ht="12.75" customHeight="1" x14ac:dyDescent="0.25">
      <c r="A57" s="89">
        <v>38018</v>
      </c>
      <c r="B57" s="114">
        <v>1904</v>
      </c>
      <c r="C57" s="114">
        <v>2425</v>
      </c>
      <c r="D57" s="114">
        <v>4329</v>
      </c>
      <c r="E57" s="114">
        <v>1346</v>
      </c>
      <c r="F57" s="114">
        <v>5675</v>
      </c>
      <c r="G57" s="114">
        <v>3521</v>
      </c>
      <c r="H57" s="114">
        <v>9196</v>
      </c>
      <c r="I57" s="120">
        <v>720</v>
      </c>
      <c r="J57" s="125"/>
      <c r="K57" s="20"/>
      <c r="L57" s="1"/>
      <c r="M57" s="69"/>
      <c r="N57" s="115"/>
      <c r="O57" s="121"/>
      <c r="P57" s="121"/>
      <c r="Q57" s="1"/>
      <c r="R57" s="4"/>
      <c r="S57" s="1"/>
      <c r="T57" s="121"/>
      <c r="U57" s="121"/>
      <c r="V57" s="1"/>
      <c r="W57" s="1"/>
      <c r="X57" s="1"/>
      <c r="Y57" s="1"/>
      <c r="Z57" s="1"/>
      <c r="AA57" s="1"/>
      <c r="AB57" s="1"/>
      <c r="AC57" s="1"/>
      <c r="AD57" s="1"/>
    </row>
    <row r="58" spans="1:30" s="11" customFormat="1" ht="12.75" customHeight="1" x14ac:dyDescent="0.25">
      <c r="A58" s="89">
        <v>38047</v>
      </c>
      <c r="B58" s="114">
        <v>1788</v>
      </c>
      <c r="C58" s="114">
        <v>3248</v>
      </c>
      <c r="D58" s="114">
        <v>5036</v>
      </c>
      <c r="E58" s="114">
        <v>1660</v>
      </c>
      <c r="F58" s="114">
        <v>6696</v>
      </c>
      <c r="G58" s="114">
        <v>3397</v>
      </c>
      <c r="H58" s="114">
        <v>10093</v>
      </c>
      <c r="I58" s="120">
        <v>630</v>
      </c>
      <c r="J58" s="125"/>
      <c r="K58" s="20"/>
      <c r="L58" s="1"/>
      <c r="M58" s="69"/>
      <c r="N58" s="115"/>
      <c r="O58" s="121"/>
      <c r="P58" s="121"/>
      <c r="Q58" s="1"/>
      <c r="R58" s="4"/>
      <c r="S58" s="1"/>
      <c r="T58" s="121"/>
      <c r="U58" s="121"/>
      <c r="V58" s="1"/>
      <c r="W58" s="1"/>
      <c r="X58" s="1"/>
      <c r="Y58" s="1"/>
      <c r="Z58" s="1"/>
      <c r="AA58" s="1"/>
      <c r="AB58" s="1"/>
      <c r="AC58" s="1"/>
      <c r="AD58" s="1"/>
    </row>
    <row r="59" spans="1:30" s="11" customFormat="1" ht="12.75" customHeight="1" x14ac:dyDescent="0.25">
      <c r="A59" s="89">
        <v>38078</v>
      </c>
      <c r="B59" s="114">
        <v>1616</v>
      </c>
      <c r="C59" s="114">
        <v>1505</v>
      </c>
      <c r="D59" s="114">
        <v>3121</v>
      </c>
      <c r="E59" s="114">
        <v>2110</v>
      </c>
      <c r="F59" s="114">
        <v>5231</v>
      </c>
      <c r="G59" s="114">
        <v>4115</v>
      </c>
      <c r="H59" s="114">
        <v>9346</v>
      </c>
      <c r="I59" s="120">
        <v>343</v>
      </c>
      <c r="J59" s="125"/>
      <c r="K59" s="20"/>
      <c r="L59" s="1"/>
      <c r="M59" s="69"/>
      <c r="N59" s="115"/>
      <c r="O59" s="121"/>
      <c r="P59" s="121"/>
      <c r="Q59" s="1"/>
      <c r="R59" s="4"/>
      <c r="S59" s="1"/>
      <c r="T59" s="121"/>
      <c r="U59" s="121"/>
      <c r="V59" s="1"/>
      <c r="W59" s="1"/>
      <c r="X59" s="1"/>
      <c r="Y59" s="1"/>
      <c r="Z59" s="1"/>
      <c r="AA59" s="1"/>
      <c r="AB59" s="1"/>
      <c r="AC59" s="1"/>
      <c r="AD59" s="1"/>
    </row>
    <row r="60" spans="1:30" s="11" customFormat="1" ht="12.75" customHeight="1" x14ac:dyDescent="0.25">
      <c r="A60" s="89">
        <v>38108</v>
      </c>
      <c r="B60" s="114">
        <v>1820</v>
      </c>
      <c r="C60" s="114">
        <v>231</v>
      </c>
      <c r="D60" s="114">
        <v>2051</v>
      </c>
      <c r="E60" s="114">
        <v>1960</v>
      </c>
      <c r="F60" s="114">
        <v>4011</v>
      </c>
      <c r="G60" s="114">
        <v>3888</v>
      </c>
      <c r="H60" s="114">
        <v>7899</v>
      </c>
      <c r="I60" s="120">
        <v>308</v>
      </c>
      <c r="J60" s="125"/>
      <c r="K60" s="20"/>
      <c r="L60" s="1"/>
      <c r="M60" s="69"/>
      <c r="N60" s="115"/>
      <c r="O60" s="121"/>
      <c r="P60" s="121"/>
      <c r="Q60" s="1"/>
      <c r="R60" s="4"/>
      <c r="S60" s="1"/>
      <c r="T60" s="121"/>
      <c r="U60" s="121"/>
      <c r="V60" s="1"/>
      <c r="W60" s="1"/>
      <c r="X60" s="1"/>
      <c r="Y60" s="1"/>
      <c r="Z60" s="1"/>
      <c r="AA60" s="1"/>
      <c r="AB60" s="1"/>
      <c r="AC60" s="1"/>
      <c r="AD60" s="1"/>
    </row>
    <row r="61" spans="1:30" s="11" customFormat="1" ht="12.75" customHeight="1" x14ac:dyDescent="0.25">
      <c r="A61" s="89">
        <v>38139</v>
      </c>
      <c r="B61" s="114">
        <v>1520</v>
      </c>
      <c r="C61" s="114">
        <v>98</v>
      </c>
      <c r="D61" s="114">
        <v>1618</v>
      </c>
      <c r="E61" s="114">
        <v>2215</v>
      </c>
      <c r="F61" s="114">
        <v>3833</v>
      </c>
      <c r="G61" s="114">
        <v>3451</v>
      </c>
      <c r="H61" s="114">
        <v>7284</v>
      </c>
      <c r="I61" s="120">
        <v>273</v>
      </c>
      <c r="J61" s="125"/>
      <c r="K61" s="20"/>
      <c r="L61" s="1"/>
      <c r="M61" s="69"/>
      <c r="N61" s="115"/>
      <c r="O61" s="121"/>
      <c r="P61" s="121"/>
      <c r="Q61" s="1"/>
      <c r="R61" s="4"/>
      <c r="S61" s="1"/>
      <c r="T61" s="121"/>
      <c r="U61" s="121"/>
      <c r="V61" s="1"/>
      <c r="W61" s="1"/>
      <c r="X61" s="1"/>
      <c r="Y61" s="1"/>
      <c r="Z61" s="1"/>
      <c r="AA61" s="1"/>
      <c r="AB61" s="1"/>
      <c r="AC61" s="1"/>
      <c r="AD61" s="1"/>
    </row>
    <row r="62" spans="1:30" s="11" customFormat="1" ht="12.75" customHeight="1" x14ac:dyDescent="0.25">
      <c r="A62" s="89">
        <v>38169</v>
      </c>
      <c r="B62" s="114">
        <v>1310</v>
      </c>
      <c r="C62" s="114">
        <v>1008</v>
      </c>
      <c r="D62" s="114">
        <v>2318</v>
      </c>
      <c r="E62" s="114">
        <v>2416</v>
      </c>
      <c r="F62" s="114">
        <v>4734</v>
      </c>
      <c r="G62" s="114">
        <v>3135</v>
      </c>
      <c r="H62" s="114">
        <v>7869</v>
      </c>
      <c r="I62" s="120">
        <v>354</v>
      </c>
      <c r="J62" s="125"/>
      <c r="K62" s="20"/>
      <c r="L62" s="1"/>
      <c r="M62" s="69"/>
      <c r="N62" s="115"/>
      <c r="O62" s="121"/>
      <c r="P62" s="121"/>
      <c r="Q62" s="1"/>
      <c r="R62" s="4"/>
      <c r="S62" s="1"/>
      <c r="T62" s="121"/>
      <c r="U62" s="121"/>
      <c r="V62" s="1"/>
      <c r="W62" s="1"/>
      <c r="X62" s="1"/>
      <c r="Y62" s="1"/>
      <c r="Z62" s="1"/>
      <c r="AA62" s="1"/>
      <c r="AB62" s="1"/>
      <c r="AC62" s="1"/>
      <c r="AD62" s="1"/>
    </row>
    <row r="63" spans="1:30" s="11" customFormat="1" ht="12.75" customHeight="1" x14ac:dyDescent="0.25">
      <c r="A63" s="89">
        <v>38200</v>
      </c>
      <c r="B63" s="114">
        <v>1172</v>
      </c>
      <c r="C63" s="114">
        <v>883</v>
      </c>
      <c r="D63" s="114">
        <v>2055</v>
      </c>
      <c r="E63" s="114">
        <v>2243</v>
      </c>
      <c r="F63" s="114">
        <v>4298</v>
      </c>
      <c r="G63" s="114">
        <v>3602</v>
      </c>
      <c r="H63" s="114">
        <v>7900</v>
      </c>
      <c r="I63" s="120">
        <v>339</v>
      </c>
      <c r="J63" s="125"/>
      <c r="K63" s="20"/>
      <c r="L63" s="1"/>
      <c r="M63" s="69"/>
      <c r="N63" s="115"/>
      <c r="O63" s="121"/>
      <c r="P63" s="121"/>
      <c r="Q63" s="1"/>
      <c r="R63" s="4"/>
      <c r="S63" s="1"/>
      <c r="T63" s="121"/>
      <c r="U63" s="121"/>
      <c r="V63" s="1"/>
      <c r="W63" s="1"/>
      <c r="X63" s="1"/>
      <c r="Y63" s="1"/>
      <c r="Z63" s="1"/>
      <c r="AA63" s="1"/>
      <c r="AB63" s="1"/>
      <c r="AC63" s="1"/>
      <c r="AD63" s="1"/>
    </row>
    <row r="64" spans="1:30" s="11" customFormat="1" ht="12.75" customHeight="1" x14ac:dyDescent="0.25">
      <c r="A64" s="89">
        <v>38231</v>
      </c>
      <c r="B64" s="114">
        <v>1373</v>
      </c>
      <c r="C64" s="114">
        <v>1124</v>
      </c>
      <c r="D64" s="114">
        <v>2497</v>
      </c>
      <c r="E64" s="114">
        <v>2055</v>
      </c>
      <c r="F64" s="114">
        <v>4552</v>
      </c>
      <c r="G64" s="114">
        <v>3523</v>
      </c>
      <c r="H64" s="114">
        <v>8075</v>
      </c>
      <c r="I64" s="120">
        <v>480</v>
      </c>
      <c r="J64" s="125"/>
      <c r="K64" s="20"/>
      <c r="L64" s="1"/>
      <c r="M64" s="69"/>
      <c r="N64" s="115"/>
      <c r="O64" s="121"/>
      <c r="P64" s="121"/>
      <c r="Q64" s="1"/>
      <c r="R64" s="4"/>
      <c r="S64" s="1"/>
      <c r="T64" s="121"/>
      <c r="U64" s="121"/>
      <c r="V64" s="1"/>
      <c r="W64" s="1"/>
      <c r="X64" s="1"/>
      <c r="Y64" s="1"/>
      <c r="Z64" s="1"/>
      <c r="AA64" s="1"/>
      <c r="AB64" s="1"/>
      <c r="AC64" s="1"/>
      <c r="AD64" s="1"/>
    </row>
    <row r="65" spans="1:30" s="11" customFormat="1" ht="12.75" customHeight="1" x14ac:dyDescent="0.25">
      <c r="A65" s="89">
        <v>38261</v>
      </c>
      <c r="B65" s="114">
        <v>1095</v>
      </c>
      <c r="C65" s="114">
        <v>1073</v>
      </c>
      <c r="D65" s="114">
        <v>2168</v>
      </c>
      <c r="E65" s="114">
        <v>2089</v>
      </c>
      <c r="F65" s="114">
        <v>4257</v>
      </c>
      <c r="G65" s="114">
        <v>4530</v>
      </c>
      <c r="H65" s="114">
        <v>8787</v>
      </c>
      <c r="I65" s="120">
        <v>547</v>
      </c>
      <c r="J65" s="125"/>
      <c r="K65" s="20"/>
      <c r="L65" s="1"/>
      <c r="M65" s="69"/>
      <c r="N65" s="115"/>
      <c r="O65" s="121"/>
      <c r="P65" s="121"/>
      <c r="Q65" s="1"/>
      <c r="R65" s="4"/>
      <c r="S65" s="1"/>
      <c r="T65" s="121"/>
      <c r="U65" s="121"/>
      <c r="V65" s="1"/>
      <c r="W65" s="1"/>
      <c r="X65" s="1"/>
      <c r="Y65" s="1"/>
      <c r="Z65" s="1"/>
      <c r="AA65" s="1"/>
      <c r="AB65" s="1"/>
      <c r="AC65" s="1"/>
      <c r="AD65" s="1"/>
    </row>
    <row r="66" spans="1:30" s="11" customFormat="1" ht="12.75" customHeight="1" x14ac:dyDescent="0.25">
      <c r="A66" s="89">
        <v>38292</v>
      </c>
      <c r="B66" s="114">
        <v>1206</v>
      </c>
      <c r="C66" s="114">
        <v>1637</v>
      </c>
      <c r="D66" s="114">
        <v>2843</v>
      </c>
      <c r="E66" s="114">
        <v>1978</v>
      </c>
      <c r="F66" s="114">
        <v>4821</v>
      </c>
      <c r="G66" s="114">
        <v>5047</v>
      </c>
      <c r="H66" s="114">
        <v>9868</v>
      </c>
      <c r="I66" s="120">
        <v>540</v>
      </c>
      <c r="J66" s="125"/>
      <c r="K66" s="20"/>
      <c r="L66" s="1"/>
      <c r="M66" s="69"/>
      <c r="N66" s="115"/>
      <c r="O66" s="121"/>
      <c r="P66" s="121"/>
      <c r="Q66" s="1"/>
      <c r="R66" s="4"/>
      <c r="S66" s="1"/>
      <c r="T66" s="121"/>
      <c r="U66" s="121"/>
      <c r="V66" s="1"/>
      <c r="W66" s="1"/>
      <c r="X66" s="1"/>
      <c r="Y66" s="1"/>
      <c r="Z66" s="1"/>
      <c r="AA66" s="1"/>
      <c r="AB66" s="1"/>
      <c r="AC66" s="1"/>
      <c r="AD66" s="1"/>
    </row>
    <row r="67" spans="1:30" s="11" customFormat="1" ht="12.75" customHeight="1" x14ac:dyDescent="0.25">
      <c r="A67" s="89">
        <v>38322</v>
      </c>
      <c r="B67" s="114">
        <v>1036</v>
      </c>
      <c r="C67" s="114">
        <v>1427</v>
      </c>
      <c r="D67" s="114">
        <v>2463</v>
      </c>
      <c r="E67" s="114">
        <v>2262</v>
      </c>
      <c r="F67" s="114">
        <v>4725</v>
      </c>
      <c r="G67" s="114">
        <v>4942</v>
      </c>
      <c r="H67" s="114">
        <v>9667</v>
      </c>
      <c r="I67" s="120">
        <v>630</v>
      </c>
      <c r="J67" s="125"/>
      <c r="K67" s="20"/>
      <c r="L67" s="1"/>
      <c r="M67" s="69"/>
      <c r="N67" s="115"/>
      <c r="O67" s="121"/>
      <c r="P67" s="121"/>
      <c r="Q67" s="1"/>
      <c r="R67" s="4"/>
      <c r="S67" s="1"/>
      <c r="T67" s="121"/>
      <c r="U67" s="121"/>
      <c r="V67" s="1"/>
      <c r="W67" s="1"/>
      <c r="X67" s="1"/>
      <c r="Y67" s="1"/>
      <c r="Z67" s="1"/>
      <c r="AA67" s="1"/>
      <c r="AB67" s="1"/>
      <c r="AC67" s="1"/>
      <c r="AD67" s="1"/>
    </row>
    <row r="68" spans="1:30" s="11" customFormat="1" ht="12.75" customHeight="1" x14ac:dyDescent="0.25">
      <c r="A68" s="89">
        <v>38353</v>
      </c>
      <c r="B68" s="114">
        <v>747</v>
      </c>
      <c r="C68" s="114">
        <v>2206</v>
      </c>
      <c r="D68" s="114">
        <v>2953</v>
      </c>
      <c r="E68" s="114">
        <v>2499</v>
      </c>
      <c r="F68" s="114">
        <v>5452</v>
      </c>
      <c r="G68" s="114">
        <v>5116</v>
      </c>
      <c r="H68" s="114">
        <v>10568</v>
      </c>
      <c r="I68" s="120">
        <v>613</v>
      </c>
      <c r="J68" s="125"/>
      <c r="K68" s="20"/>
      <c r="L68" s="1"/>
      <c r="M68" s="69"/>
      <c r="N68" s="115"/>
      <c r="O68" s="121"/>
      <c r="P68" s="121"/>
      <c r="Q68" s="1"/>
      <c r="R68" s="4"/>
      <c r="S68" s="1"/>
      <c r="T68" s="121"/>
      <c r="U68" s="121"/>
      <c r="V68" s="1"/>
      <c r="W68" s="1"/>
      <c r="X68" s="1"/>
      <c r="Y68" s="1"/>
      <c r="Z68" s="1"/>
      <c r="AA68" s="1"/>
      <c r="AB68" s="1"/>
      <c r="AC68" s="1"/>
      <c r="AD68" s="1"/>
    </row>
    <row r="69" spans="1:30" s="11" customFormat="1" ht="12.75" customHeight="1" x14ac:dyDescent="0.25">
      <c r="A69" s="89">
        <v>38384</v>
      </c>
      <c r="B69" s="114">
        <v>624</v>
      </c>
      <c r="C69" s="114">
        <v>159</v>
      </c>
      <c r="D69" s="114">
        <v>783</v>
      </c>
      <c r="E69" s="114">
        <v>2804</v>
      </c>
      <c r="F69" s="114">
        <v>3587</v>
      </c>
      <c r="G69" s="114">
        <v>4787</v>
      </c>
      <c r="H69" s="114">
        <v>8374</v>
      </c>
      <c r="I69" s="120">
        <v>647</v>
      </c>
      <c r="J69" s="125"/>
      <c r="K69" s="20"/>
      <c r="L69" s="1"/>
      <c r="M69" s="69"/>
      <c r="N69" s="115"/>
      <c r="O69" s="121"/>
      <c r="P69" s="121"/>
      <c r="Q69" s="1"/>
      <c r="R69" s="4"/>
      <c r="S69" s="1"/>
      <c r="T69" s="121"/>
      <c r="U69" s="121"/>
      <c r="V69" s="1"/>
      <c r="W69" s="1"/>
      <c r="X69" s="1"/>
      <c r="Y69" s="1"/>
      <c r="Z69" s="1"/>
      <c r="AA69" s="1"/>
      <c r="AB69" s="1"/>
      <c r="AC69" s="1"/>
      <c r="AD69" s="1"/>
    </row>
    <row r="70" spans="1:30" s="11" customFormat="1" ht="12.75" customHeight="1" x14ac:dyDescent="0.25">
      <c r="A70" s="89">
        <v>38412</v>
      </c>
      <c r="B70" s="114">
        <v>949</v>
      </c>
      <c r="C70" s="114">
        <v>752</v>
      </c>
      <c r="D70" s="114">
        <v>1701</v>
      </c>
      <c r="E70" s="114">
        <v>2644</v>
      </c>
      <c r="F70" s="114">
        <v>4345</v>
      </c>
      <c r="G70" s="114">
        <v>4482</v>
      </c>
      <c r="H70" s="114">
        <v>8827</v>
      </c>
      <c r="I70" s="120">
        <v>589</v>
      </c>
      <c r="J70" s="125"/>
      <c r="K70" s="20"/>
      <c r="L70" s="1"/>
      <c r="M70" s="69"/>
      <c r="N70" s="115"/>
      <c r="O70" s="121"/>
      <c r="P70" s="121"/>
      <c r="Q70" s="1"/>
      <c r="R70" s="4"/>
      <c r="S70" s="1"/>
      <c r="T70" s="121"/>
      <c r="U70" s="121"/>
      <c r="V70" s="1"/>
      <c r="W70" s="1"/>
      <c r="X70" s="1"/>
      <c r="Y70" s="1"/>
      <c r="Z70" s="1"/>
      <c r="AA70" s="1"/>
      <c r="AB70" s="1"/>
      <c r="AC70" s="1"/>
      <c r="AD70" s="1"/>
    </row>
    <row r="71" spans="1:30" s="11" customFormat="1" ht="12.75" customHeight="1" x14ac:dyDescent="0.25">
      <c r="A71" s="89">
        <v>38443</v>
      </c>
      <c r="B71" s="114">
        <v>1311</v>
      </c>
      <c r="C71" s="114">
        <v>2710</v>
      </c>
      <c r="D71" s="114">
        <v>4021</v>
      </c>
      <c r="E71" s="114">
        <v>2348</v>
      </c>
      <c r="F71" s="114">
        <v>6369</v>
      </c>
      <c r="G71" s="114">
        <v>4381</v>
      </c>
      <c r="H71" s="114">
        <v>10750</v>
      </c>
      <c r="I71" s="120">
        <v>690</v>
      </c>
      <c r="J71" s="125"/>
      <c r="K71" s="20"/>
      <c r="L71" s="1"/>
      <c r="M71" s="69"/>
      <c r="N71" s="115"/>
      <c r="O71" s="121"/>
      <c r="P71" s="121"/>
      <c r="Q71" s="1"/>
      <c r="R71" s="4"/>
      <c r="S71" s="1"/>
      <c r="T71" s="121"/>
      <c r="U71" s="121"/>
      <c r="V71" s="1"/>
      <c r="W71" s="1"/>
      <c r="X71" s="1"/>
      <c r="Y71" s="1"/>
      <c r="Z71" s="1"/>
      <c r="AA71" s="1"/>
      <c r="AB71" s="1"/>
      <c r="AC71" s="1"/>
      <c r="AD71" s="1"/>
    </row>
    <row r="72" spans="1:30" s="11" customFormat="1" ht="12.75" customHeight="1" x14ac:dyDescent="0.25">
      <c r="A72" s="89">
        <v>38473</v>
      </c>
      <c r="B72" s="114">
        <v>703</v>
      </c>
      <c r="C72" s="114">
        <v>1667</v>
      </c>
      <c r="D72" s="114">
        <v>2370</v>
      </c>
      <c r="E72" s="114">
        <v>3046</v>
      </c>
      <c r="F72" s="114">
        <v>5416</v>
      </c>
      <c r="G72" s="114">
        <v>5042</v>
      </c>
      <c r="H72" s="114">
        <v>10458</v>
      </c>
      <c r="I72" s="120">
        <v>568</v>
      </c>
      <c r="J72" s="125"/>
      <c r="K72" s="20"/>
      <c r="L72" s="1"/>
      <c r="M72" s="69"/>
      <c r="N72" s="115"/>
      <c r="O72" s="121"/>
      <c r="P72" s="121"/>
      <c r="Q72" s="1"/>
      <c r="R72" s="4"/>
      <c r="S72" s="1"/>
      <c r="T72" s="121"/>
      <c r="U72" s="121"/>
      <c r="V72" s="1"/>
      <c r="W72" s="1"/>
      <c r="X72" s="1"/>
      <c r="Y72" s="1"/>
      <c r="Z72" s="1"/>
      <c r="AA72" s="1"/>
      <c r="AB72" s="1"/>
      <c r="AC72" s="1"/>
      <c r="AD72" s="1"/>
    </row>
    <row r="73" spans="1:30" s="11" customFormat="1" ht="12.75" customHeight="1" x14ac:dyDescent="0.25">
      <c r="A73" s="89">
        <v>38504</v>
      </c>
      <c r="B73" s="114">
        <v>929</v>
      </c>
      <c r="C73" s="114">
        <v>773</v>
      </c>
      <c r="D73" s="114">
        <v>1702</v>
      </c>
      <c r="E73" s="114">
        <v>3030</v>
      </c>
      <c r="F73" s="114">
        <v>4732</v>
      </c>
      <c r="G73" s="114">
        <v>5668</v>
      </c>
      <c r="H73" s="114">
        <v>10400</v>
      </c>
      <c r="I73" s="120">
        <v>608</v>
      </c>
      <c r="J73" s="125"/>
      <c r="K73" s="20"/>
      <c r="L73" s="1"/>
      <c r="M73" s="69"/>
      <c r="N73" s="115"/>
      <c r="O73" s="121"/>
      <c r="P73" s="121"/>
      <c r="Q73" s="1"/>
      <c r="R73" s="4"/>
      <c r="S73" s="1"/>
      <c r="T73" s="121"/>
      <c r="U73" s="121"/>
      <c r="V73" s="1"/>
      <c r="W73" s="1"/>
      <c r="X73" s="1"/>
      <c r="Y73" s="1"/>
      <c r="Z73" s="1"/>
      <c r="AA73" s="1"/>
      <c r="AB73" s="1"/>
      <c r="AC73" s="1"/>
      <c r="AD73" s="1"/>
    </row>
    <row r="74" spans="1:30" s="11" customFormat="1" ht="12.75" customHeight="1" x14ac:dyDescent="0.25">
      <c r="A74" s="89">
        <v>38534</v>
      </c>
      <c r="B74" s="114">
        <v>1246</v>
      </c>
      <c r="C74" s="114">
        <v>1722</v>
      </c>
      <c r="D74" s="114">
        <v>2968</v>
      </c>
      <c r="E74" s="114">
        <v>2745</v>
      </c>
      <c r="F74" s="114">
        <v>5713</v>
      </c>
      <c r="G74" s="114">
        <v>5451</v>
      </c>
      <c r="H74" s="114">
        <v>11164</v>
      </c>
      <c r="I74" s="120">
        <v>508</v>
      </c>
      <c r="J74" s="125"/>
      <c r="K74" s="20"/>
      <c r="L74" s="1"/>
      <c r="M74" s="69"/>
      <c r="N74" s="115"/>
      <c r="O74" s="121"/>
      <c r="P74" s="121"/>
      <c r="Q74" s="1"/>
      <c r="R74" s="4"/>
      <c r="S74" s="1"/>
      <c r="T74" s="121"/>
      <c r="U74" s="121"/>
      <c r="V74" s="1"/>
      <c r="W74" s="1"/>
      <c r="X74" s="1"/>
      <c r="Y74" s="1"/>
      <c r="Z74" s="1"/>
      <c r="AA74" s="1"/>
      <c r="AB74" s="1"/>
      <c r="AC74" s="1"/>
      <c r="AD74" s="1"/>
    </row>
    <row r="75" spans="1:30" s="11" customFormat="1" ht="12.75" customHeight="1" x14ac:dyDescent="0.25">
      <c r="A75" s="89">
        <v>38565</v>
      </c>
      <c r="B75" s="114">
        <v>968</v>
      </c>
      <c r="C75" s="114">
        <v>1670</v>
      </c>
      <c r="D75" s="114">
        <v>2638</v>
      </c>
      <c r="E75" s="114">
        <v>2946</v>
      </c>
      <c r="F75" s="114">
        <v>5584</v>
      </c>
      <c r="G75" s="114">
        <v>5747</v>
      </c>
      <c r="H75" s="114">
        <v>11331</v>
      </c>
      <c r="I75" s="120">
        <v>515</v>
      </c>
      <c r="J75" s="125"/>
      <c r="K75" s="20"/>
      <c r="L75" s="1"/>
      <c r="M75" s="69"/>
      <c r="N75" s="115"/>
      <c r="O75" s="121"/>
      <c r="P75" s="121"/>
      <c r="Q75" s="1"/>
      <c r="R75" s="4"/>
      <c r="S75" s="1"/>
      <c r="T75" s="121"/>
      <c r="U75" s="121"/>
      <c r="V75" s="1"/>
      <c r="W75" s="1"/>
      <c r="X75" s="1"/>
      <c r="Y75" s="1"/>
      <c r="Z75" s="1"/>
      <c r="AA75" s="1"/>
      <c r="AB75" s="1"/>
      <c r="AC75" s="1"/>
      <c r="AD75" s="1"/>
    </row>
    <row r="76" spans="1:30" s="11" customFormat="1" ht="12.75" customHeight="1" x14ac:dyDescent="0.25">
      <c r="A76" s="89">
        <v>38596</v>
      </c>
      <c r="B76" s="118">
        <v>2017</v>
      </c>
      <c r="C76" s="118">
        <v>16</v>
      </c>
      <c r="D76" s="119">
        <v>2033</v>
      </c>
      <c r="E76" s="119">
        <v>2979</v>
      </c>
      <c r="F76" s="119">
        <v>5012</v>
      </c>
      <c r="G76" s="119">
        <v>5703</v>
      </c>
      <c r="H76" s="119">
        <v>10715</v>
      </c>
      <c r="I76" s="118">
        <v>713</v>
      </c>
      <c r="J76" s="125"/>
      <c r="K76" s="20"/>
      <c r="L76" s="1"/>
      <c r="M76" s="69"/>
      <c r="N76" s="115"/>
      <c r="O76" s="121"/>
      <c r="P76" s="121"/>
      <c r="Q76" s="1"/>
      <c r="R76" s="4"/>
      <c r="S76" s="1"/>
      <c r="T76" s="121"/>
      <c r="U76" s="121"/>
      <c r="V76" s="1"/>
      <c r="W76" s="1"/>
      <c r="X76" s="1"/>
      <c r="Y76" s="1"/>
      <c r="Z76" s="1"/>
      <c r="AA76" s="1"/>
      <c r="AB76" s="1"/>
      <c r="AC76" s="1"/>
      <c r="AD76" s="1"/>
    </row>
    <row r="77" spans="1:30" s="11" customFormat="1" ht="12.75" customHeight="1" x14ac:dyDescent="0.25">
      <c r="A77" s="89">
        <v>38626</v>
      </c>
      <c r="B77" s="118">
        <v>2427</v>
      </c>
      <c r="C77" s="118">
        <v>108</v>
      </c>
      <c r="D77" s="119">
        <v>2535</v>
      </c>
      <c r="E77" s="119">
        <v>3289</v>
      </c>
      <c r="F77" s="119">
        <v>5824</v>
      </c>
      <c r="G77" s="119">
        <v>5985</v>
      </c>
      <c r="H77" s="119">
        <v>11809</v>
      </c>
      <c r="I77" s="118">
        <v>836</v>
      </c>
      <c r="J77" s="125"/>
      <c r="K77" s="20"/>
      <c r="L77" s="1"/>
      <c r="M77" s="69"/>
      <c r="N77" s="115"/>
      <c r="O77" s="121"/>
      <c r="P77" s="121"/>
      <c r="Q77" s="1"/>
      <c r="R77" s="4"/>
      <c r="S77" s="1"/>
      <c r="T77" s="121"/>
      <c r="U77" s="121"/>
      <c r="V77" s="1"/>
      <c r="W77" s="1"/>
      <c r="X77" s="1"/>
      <c r="Y77" s="1"/>
      <c r="Z77" s="1"/>
      <c r="AA77" s="1"/>
      <c r="AB77" s="1"/>
      <c r="AC77" s="1"/>
      <c r="AD77" s="1"/>
    </row>
    <row r="78" spans="1:30" s="11" customFormat="1" ht="12.75" customHeight="1" x14ac:dyDescent="0.25">
      <c r="A78" s="89">
        <v>38657</v>
      </c>
      <c r="B78" s="118">
        <v>2436</v>
      </c>
      <c r="C78" s="118">
        <v>115</v>
      </c>
      <c r="D78" s="119">
        <v>2551</v>
      </c>
      <c r="E78" s="119">
        <v>4475</v>
      </c>
      <c r="F78" s="119">
        <v>7026</v>
      </c>
      <c r="G78" s="119">
        <v>6093</v>
      </c>
      <c r="H78" s="119">
        <v>13119</v>
      </c>
      <c r="I78" s="118">
        <v>913</v>
      </c>
      <c r="J78" s="125"/>
      <c r="K78" s="20"/>
      <c r="L78" s="1"/>
      <c r="M78" s="69"/>
      <c r="N78" s="115"/>
      <c r="O78" s="121"/>
      <c r="P78" s="121"/>
      <c r="Q78" s="1"/>
      <c r="R78" s="4"/>
      <c r="S78" s="1"/>
      <c r="T78" s="121"/>
      <c r="U78" s="121"/>
      <c r="V78" s="1"/>
      <c r="W78" s="1"/>
      <c r="X78" s="1"/>
      <c r="Y78" s="1"/>
      <c r="Z78" s="1"/>
      <c r="AA78" s="1"/>
      <c r="AB78" s="1"/>
      <c r="AC78" s="1"/>
      <c r="AD78" s="1"/>
    </row>
    <row r="79" spans="1:30" s="11" customFormat="1" ht="12.75" customHeight="1" x14ac:dyDescent="0.25">
      <c r="A79" s="89">
        <v>38687</v>
      </c>
      <c r="B79" s="118">
        <v>2832</v>
      </c>
      <c r="C79" s="118">
        <v>442</v>
      </c>
      <c r="D79" s="119">
        <v>3274</v>
      </c>
      <c r="E79" s="119">
        <v>3521</v>
      </c>
      <c r="F79" s="119">
        <v>6795</v>
      </c>
      <c r="G79" s="119">
        <v>6263</v>
      </c>
      <c r="H79" s="119">
        <v>13058</v>
      </c>
      <c r="I79" s="118">
        <v>522</v>
      </c>
      <c r="J79" s="125"/>
      <c r="K79" s="20"/>
      <c r="L79" s="1"/>
      <c r="M79" s="69"/>
      <c r="N79" s="115"/>
      <c r="O79" s="121"/>
      <c r="P79" s="121"/>
      <c r="Q79" s="1"/>
      <c r="R79" s="4"/>
      <c r="S79" s="1"/>
      <c r="T79" s="121"/>
      <c r="U79" s="121"/>
      <c r="V79" s="1"/>
      <c r="W79" s="1"/>
      <c r="X79" s="1"/>
      <c r="Y79" s="1"/>
      <c r="Z79" s="1"/>
      <c r="AA79" s="1"/>
      <c r="AB79" s="1"/>
      <c r="AC79" s="1"/>
      <c r="AD79" s="1"/>
    </row>
    <row r="80" spans="1:30" s="11" customFormat="1" ht="12.75" customHeight="1" x14ac:dyDescent="0.25">
      <c r="A80" s="89">
        <v>38718</v>
      </c>
      <c r="B80" s="118">
        <v>2251</v>
      </c>
      <c r="C80" s="118">
        <v>13</v>
      </c>
      <c r="D80" s="119">
        <v>2264</v>
      </c>
      <c r="E80" s="119">
        <v>5142</v>
      </c>
      <c r="F80" s="119">
        <v>7406</v>
      </c>
      <c r="G80" s="119">
        <v>5580</v>
      </c>
      <c r="H80" s="119">
        <v>12986</v>
      </c>
      <c r="I80" s="118">
        <v>722</v>
      </c>
      <c r="J80" s="125"/>
      <c r="K80" s="20"/>
      <c r="L80" s="1"/>
      <c r="M80" s="69"/>
      <c r="N80" s="115"/>
      <c r="O80" s="121"/>
      <c r="P80" s="121"/>
      <c r="Q80" s="1"/>
      <c r="R80" s="4"/>
      <c r="S80" s="1"/>
      <c r="T80" s="121"/>
      <c r="U80" s="121"/>
      <c r="V80" s="1"/>
      <c r="W80" s="1"/>
      <c r="X80" s="1"/>
      <c r="Y80" s="1"/>
      <c r="Z80" s="1"/>
      <c r="AA80" s="1"/>
      <c r="AB80" s="1"/>
      <c r="AC80" s="1"/>
      <c r="AD80" s="1"/>
    </row>
    <row r="81" spans="1:30" s="11" customFormat="1" ht="12.75" customHeight="1" x14ac:dyDescent="0.25">
      <c r="A81" s="89">
        <v>38749</v>
      </c>
      <c r="B81" s="118">
        <v>2367</v>
      </c>
      <c r="C81" s="118">
        <v>-74</v>
      </c>
      <c r="D81" s="119">
        <v>2293</v>
      </c>
      <c r="E81" s="119">
        <v>5926</v>
      </c>
      <c r="F81" s="119">
        <v>8219</v>
      </c>
      <c r="G81" s="119">
        <v>5565</v>
      </c>
      <c r="H81" s="119">
        <v>13784</v>
      </c>
      <c r="I81" s="118">
        <v>219</v>
      </c>
      <c r="J81" s="125"/>
      <c r="K81" s="20"/>
      <c r="L81" s="1"/>
      <c r="M81" s="69"/>
      <c r="N81" s="115"/>
      <c r="O81" s="121"/>
      <c r="P81" s="121"/>
      <c r="Q81" s="1"/>
      <c r="R81" s="4"/>
      <c r="S81" s="1"/>
      <c r="T81" s="121"/>
      <c r="U81" s="121"/>
      <c r="V81" s="1"/>
      <c r="W81" s="1"/>
      <c r="X81" s="1"/>
      <c r="Y81" s="1"/>
      <c r="Z81" s="1"/>
      <c r="AA81" s="1"/>
      <c r="AB81" s="1"/>
      <c r="AC81" s="1"/>
      <c r="AD81" s="1"/>
    </row>
    <row r="82" spans="1:30" s="11" customFormat="1" ht="12.75" customHeight="1" x14ac:dyDescent="0.25">
      <c r="A82" s="89">
        <v>38777</v>
      </c>
      <c r="B82" s="118">
        <v>2840</v>
      </c>
      <c r="C82" s="118">
        <v>102</v>
      </c>
      <c r="D82" s="119">
        <v>2942</v>
      </c>
      <c r="E82" s="119">
        <v>5944</v>
      </c>
      <c r="F82" s="119">
        <v>8886</v>
      </c>
      <c r="G82" s="119">
        <v>5711</v>
      </c>
      <c r="H82" s="119">
        <v>14597</v>
      </c>
      <c r="I82" s="118">
        <v>-266</v>
      </c>
      <c r="J82" s="125"/>
      <c r="K82" s="20"/>
      <c r="L82" s="1"/>
      <c r="M82" s="69"/>
      <c r="N82" s="115"/>
      <c r="O82" s="121"/>
      <c r="P82" s="121"/>
      <c r="Q82" s="1"/>
      <c r="R82" s="4"/>
      <c r="S82" s="1"/>
      <c r="T82" s="121"/>
      <c r="U82" s="121"/>
      <c r="V82" s="1"/>
      <c r="W82" s="1"/>
      <c r="X82" s="1"/>
      <c r="Y82" s="1"/>
      <c r="Z82" s="1"/>
      <c r="AA82" s="1"/>
      <c r="AB82" s="1"/>
      <c r="AC82" s="1"/>
      <c r="AD82" s="1"/>
    </row>
    <row r="83" spans="1:30" s="12" customFormat="1" ht="12.75" customHeight="1" x14ac:dyDescent="0.25">
      <c r="A83" s="89">
        <v>38808</v>
      </c>
      <c r="B83" s="118">
        <v>3193</v>
      </c>
      <c r="C83" s="118">
        <v>55</v>
      </c>
      <c r="D83" s="119">
        <v>3248</v>
      </c>
      <c r="E83" s="119">
        <v>6598</v>
      </c>
      <c r="F83" s="119">
        <v>9846</v>
      </c>
      <c r="G83" s="119">
        <v>5854</v>
      </c>
      <c r="H83" s="119">
        <v>15700</v>
      </c>
      <c r="I83" s="118">
        <v>227</v>
      </c>
      <c r="J83" s="125"/>
      <c r="K83" s="107"/>
      <c r="L83" s="13"/>
      <c r="M83" s="69"/>
      <c r="N83" s="115"/>
      <c r="O83" s="121"/>
      <c r="P83" s="121"/>
      <c r="Q83" s="13"/>
      <c r="R83" s="4"/>
      <c r="S83" s="13"/>
      <c r="T83" s="121"/>
      <c r="U83" s="121"/>
      <c r="V83" s="13"/>
      <c r="W83" s="13"/>
      <c r="X83" s="13"/>
      <c r="Y83" s="13"/>
      <c r="Z83" s="13"/>
      <c r="AA83" s="13"/>
      <c r="AB83" s="13"/>
      <c r="AC83" s="13"/>
      <c r="AD83" s="13"/>
    </row>
    <row r="84" spans="1:30" s="11" customFormat="1" ht="12.75" customHeight="1" x14ac:dyDescent="0.25">
      <c r="A84" s="89">
        <v>38838</v>
      </c>
      <c r="B84" s="118">
        <v>4057</v>
      </c>
      <c r="C84" s="118">
        <v>-529</v>
      </c>
      <c r="D84" s="119">
        <v>3528</v>
      </c>
      <c r="E84" s="119">
        <v>7167</v>
      </c>
      <c r="F84" s="119">
        <v>10695</v>
      </c>
      <c r="G84" s="119">
        <v>6182</v>
      </c>
      <c r="H84" s="119">
        <v>16877</v>
      </c>
      <c r="I84" s="118">
        <v>305</v>
      </c>
      <c r="J84" s="125"/>
      <c r="K84" s="20"/>
      <c r="L84" s="1"/>
      <c r="M84" s="69"/>
      <c r="N84" s="115"/>
      <c r="O84" s="121"/>
      <c r="P84" s="121"/>
      <c r="Q84" s="1"/>
      <c r="R84" s="4"/>
      <c r="S84" s="1"/>
      <c r="T84" s="121"/>
      <c r="U84" s="121"/>
      <c r="V84" s="1"/>
      <c r="W84" s="1"/>
      <c r="X84" s="1"/>
      <c r="Y84" s="1"/>
      <c r="Z84" s="1"/>
      <c r="AA84" s="1"/>
      <c r="AB84" s="1"/>
      <c r="AC84" s="1"/>
      <c r="AD84" s="1"/>
    </row>
    <row r="85" spans="1:30" s="11" customFormat="1" ht="12.75" customHeight="1" x14ac:dyDescent="0.25">
      <c r="A85" s="89">
        <v>38869</v>
      </c>
      <c r="B85" s="118">
        <v>3037</v>
      </c>
      <c r="C85" s="118">
        <v>100</v>
      </c>
      <c r="D85" s="119">
        <v>3137</v>
      </c>
      <c r="E85" s="119">
        <v>6740</v>
      </c>
      <c r="F85" s="119">
        <v>9877</v>
      </c>
      <c r="G85" s="119">
        <v>6389</v>
      </c>
      <c r="H85" s="119">
        <v>16266</v>
      </c>
      <c r="I85" s="118">
        <v>-129</v>
      </c>
      <c r="J85" s="125"/>
      <c r="K85" s="20"/>
      <c r="L85" s="1"/>
      <c r="M85" s="69"/>
      <c r="N85" s="115"/>
      <c r="O85" s="121"/>
      <c r="P85" s="121"/>
      <c r="Q85" s="1"/>
      <c r="R85" s="4"/>
      <c r="S85" s="1"/>
      <c r="T85" s="121"/>
      <c r="U85" s="121"/>
      <c r="V85" s="1"/>
      <c r="W85" s="1"/>
      <c r="X85" s="1"/>
      <c r="Y85" s="1"/>
      <c r="Z85" s="1"/>
      <c r="AA85" s="1"/>
      <c r="AB85" s="1"/>
      <c r="AC85" s="1"/>
      <c r="AD85" s="1"/>
    </row>
    <row r="86" spans="1:30" s="11" customFormat="1" ht="12.75" customHeight="1" x14ac:dyDescent="0.25">
      <c r="A86" s="89">
        <v>38899</v>
      </c>
      <c r="B86" s="118">
        <v>4945</v>
      </c>
      <c r="C86" s="118">
        <v>91</v>
      </c>
      <c r="D86" s="119">
        <v>5036</v>
      </c>
      <c r="E86" s="119">
        <v>6483</v>
      </c>
      <c r="F86" s="119">
        <v>11519</v>
      </c>
      <c r="G86" s="119">
        <v>6788</v>
      </c>
      <c r="H86" s="119">
        <v>18307</v>
      </c>
      <c r="I86" s="118">
        <v>151</v>
      </c>
      <c r="J86" s="125"/>
      <c r="K86" s="20"/>
      <c r="L86" s="1"/>
      <c r="M86" s="69"/>
      <c r="N86" s="115"/>
      <c r="O86" s="121"/>
      <c r="P86" s="121"/>
      <c r="Q86" s="1"/>
      <c r="R86" s="4"/>
      <c r="S86" s="1"/>
      <c r="T86" s="121"/>
      <c r="U86" s="121"/>
      <c r="V86" s="1"/>
      <c r="W86" s="1"/>
      <c r="X86" s="1"/>
      <c r="Y86" s="1"/>
      <c r="Z86" s="1"/>
      <c r="AA86" s="1"/>
      <c r="AB86" s="1"/>
      <c r="AC86" s="1"/>
      <c r="AD86" s="1"/>
    </row>
    <row r="87" spans="1:30" s="11" customFormat="1" ht="12.75" customHeight="1" x14ac:dyDescent="0.25">
      <c r="A87" s="89">
        <v>38930</v>
      </c>
      <c r="B87" s="118">
        <v>4865</v>
      </c>
      <c r="C87" s="118">
        <v>-4</v>
      </c>
      <c r="D87" s="119">
        <v>4861</v>
      </c>
      <c r="E87" s="119">
        <v>6609</v>
      </c>
      <c r="F87" s="119">
        <v>11470</v>
      </c>
      <c r="G87" s="119">
        <v>6411</v>
      </c>
      <c r="H87" s="119">
        <v>17881</v>
      </c>
      <c r="I87" s="118">
        <v>562</v>
      </c>
      <c r="J87" s="125"/>
      <c r="K87" s="20"/>
      <c r="L87" s="1"/>
      <c r="M87" s="69"/>
      <c r="N87" s="115"/>
      <c r="O87" s="121"/>
      <c r="P87" s="121"/>
      <c r="Q87" s="1"/>
      <c r="R87" s="4"/>
      <c r="S87" s="1"/>
      <c r="T87" s="121"/>
      <c r="U87" s="121"/>
      <c r="V87" s="1"/>
      <c r="W87" s="1"/>
      <c r="X87" s="1"/>
      <c r="Y87" s="1"/>
      <c r="Z87" s="1"/>
      <c r="AA87" s="1"/>
      <c r="AB87" s="1"/>
      <c r="AC87" s="1"/>
      <c r="AD87" s="1"/>
    </row>
    <row r="88" spans="1:30" s="11" customFormat="1" ht="12.75" customHeight="1" x14ac:dyDescent="0.25">
      <c r="A88" s="89">
        <v>38961</v>
      </c>
      <c r="B88" s="118">
        <v>4637</v>
      </c>
      <c r="C88" s="118">
        <v>85</v>
      </c>
      <c r="D88" s="119">
        <v>4722</v>
      </c>
      <c r="E88" s="119">
        <v>7356</v>
      </c>
      <c r="F88" s="119">
        <v>12078</v>
      </c>
      <c r="G88" s="119">
        <v>6329</v>
      </c>
      <c r="H88" s="119">
        <v>18407</v>
      </c>
      <c r="I88" s="118">
        <v>402</v>
      </c>
      <c r="J88" s="125"/>
      <c r="K88" s="20"/>
      <c r="L88" s="1"/>
      <c r="M88" s="69"/>
      <c r="N88" s="115"/>
      <c r="O88" s="121"/>
      <c r="P88" s="121"/>
      <c r="Q88" s="1"/>
      <c r="R88" s="4"/>
      <c r="S88" s="1"/>
      <c r="T88" s="121"/>
      <c r="U88" s="121"/>
      <c r="V88" s="1"/>
      <c r="W88" s="1"/>
      <c r="X88" s="1"/>
      <c r="Y88" s="1"/>
      <c r="Z88" s="1"/>
      <c r="AA88" s="1"/>
      <c r="AB88" s="1"/>
      <c r="AC88" s="1"/>
      <c r="AD88" s="1"/>
    </row>
    <row r="89" spans="1:30" s="11" customFormat="1" ht="12.75" customHeight="1" x14ac:dyDescent="0.25">
      <c r="A89" s="89">
        <v>38991</v>
      </c>
      <c r="B89" s="118">
        <v>6650</v>
      </c>
      <c r="C89" s="118">
        <v>169</v>
      </c>
      <c r="D89" s="119">
        <v>6819</v>
      </c>
      <c r="E89" s="119">
        <v>7390</v>
      </c>
      <c r="F89" s="119">
        <v>14209</v>
      </c>
      <c r="G89" s="119">
        <v>5171</v>
      </c>
      <c r="H89" s="119">
        <v>19380</v>
      </c>
      <c r="I89" s="118">
        <v>584</v>
      </c>
      <c r="J89" s="125"/>
      <c r="K89" s="20"/>
      <c r="L89" s="1"/>
      <c r="M89" s="69"/>
      <c r="N89" s="115"/>
      <c r="O89" s="121"/>
      <c r="P89" s="121"/>
      <c r="Q89" s="1"/>
      <c r="R89" s="4"/>
      <c r="S89" s="1"/>
      <c r="T89" s="121"/>
      <c r="U89" s="121"/>
      <c r="V89" s="1"/>
      <c r="W89" s="1"/>
      <c r="X89" s="1"/>
      <c r="Y89" s="1"/>
      <c r="Z89" s="1"/>
      <c r="AA89" s="1"/>
      <c r="AB89" s="1"/>
      <c r="AC89" s="1"/>
      <c r="AD89" s="1"/>
    </row>
    <row r="90" spans="1:30" s="11" customFormat="1" ht="12.75" customHeight="1" x14ac:dyDescent="0.25">
      <c r="A90" s="89">
        <v>39022</v>
      </c>
      <c r="B90" s="118">
        <v>6347</v>
      </c>
      <c r="C90" s="118">
        <v>144</v>
      </c>
      <c r="D90" s="119">
        <v>6491</v>
      </c>
      <c r="E90" s="119">
        <v>7653</v>
      </c>
      <c r="F90" s="119">
        <v>14144</v>
      </c>
      <c r="G90" s="119">
        <v>5134</v>
      </c>
      <c r="H90" s="119">
        <v>19278</v>
      </c>
      <c r="I90" s="118">
        <v>652</v>
      </c>
      <c r="J90" s="125"/>
      <c r="K90" s="20"/>
      <c r="L90" s="1"/>
      <c r="M90" s="69"/>
      <c r="N90" s="115"/>
      <c r="O90" s="121"/>
      <c r="P90" s="121"/>
      <c r="Q90" s="1"/>
      <c r="R90" s="4"/>
      <c r="S90" s="1"/>
      <c r="T90" s="121"/>
      <c r="U90" s="121"/>
      <c r="V90" s="1"/>
      <c r="W90" s="1"/>
      <c r="X90" s="1"/>
      <c r="Y90" s="1"/>
      <c r="Z90" s="1"/>
      <c r="AA90" s="1"/>
      <c r="AB90" s="1"/>
      <c r="AC90" s="1"/>
      <c r="AD90" s="1"/>
    </row>
    <row r="91" spans="1:30" s="11" customFormat="1" ht="12.75" customHeight="1" x14ac:dyDescent="0.25">
      <c r="A91" s="89">
        <v>39052</v>
      </c>
      <c r="B91" s="118">
        <v>7441</v>
      </c>
      <c r="C91" s="118">
        <v>111</v>
      </c>
      <c r="D91" s="119">
        <v>7552</v>
      </c>
      <c r="E91" s="119">
        <v>6982</v>
      </c>
      <c r="F91" s="119">
        <v>14534</v>
      </c>
      <c r="G91" s="119">
        <v>5383</v>
      </c>
      <c r="H91" s="119">
        <v>19917</v>
      </c>
      <c r="I91" s="118">
        <v>959</v>
      </c>
      <c r="J91" s="125"/>
      <c r="K91" s="20"/>
      <c r="L91" s="1"/>
      <c r="M91" s="69"/>
      <c r="N91" s="115"/>
      <c r="O91" s="121"/>
      <c r="P91" s="121"/>
      <c r="Q91" s="1"/>
      <c r="R91" s="4"/>
      <c r="S91" s="1"/>
      <c r="T91" s="121"/>
      <c r="U91" s="121"/>
      <c r="V91" s="1"/>
      <c r="W91" s="1"/>
      <c r="X91" s="1"/>
      <c r="Y91" s="1"/>
      <c r="Z91" s="1"/>
      <c r="AA91" s="1"/>
      <c r="AB91" s="1"/>
      <c r="AC91" s="1"/>
      <c r="AD91" s="1"/>
    </row>
    <row r="92" spans="1:30" s="11" customFormat="1" ht="12.75" customHeight="1" x14ac:dyDescent="0.25">
      <c r="A92" s="110">
        <v>39083</v>
      </c>
      <c r="B92" s="118">
        <v>9808</v>
      </c>
      <c r="C92" s="118">
        <v>85</v>
      </c>
      <c r="D92" s="119">
        <v>9893</v>
      </c>
      <c r="E92" s="119">
        <v>4600</v>
      </c>
      <c r="F92" s="119">
        <v>14493</v>
      </c>
      <c r="G92" s="119">
        <v>4601</v>
      </c>
      <c r="H92" s="119">
        <v>19094</v>
      </c>
      <c r="I92" s="118">
        <v>469</v>
      </c>
      <c r="J92" s="125"/>
      <c r="K92" s="20"/>
      <c r="L92" s="1"/>
      <c r="M92" s="69"/>
      <c r="N92" s="115"/>
      <c r="O92" s="121"/>
      <c r="P92" s="121"/>
      <c r="Q92" s="1"/>
      <c r="R92" s="4"/>
      <c r="S92" s="1"/>
      <c r="T92" s="121"/>
      <c r="U92" s="121"/>
      <c r="V92" s="1"/>
      <c r="W92" s="1"/>
      <c r="X92" s="1"/>
      <c r="Y92" s="1"/>
      <c r="Z92" s="1"/>
      <c r="AA92" s="1"/>
      <c r="AB92" s="1"/>
      <c r="AC92" s="1"/>
      <c r="AD92" s="1"/>
    </row>
    <row r="93" spans="1:30" s="11" customFormat="1" ht="12.75" customHeight="1" x14ac:dyDescent="0.25">
      <c r="A93" s="110">
        <v>39114</v>
      </c>
      <c r="B93" s="118">
        <v>10465</v>
      </c>
      <c r="C93" s="118">
        <v>2</v>
      </c>
      <c r="D93" s="119">
        <v>10467</v>
      </c>
      <c r="E93" s="119">
        <v>4271</v>
      </c>
      <c r="F93" s="119">
        <v>14738</v>
      </c>
      <c r="G93" s="119">
        <v>4748</v>
      </c>
      <c r="H93" s="119">
        <v>19486</v>
      </c>
      <c r="I93" s="118">
        <v>751</v>
      </c>
      <c r="J93" s="125"/>
      <c r="K93" s="20"/>
      <c r="L93" s="1"/>
      <c r="M93" s="69"/>
      <c r="N93" s="115"/>
      <c r="O93" s="121"/>
      <c r="P93" s="121"/>
      <c r="Q93" s="1"/>
      <c r="R93" s="4"/>
      <c r="S93" s="1"/>
      <c r="T93" s="121"/>
      <c r="U93" s="121"/>
      <c r="V93" s="1"/>
      <c r="W93" s="1"/>
      <c r="X93" s="1"/>
      <c r="Y93" s="1"/>
      <c r="Z93" s="1"/>
      <c r="AA93" s="1"/>
      <c r="AB93" s="1"/>
      <c r="AC93" s="1"/>
      <c r="AD93" s="1"/>
    </row>
    <row r="94" spans="1:30" s="11" customFormat="1" ht="12.75" customHeight="1" x14ac:dyDescent="0.25">
      <c r="A94" s="110">
        <v>39142</v>
      </c>
      <c r="B94" s="118">
        <v>10740</v>
      </c>
      <c r="C94" s="118">
        <v>142</v>
      </c>
      <c r="D94" s="119">
        <v>10882</v>
      </c>
      <c r="E94" s="119">
        <v>4199</v>
      </c>
      <c r="F94" s="119">
        <v>15081</v>
      </c>
      <c r="G94" s="119">
        <v>5299</v>
      </c>
      <c r="H94" s="119">
        <v>20380</v>
      </c>
      <c r="I94" s="118">
        <v>966</v>
      </c>
      <c r="J94" s="125"/>
      <c r="K94" s="20"/>
      <c r="L94" s="1"/>
      <c r="M94" s="69"/>
      <c r="N94" s="115"/>
      <c r="O94" s="121"/>
      <c r="P94" s="121"/>
      <c r="Q94" s="1"/>
      <c r="R94" s="4"/>
      <c r="S94" s="1"/>
      <c r="T94" s="121"/>
      <c r="U94" s="121"/>
      <c r="V94" s="1"/>
      <c r="W94" s="1"/>
      <c r="X94" s="1"/>
      <c r="Y94" s="1"/>
      <c r="Z94" s="1"/>
      <c r="AA94" s="1"/>
      <c r="AB94" s="1"/>
      <c r="AC94" s="1"/>
      <c r="AD94" s="1"/>
    </row>
    <row r="95" spans="1:30" s="11" customFormat="1" ht="12.75" customHeight="1" x14ac:dyDescent="0.25">
      <c r="A95" s="110">
        <v>39173</v>
      </c>
      <c r="B95" s="118">
        <v>11251</v>
      </c>
      <c r="C95" s="118">
        <v>-34</v>
      </c>
      <c r="D95" s="119">
        <v>11217</v>
      </c>
      <c r="E95" s="119">
        <v>4305</v>
      </c>
      <c r="F95" s="119">
        <v>15522</v>
      </c>
      <c r="G95" s="119">
        <v>6070</v>
      </c>
      <c r="H95" s="119">
        <v>21592</v>
      </c>
      <c r="I95" s="118">
        <v>1109</v>
      </c>
      <c r="J95" s="125"/>
      <c r="K95" s="20"/>
      <c r="L95" s="1"/>
      <c r="M95" s="69"/>
      <c r="N95" s="115"/>
      <c r="O95" s="121"/>
      <c r="P95" s="121"/>
      <c r="Q95" s="1"/>
      <c r="R95" s="4"/>
      <c r="S95" s="1"/>
      <c r="T95" s="121"/>
      <c r="U95" s="121"/>
      <c r="V95" s="1"/>
      <c r="W95" s="1"/>
      <c r="X95" s="1"/>
      <c r="Y95" s="1"/>
      <c r="Z95" s="1"/>
      <c r="AA95" s="1"/>
      <c r="AB95" s="1"/>
      <c r="AC95" s="1"/>
      <c r="AD95" s="1"/>
    </row>
    <row r="96" spans="1:30" s="11" customFormat="1" ht="12.75" customHeight="1" x14ac:dyDescent="0.25">
      <c r="A96" s="110">
        <v>39203</v>
      </c>
      <c r="B96" s="118">
        <v>12103</v>
      </c>
      <c r="C96" s="118">
        <v>-2</v>
      </c>
      <c r="D96" s="118">
        <v>12101</v>
      </c>
      <c r="E96" s="119">
        <v>4033</v>
      </c>
      <c r="F96" s="119">
        <v>16134</v>
      </c>
      <c r="G96" s="119">
        <v>5175</v>
      </c>
      <c r="H96" s="119">
        <v>21309</v>
      </c>
      <c r="I96" s="118">
        <v>779</v>
      </c>
      <c r="J96" s="125"/>
      <c r="K96" s="20"/>
      <c r="L96" s="1"/>
      <c r="M96" s="69"/>
      <c r="N96" s="115"/>
      <c r="O96" s="121"/>
      <c r="P96" s="121"/>
      <c r="Q96" s="1"/>
      <c r="R96" s="4"/>
      <c r="S96" s="1"/>
      <c r="T96" s="121"/>
      <c r="U96" s="121"/>
      <c r="V96" s="1"/>
      <c r="W96" s="1"/>
      <c r="X96" s="1"/>
      <c r="Y96" s="1"/>
      <c r="Z96" s="1"/>
      <c r="AA96" s="1"/>
      <c r="AB96" s="1"/>
      <c r="AC96" s="1"/>
      <c r="AD96" s="1"/>
    </row>
    <row r="97" spans="1:30" s="11" customFormat="1" ht="12.75" customHeight="1" x14ac:dyDescent="0.25">
      <c r="A97" s="110">
        <v>39234</v>
      </c>
      <c r="B97" s="118">
        <v>11682</v>
      </c>
      <c r="C97" s="118">
        <v>341</v>
      </c>
      <c r="D97" s="118">
        <v>12023</v>
      </c>
      <c r="E97" s="119">
        <v>3479</v>
      </c>
      <c r="F97" s="119">
        <v>15502</v>
      </c>
      <c r="G97" s="119">
        <v>5446</v>
      </c>
      <c r="H97" s="118">
        <v>20948</v>
      </c>
      <c r="I97" s="118">
        <v>1151</v>
      </c>
      <c r="J97" s="125"/>
      <c r="K97" s="20"/>
      <c r="L97" s="1"/>
      <c r="M97" s="69"/>
      <c r="N97" s="115"/>
      <c r="O97" s="121"/>
      <c r="P97" s="121"/>
      <c r="Q97" s="1"/>
      <c r="R97" s="4"/>
      <c r="S97" s="1"/>
      <c r="T97" s="121"/>
      <c r="U97" s="121"/>
      <c r="V97" s="1"/>
      <c r="W97" s="1"/>
      <c r="X97" s="1"/>
      <c r="Y97" s="1"/>
      <c r="Z97" s="1"/>
      <c r="AA97" s="1"/>
      <c r="AB97" s="1"/>
      <c r="AC97" s="1"/>
      <c r="AD97" s="1"/>
    </row>
    <row r="98" spans="1:30" s="11" customFormat="1" ht="12.75" customHeight="1" x14ac:dyDescent="0.25">
      <c r="A98" s="110">
        <v>39264</v>
      </c>
      <c r="B98" s="118">
        <v>14322</v>
      </c>
      <c r="C98" s="118">
        <v>411</v>
      </c>
      <c r="D98" s="118">
        <v>14733</v>
      </c>
      <c r="E98" s="119">
        <v>1902</v>
      </c>
      <c r="F98" s="119">
        <v>16635</v>
      </c>
      <c r="G98" s="119">
        <v>5634</v>
      </c>
      <c r="H98" s="118">
        <v>22269</v>
      </c>
      <c r="I98" s="118">
        <v>1011</v>
      </c>
      <c r="J98" s="125"/>
      <c r="K98" s="20"/>
      <c r="L98" s="1"/>
      <c r="M98" s="69"/>
      <c r="N98" s="115"/>
      <c r="O98" s="121"/>
      <c r="P98" s="121"/>
      <c r="Q98" s="1"/>
      <c r="R98" s="4"/>
      <c r="S98" s="1"/>
      <c r="T98" s="121"/>
      <c r="U98" s="121"/>
      <c r="V98" s="1"/>
      <c r="W98" s="1"/>
      <c r="X98" s="1"/>
      <c r="Y98" s="1"/>
      <c r="Z98" s="1"/>
      <c r="AA98" s="1"/>
      <c r="AB98" s="1"/>
      <c r="AC98" s="1"/>
      <c r="AD98" s="1"/>
    </row>
    <row r="99" spans="1:30" s="11" customFormat="1" ht="12.75" customHeight="1" x14ac:dyDescent="0.25">
      <c r="A99" s="110">
        <v>39295</v>
      </c>
      <c r="B99" s="118">
        <v>15447</v>
      </c>
      <c r="C99" s="118">
        <v>617</v>
      </c>
      <c r="D99" s="118">
        <v>16064</v>
      </c>
      <c r="E99" s="119">
        <v>1731</v>
      </c>
      <c r="F99" s="119">
        <v>17795</v>
      </c>
      <c r="G99" s="119">
        <v>6123</v>
      </c>
      <c r="H99" s="118">
        <v>23918</v>
      </c>
      <c r="I99" s="118">
        <v>-254</v>
      </c>
      <c r="J99" s="125"/>
      <c r="K99" s="20"/>
      <c r="L99" s="1"/>
      <c r="M99" s="69"/>
      <c r="N99" s="115"/>
      <c r="O99" s="121"/>
      <c r="P99" s="121"/>
      <c r="Q99" s="1"/>
      <c r="R99" s="4"/>
      <c r="S99" s="1"/>
      <c r="T99" s="121"/>
      <c r="U99" s="121"/>
      <c r="V99" s="1"/>
      <c r="W99" s="1"/>
      <c r="X99" s="1"/>
      <c r="Y99" s="1"/>
      <c r="Z99" s="1"/>
      <c r="AA99" s="1"/>
      <c r="AB99" s="1"/>
      <c r="AC99" s="1"/>
      <c r="AD99" s="1"/>
    </row>
    <row r="100" spans="1:30" s="11" customFormat="1" ht="12.75" customHeight="1" x14ac:dyDescent="0.25">
      <c r="A100" s="110">
        <v>39326</v>
      </c>
      <c r="B100" s="118">
        <v>14114</v>
      </c>
      <c r="C100" s="118">
        <v>272</v>
      </c>
      <c r="D100" s="118">
        <v>14386</v>
      </c>
      <c r="E100" s="118">
        <v>2055</v>
      </c>
      <c r="F100" s="119">
        <v>16441</v>
      </c>
      <c r="G100" s="118">
        <v>5884</v>
      </c>
      <c r="H100" s="118">
        <v>22325</v>
      </c>
      <c r="I100" s="118">
        <v>1020</v>
      </c>
      <c r="J100" s="125"/>
      <c r="K100" s="20"/>
      <c r="L100" s="1"/>
      <c r="M100" s="69"/>
      <c r="N100" s="115"/>
      <c r="O100" s="121"/>
      <c r="P100" s="121"/>
      <c r="Q100" s="1"/>
      <c r="R100" s="4"/>
      <c r="S100" s="1"/>
      <c r="T100" s="121"/>
      <c r="U100" s="121"/>
      <c r="V100" s="1"/>
      <c r="W100" s="1"/>
      <c r="X100" s="1"/>
      <c r="Y100" s="1"/>
      <c r="Z100" s="1"/>
      <c r="AA100" s="1"/>
      <c r="AB100" s="1"/>
      <c r="AC100" s="1"/>
      <c r="AD100" s="1"/>
    </row>
    <row r="101" spans="1:30" s="11" customFormat="1" ht="12.75" customHeight="1" x14ac:dyDescent="0.25">
      <c r="A101" s="110">
        <v>39356</v>
      </c>
      <c r="B101" s="118">
        <v>14030</v>
      </c>
      <c r="C101" s="118">
        <v>-29</v>
      </c>
      <c r="D101" s="118">
        <v>14001</v>
      </c>
      <c r="E101" s="118">
        <v>2215</v>
      </c>
      <c r="F101" s="118">
        <v>16216</v>
      </c>
      <c r="G101" s="118">
        <v>6074</v>
      </c>
      <c r="H101" s="118">
        <v>22290</v>
      </c>
      <c r="I101" s="118">
        <v>1147</v>
      </c>
      <c r="J101" s="125"/>
      <c r="K101" s="20"/>
      <c r="L101" s="1"/>
      <c r="M101" s="69"/>
      <c r="N101" s="115"/>
      <c r="O101" s="121"/>
      <c r="P101" s="121"/>
      <c r="Q101" s="1"/>
      <c r="R101" s="4"/>
      <c r="S101" s="1"/>
      <c r="T101" s="121"/>
      <c r="U101" s="121"/>
      <c r="V101" s="1"/>
      <c r="W101" s="1"/>
      <c r="X101" s="1"/>
      <c r="Y101" s="1"/>
      <c r="Z101" s="1"/>
      <c r="AA101" s="1"/>
      <c r="AB101" s="1"/>
      <c r="AC101" s="1"/>
      <c r="AD101" s="1"/>
    </row>
    <row r="102" spans="1:30" s="11" customFormat="1" ht="12.75" customHeight="1" x14ac:dyDescent="0.25">
      <c r="A102" s="110">
        <v>39387</v>
      </c>
      <c r="B102" s="118">
        <v>13511</v>
      </c>
      <c r="C102" s="118">
        <v>309</v>
      </c>
      <c r="D102" s="118">
        <v>13820</v>
      </c>
      <c r="E102" s="118">
        <v>2045</v>
      </c>
      <c r="F102" s="118">
        <v>15865</v>
      </c>
      <c r="G102" s="118">
        <v>6124</v>
      </c>
      <c r="H102" s="118">
        <v>21989</v>
      </c>
      <c r="I102" s="118">
        <v>1169</v>
      </c>
      <c r="J102" s="125"/>
      <c r="K102" s="20"/>
      <c r="L102" s="1"/>
      <c r="M102" s="69"/>
      <c r="N102" s="115"/>
      <c r="O102" s="121"/>
      <c r="P102" s="121"/>
      <c r="Q102" s="1"/>
      <c r="R102" s="4"/>
      <c r="S102" s="1"/>
      <c r="T102" s="121"/>
      <c r="U102" s="121"/>
      <c r="V102" s="1"/>
      <c r="W102" s="1"/>
      <c r="X102" s="1"/>
      <c r="Y102" s="1"/>
      <c r="Z102" s="1"/>
      <c r="AA102" s="1"/>
      <c r="AB102" s="1"/>
      <c r="AC102" s="1"/>
      <c r="AD102" s="1"/>
    </row>
    <row r="103" spans="1:30" s="11" customFormat="1" ht="12.75" customHeight="1" x14ac:dyDescent="0.25">
      <c r="A103" s="110">
        <v>39417</v>
      </c>
      <c r="B103" s="118">
        <v>14526</v>
      </c>
      <c r="C103" s="118">
        <v>83</v>
      </c>
      <c r="D103" s="118">
        <v>14609</v>
      </c>
      <c r="E103" s="118">
        <v>1996</v>
      </c>
      <c r="F103" s="118">
        <v>16605</v>
      </c>
      <c r="G103" s="118">
        <v>5664</v>
      </c>
      <c r="H103" s="118">
        <v>22269</v>
      </c>
      <c r="I103" s="118">
        <v>932</v>
      </c>
      <c r="J103" s="125"/>
      <c r="K103" s="20"/>
      <c r="L103" s="1"/>
      <c r="M103" s="69"/>
      <c r="N103" s="115"/>
      <c r="O103" s="121"/>
      <c r="P103" s="121"/>
      <c r="Q103" s="1"/>
      <c r="R103" s="4"/>
      <c r="S103" s="1"/>
      <c r="T103" s="121"/>
      <c r="U103" s="121"/>
      <c r="V103" s="1"/>
      <c r="W103" s="1"/>
      <c r="X103" s="1"/>
      <c r="Y103" s="1"/>
      <c r="Z103" s="1"/>
      <c r="AA103" s="1"/>
      <c r="AB103" s="1"/>
      <c r="AC103" s="1"/>
      <c r="AD103" s="1"/>
    </row>
    <row r="104" spans="1:30" s="11" customFormat="1" ht="12.75" customHeight="1" x14ac:dyDescent="0.25">
      <c r="A104" s="110">
        <v>39448</v>
      </c>
      <c r="B104" s="118">
        <v>14455</v>
      </c>
      <c r="C104" s="118">
        <v>206</v>
      </c>
      <c r="D104" s="118">
        <v>14661</v>
      </c>
      <c r="E104" s="118">
        <v>1990</v>
      </c>
      <c r="F104" s="118">
        <v>16651</v>
      </c>
      <c r="G104" s="118">
        <v>6015</v>
      </c>
      <c r="H104" s="118">
        <v>22666</v>
      </c>
      <c r="I104" s="118">
        <v>993</v>
      </c>
      <c r="J104" s="125"/>
      <c r="K104" s="20"/>
      <c r="L104" s="1"/>
      <c r="M104" s="69"/>
      <c r="N104" s="115"/>
      <c r="O104" s="121"/>
      <c r="P104" s="121"/>
      <c r="Q104" s="1"/>
      <c r="R104" s="4"/>
      <c r="S104" s="1"/>
      <c r="T104" s="121"/>
      <c r="U104" s="121"/>
      <c r="V104" s="1"/>
      <c r="W104" s="1"/>
      <c r="X104" s="1"/>
      <c r="Y104" s="1"/>
      <c r="Z104" s="1"/>
      <c r="AA104" s="1"/>
      <c r="AB104" s="1"/>
      <c r="AC104" s="1"/>
      <c r="AD104" s="1"/>
    </row>
    <row r="105" spans="1:30" s="11" customFormat="1" ht="12.75" customHeight="1" x14ac:dyDescent="0.25">
      <c r="A105" s="110">
        <v>39479</v>
      </c>
      <c r="B105" s="118">
        <v>14091</v>
      </c>
      <c r="C105" s="118">
        <v>677</v>
      </c>
      <c r="D105" s="118">
        <v>14768</v>
      </c>
      <c r="E105" s="118">
        <v>1832</v>
      </c>
      <c r="F105" s="118">
        <v>16600</v>
      </c>
      <c r="G105" s="118">
        <v>5480</v>
      </c>
      <c r="H105" s="118">
        <v>22080</v>
      </c>
      <c r="I105" s="118">
        <v>1350</v>
      </c>
      <c r="J105" s="125"/>
      <c r="K105" s="20"/>
      <c r="L105" s="1"/>
      <c r="M105" s="69"/>
      <c r="N105" s="115"/>
      <c r="O105" s="121"/>
      <c r="P105" s="121"/>
      <c r="Q105" s="1"/>
      <c r="R105" s="4"/>
      <c r="S105" s="1"/>
      <c r="T105" s="121"/>
      <c r="U105" s="121"/>
      <c r="V105" s="1"/>
      <c r="W105" s="1"/>
      <c r="X105" s="1"/>
      <c r="Y105" s="1"/>
      <c r="Z105" s="1"/>
      <c r="AA105" s="1"/>
      <c r="AB105" s="1"/>
      <c r="AC105" s="1"/>
      <c r="AD105" s="1"/>
    </row>
    <row r="106" spans="1:30" s="11" customFormat="1" ht="12.75" customHeight="1" x14ac:dyDescent="0.25">
      <c r="A106" s="110">
        <v>39508</v>
      </c>
      <c r="B106" s="118">
        <v>17111</v>
      </c>
      <c r="C106" s="118">
        <v>309</v>
      </c>
      <c r="D106" s="118">
        <v>17420</v>
      </c>
      <c r="E106" s="118">
        <v>1777</v>
      </c>
      <c r="F106" s="118">
        <v>19197</v>
      </c>
      <c r="G106" s="118">
        <v>5342</v>
      </c>
      <c r="H106" s="118">
        <v>24539</v>
      </c>
      <c r="I106" s="118">
        <v>804</v>
      </c>
      <c r="J106" s="125"/>
      <c r="K106" s="20"/>
      <c r="L106" s="1"/>
      <c r="M106" s="69"/>
      <c r="N106" s="115"/>
      <c r="O106" s="121"/>
      <c r="P106" s="121"/>
      <c r="Q106" s="1"/>
      <c r="R106" s="4"/>
      <c r="S106" s="1"/>
      <c r="T106" s="121"/>
      <c r="U106" s="121"/>
      <c r="V106" s="1"/>
      <c r="W106" s="1"/>
      <c r="X106" s="1"/>
      <c r="Y106" s="1"/>
      <c r="Z106" s="1"/>
      <c r="AA106" s="1"/>
      <c r="AB106" s="1"/>
      <c r="AC106" s="1"/>
      <c r="AD106" s="1"/>
    </row>
    <row r="107" spans="1:30" s="11" customFormat="1" ht="12.75" customHeight="1" x14ac:dyDescent="0.25">
      <c r="A107" s="110">
        <v>39539</v>
      </c>
      <c r="B107" s="118">
        <v>16803</v>
      </c>
      <c r="C107" s="118">
        <v>629</v>
      </c>
      <c r="D107" s="118">
        <v>17432</v>
      </c>
      <c r="E107" s="118">
        <v>1716</v>
      </c>
      <c r="F107" s="118">
        <v>19148</v>
      </c>
      <c r="G107" s="118">
        <v>5596</v>
      </c>
      <c r="H107" s="118">
        <v>24744</v>
      </c>
      <c r="I107" s="118">
        <v>502</v>
      </c>
      <c r="J107" s="125"/>
      <c r="K107" s="20"/>
      <c r="L107" s="1"/>
      <c r="M107" s="69"/>
      <c r="N107" s="115"/>
      <c r="O107" s="121"/>
      <c r="P107" s="121"/>
      <c r="Q107" s="1"/>
      <c r="R107" s="4"/>
      <c r="S107" s="1"/>
      <c r="T107" s="121"/>
      <c r="U107" s="121"/>
      <c r="V107" s="1"/>
      <c r="W107" s="1"/>
      <c r="X107" s="1"/>
      <c r="Y107" s="1"/>
      <c r="Z107" s="1"/>
      <c r="AA107" s="1"/>
      <c r="AB107" s="1"/>
      <c r="AC107" s="1"/>
      <c r="AD107" s="1"/>
    </row>
    <row r="108" spans="1:30" s="11" customFormat="1" ht="12.75" customHeight="1" x14ac:dyDescent="0.25">
      <c r="A108" s="110">
        <v>39569</v>
      </c>
      <c r="B108" s="118">
        <v>17487</v>
      </c>
      <c r="C108" s="118">
        <v>1060</v>
      </c>
      <c r="D108" s="118">
        <v>18547</v>
      </c>
      <c r="E108" s="118">
        <v>1797</v>
      </c>
      <c r="F108" s="118">
        <v>20344</v>
      </c>
      <c r="G108" s="118">
        <v>5678</v>
      </c>
      <c r="H108" s="118">
        <v>26022</v>
      </c>
      <c r="I108" s="118">
        <v>750</v>
      </c>
      <c r="J108" s="125"/>
      <c r="K108" s="20"/>
      <c r="L108" s="1"/>
      <c r="M108" s="69"/>
      <c r="N108" s="115"/>
      <c r="O108" s="121"/>
      <c r="P108" s="121"/>
      <c r="Q108" s="1"/>
      <c r="R108" s="4"/>
      <c r="S108" s="1"/>
      <c r="T108" s="121"/>
      <c r="U108" s="121"/>
      <c r="V108" s="1"/>
      <c r="W108" s="1"/>
      <c r="X108" s="1"/>
      <c r="Y108" s="1"/>
      <c r="Z108" s="1"/>
      <c r="AA108" s="1"/>
      <c r="AB108" s="1"/>
      <c r="AC108" s="1"/>
      <c r="AD108" s="1"/>
    </row>
    <row r="109" spans="1:30" s="11" customFormat="1" ht="12.75" customHeight="1" x14ac:dyDescent="0.25">
      <c r="A109" s="110">
        <v>39600</v>
      </c>
      <c r="B109" s="118">
        <v>17694</v>
      </c>
      <c r="C109" s="118">
        <v>558</v>
      </c>
      <c r="D109" s="118">
        <v>18252</v>
      </c>
      <c r="E109" s="118">
        <v>1684</v>
      </c>
      <c r="F109" s="118">
        <v>19936</v>
      </c>
      <c r="G109" s="118">
        <v>5688</v>
      </c>
      <c r="H109" s="118">
        <v>25624</v>
      </c>
      <c r="I109" s="118">
        <v>122</v>
      </c>
      <c r="J109" s="125"/>
      <c r="K109" s="20"/>
      <c r="L109" s="1"/>
      <c r="M109" s="69"/>
      <c r="N109" s="115"/>
      <c r="O109" s="121"/>
      <c r="P109" s="121"/>
      <c r="Q109" s="1"/>
      <c r="R109" s="4"/>
      <c r="S109" s="1"/>
      <c r="T109" s="121"/>
      <c r="U109" s="121"/>
      <c r="V109" s="1"/>
      <c r="W109" s="1"/>
      <c r="X109" s="1"/>
      <c r="Y109" s="1"/>
      <c r="Z109" s="1"/>
      <c r="AA109" s="1"/>
      <c r="AB109" s="1"/>
      <c r="AC109" s="1"/>
      <c r="AD109" s="1"/>
    </row>
    <row r="110" spans="1:30" s="11" customFormat="1" ht="12.75" customHeight="1" x14ac:dyDescent="0.25">
      <c r="A110" s="110">
        <v>39630</v>
      </c>
      <c r="B110" s="118">
        <v>13707</v>
      </c>
      <c r="C110" s="118">
        <v>499</v>
      </c>
      <c r="D110" s="118">
        <v>14206</v>
      </c>
      <c r="E110" s="118">
        <v>1876</v>
      </c>
      <c r="F110" s="118">
        <v>16082</v>
      </c>
      <c r="G110" s="118">
        <v>4498</v>
      </c>
      <c r="H110" s="118">
        <v>20580</v>
      </c>
      <c r="I110" s="118">
        <v>24</v>
      </c>
      <c r="J110" s="125"/>
      <c r="K110" s="20"/>
      <c r="L110" s="1"/>
      <c r="M110" s="69"/>
      <c r="N110" s="115"/>
      <c r="O110" s="121"/>
      <c r="P110" s="121"/>
      <c r="Q110" s="1"/>
      <c r="R110" s="4"/>
      <c r="S110" s="1"/>
      <c r="T110" s="121"/>
      <c r="U110" s="121"/>
      <c r="V110" s="1"/>
      <c r="W110" s="1"/>
      <c r="X110" s="1"/>
      <c r="Y110" s="1"/>
      <c r="Z110" s="1"/>
      <c r="AA110" s="1"/>
      <c r="AB110" s="1"/>
      <c r="AC110" s="1"/>
      <c r="AD110" s="1"/>
    </row>
    <row r="111" spans="1:30" s="11" customFormat="1" ht="12.75" customHeight="1" x14ac:dyDescent="0.25">
      <c r="A111" s="110">
        <v>39661</v>
      </c>
      <c r="B111" s="118">
        <v>12574</v>
      </c>
      <c r="C111" s="118">
        <v>367</v>
      </c>
      <c r="D111" s="118">
        <v>12941</v>
      </c>
      <c r="E111" s="118">
        <v>2601</v>
      </c>
      <c r="F111" s="118">
        <v>15542</v>
      </c>
      <c r="G111" s="118">
        <v>4566</v>
      </c>
      <c r="H111" s="118">
        <v>20108</v>
      </c>
      <c r="I111" s="118">
        <v>-64</v>
      </c>
      <c r="J111" s="125"/>
      <c r="K111" s="20"/>
      <c r="L111" s="1"/>
      <c r="M111" s="69"/>
      <c r="N111" s="115"/>
      <c r="O111" s="121"/>
      <c r="P111" s="121"/>
      <c r="Q111" s="1"/>
      <c r="R111" s="4"/>
      <c r="S111" s="1"/>
      <c r="T111" s="121"/>
      <c r="U111" s="121"/>
      <c r="V111" s="1"/>
      <c r="W111" s="1"/>
      <c r="X111" s="1"/>
      <c r="Y111" s="1"/>
      <c r="Z111" s="1"/>
      <c r="AA111" s="1"/>
      <c r="AB111" s="1"/>
      <c r="AC111" s="1"/>
      <c r="AD111" s="1"/>
    </row>
    <row r="112" spans="1:30" s="14" customFormat="1" ht="12.75" customHeight="1" x14ac:dyDescent="0.25">
      <c r="A112" s="110">
        <v>39692</v>
      </c>
      <c r="B112" s="118">
        <v>12386</v>
      </c>
      <c r="C112" s="118">
        <v>384</v>
      </c>
      <c r="D112" s="118">
        <v>12770</v>
      </c>
      <c r="E112" s="118">
        <v>3772</v>
      </c>
      <c r="F112" s="118">
        <v>16542</v>
      </c>
      <c r="G112" s="118">
        <v>4875</v>
      </c>
      <c r="H112" s="118">
        <v>21417</v>
      </c>
      <c r="I112" s="118">
        <v>-375</v>
      </c>
      <c r="J112" s="125"/>
      <c r="K112" s="20"/>
      <c r="L112" s="1"/>
      <c r="M112" s="69"/>
      <c r="N112" s="115"/>
      <c r="O112" s="121"/>
      <c r="P112" s="121"/>
      <c r="Q112" s="1"/>
      <c r="R112" s="4"/>
      <c r="S112" s="1"/>
      <c r="T112" s="121"/>
      <c r="U112" s="121"/>
      <c r="V112" s="1"/>
      <c r="W112" s="1"/>
      <c r="X112" s="1"/>
      <c r="Y112" s="1"/>
      <c r="Z112" s="1"/>
      <c r="AA112" s="1"/>
      <c r="AB112" s="1"/>
      <c r="AC112" s="1"/>
      <c r="AD112" s="1"/>
    </row>
    <row r="113" spans="1:30" s="14" customFormat="1" ht="12.75" customHeight="1" x14ac:dyDescent="0.25">
      <c r="A113" s="110">
        <v>39722</v>
      </c>
      <c r="B113" s="118">
        <v>12212</v>
      </c>
      <c r="C113" s="118">
        <v>844</v>
      </c>
      <c r="D113" s="118">
        <v>13056</v>
      </c>
      <c r="E113" s="118">
        <v>2376</v>
      </c>
      <c r="F113" s="118">
        <v>15432</v>
      </c>
      <c r="G113" s="118">
        <v>6495</v>
      </c>
      <c r="H113" s="118">
        <v>21927</v>
      </c>
      <c r="I113" s="118">
        <v>-992</v>
      </c>
      <c r="J113" s="125"/>
      <c r="K113" s="20"/>
      <c r="L113" s="1"/>
      <c r="M113" s="69"/>
      <c r="N113" s="115"/>
      <c r="O113" s="121"/>
      <c r="P113" s="121"/>
      <c r="Q113" s="1"/>
      <c r="R113" s="4"/>
      <c r="S113" s="1"/>
      <c r="T113" s="121"/>
      <c r="U113" s="121"/>
      <c r="V113" s="1"/>
      <c r="W113" s="1"/>
      <c r="X113" s="1"/>
      <c r="Y113" s="1"/>
      <c r="Z113" s="1"/>
      <c r="AA113" s="1"/>
      <c r="AB113" s="1"/>
      <c r="AC113" s="1"/>
      <c r="AD113" s="1"/>
    </row>
    <row r="114" spans="1:30" s="14" customFormat="1" ht="12.75" customHeight="1" x14ac:dyDescent="0.25">
      <c r="A114" s="110">
        <v>39753</v>
      </c>
      <c r="B114" s="118">
        <v>12264</v>
      </c>
      <c r="C114" s="118">
        <v>1745</v>
      </c>
      <c r="D114" s="118">
        <v>14009</v>
      </c>
      <c r="E114" s="118">
        <v>1250</v>
      </c>
      <c r="F114" s="118">
        <v>15259</v>
      </c>
      <c r="G114" s="118">
        <v>6339</v>
      </c>
      <c r="H114" s="118">
        <v>21598</v>
      </c>
      <c r="I114" s="118">
        <v>-874</v>
      </c>
      <c r="J114" s="125"/>
      <c r="K114" s="20"/>
      <c r="L114" s="1"/>
      <c r="M114" s="69"/>
      <c r="N114" s="115"/>
      <c r="O114" s="121"/>
      <c r="P114" s="121"/>
      <c r="Q114" s="1"/>
      <c r="R114" s="4"/>
      <c r="S114" s="1"/>
      <c r="T114" s="121"/>
      <c r="U114" s="121"/>
      <c r="V114" s="1"/>
      <c r="W114" s="1"/>
      <c r="X114" s="1"/>
      <c r="Y114" s="1"/>
      <c r="Z114" s="1"/>
      <c r="AA114" s="1"/>
      <c r="AB114" s="1"/>
      <c r="AC114" s="1"/>
      <c r="AD114" s="1"/>
    </row>
    <row r="115" spans="1:30" s="108" customFormat="1" ht="12.75" customHeight="1" x14ac:dyDescent="0.25">
      <c r="A115" s="110">
        <v>39783</v>
      </c>
      <c r="B115" s="117">
        <v>12155</v>
      </c>
      <c r="C115" s="117">
        <v>844</v>
      </c>
      <c r="D115" s="117">
        <v>12999</v>
      </c>
      <c r="E115" s="117">
        <v>1798</v>
      </c>
      <c r="F115" s="117">
        <v>14797</v>
      </c>
      <c r="G115" s="117">
        <v>4308</v>
      </c>
      <c r="H115" s="117">
        <v>19105</v>
      </c>
      <c r="I115" s="117">
        <v>-273</v>
      </c>
      <c r="J115" s="125"/>
      <c r="K115" s="107"/>
      <c r="L115" s="13"/>
      <c r="M115" s="69"/>
      <c r="N115" s="115"/>
      <c r="O115" s="121"/>
      <c r="P115" s="121"/>
      <c r="Q115" s="13"/>
      <c r="R115" s="4"/>
      <c r="S115" s="13"/>
      <c r="T115" s="121"/>
      <c r="U115" s="121"/>
      <c r="V115" s="13"/>
      <c r="W115" s="13"/>
      <c r="X115" s="13"/>
      <c r="Y115" s="13"/>
      <c r="Z115" s="13"/>
      <c r="AA115" s="13"/>
      <c r="AB115" s="13"/>
      <c r="AC115" s="13"/>
      <c r="AD115" s="13"/>
    </row>
    <row r="116" spans="1:30" s="108" customFormat="1" ht="12.75" customHeight="1" x14ac:dyDescent="0.25">
      <c r="A116" s="110">
        <v>39814</v>
      </c>
      <c r="B116" s="117">
        <v>17851</v>
      </c>
      <c r="C116" s="117">
        <v>1165</v>
      </c>
      <c r="D116" s="117">
        <v>19016</v>
      </c>
      <c r="E116" s="117">
        <v>1672</v>
      </c>
      <c r="F116" s="117">
        <v>20688</v>
      </c>
      <c r="G116" s="117">
        <v>3453</v>
      </c>
      <c r="H116" s="117">
        <v>24141</v>
      </c>
      <c r="I116" s="117">
        <v>-776</v>
      </c>
      <c r="J116" s="125"/>
      <c r="K116" s="107"/>
      <c r="L116" s="13"/>
      <c r="M116" s="69"/>
      <c r="N116" s="115"/>
      <c r="O116" s="121"/>
      <c r="P116" s="121"/>
      <c r="Q116" s="13"/>
      <c r="R116" s="4"/>
      <c r="S116" s="13"/>
      <c r="T116" s="121"/>
      <c r="U116" s="121"/>
      <c r="V116" s="13"/>
      <c r="W116" s="13"/>
      <c r="X116" s="13"/>
      <c r="Y116" s="13"/>
      <c r="Z116" s="13"/>
      <c r="AA116" s="13"/>
      <c r="AB116" s="13"/>
      <c r="AC116" s="13"/>
      <c r="AD116" s="13"/>
    </row>
    <row r="117" spans="1:30" s="108" customFormat="1" ht="12.75" customHeight="1" x14ac:dyDescent="0.25">
      <c r="A117" s="110">
        <v>39845</v>
      </c>
      <c r="B117" s="117">
        <v>18759</v>
      </c>
      <c r="C117" s="117">
        <v>946</v>
      </c>
      <c r="D117" s="117">
        <v>19705</v>
      </c>
      <c r="E117" s="117">
        <v>1261</v>
      </c>
      <c r="F117" s="117">
        <v>20966</v>
      </c>
      <c r="G117" s="117">
        <v>3235</v>
      </c>
      <c r="H117" s="117">
        <v>24201</v>
      </c>
      <c r="I117" s="117">
        <v>-947</v>
      </c>
      <c r="J117" s="125"/>
      <c r="K117" s="107"/>
      <c r="L117" s="13"/>
      <c r="M117" s="69"/>
      <c r="N117" s="115"/>
      <c r="O117" s="121"/>
      <c r="P117" s="121"/>
      <c r="Q117" s="13"/>
      <c r="R117" s="4"/>
      <c r="S117" s="13"/>
      <c r="T117" s="121"/>
      <c r="U117" s="121"/>
      <c r="V117" s="13"/>
      <c r="W117" s="13"/>
      <c r="X117" s="13"/>
      <c r="Y117" s="13"/>
      <c r="Z117" s="13"/>
      <c r="AA117" s="13"/>
      <c r="AB117" s="13"/>
      <c r="AC117" s="13"/>
      <c r="AD117" s="13"/>
    </row>
    <row r="118" spans="1:30" s="108" customFormat="1" ht="12.75" customHeight="1" x14ac:dyDescent="0.25">
      <c r="A118" s="110">
        <v>39873</v>
      </c>
      <c r="B118" s="117">
        <v>14706</v>
      </c>
      <c r="C118" s="117">
        <v>1222</v>
      </c>
      <c r="D118" s="117">
        <v>15928</v>
      </c>
      <c r="E118" s="117">
        <v>1162</v>
      </c>
      <c r="F118" s="117">
        <v>17090</v>
      </c>
      <c r="G118" s="117">
        <v>3374</v>
      </c>
      <c r="H118" s="117">
        <v>20464</v>
      </c>
      <c r="I118" s="117">
        <v>264</v>
      </c>
      <c r="J118" s="125"/>
      <c r="K118" s="107"/>
      <c r="L118" s="13"/>
      <c r="M118" s="69"/>
      <c r="N118" s="115"/>
      <c r="O118" s="121"/>
      <c r="P118" s="121"/>
      <c r="Q118" s="13"/>
      <c r="R118" s="4"/>
      <c r="S118" s="13"/>
      <c r="T118" s="121"/>
      <c r="U118" s="121"/>
      <c r="V118" s="13"/>
      <c r="W118" s="13"/>
      <c r="X118" s="13"/>
      <c r="Y118" s="13"/>
      <c r="Z118" s="13"/>
      <c r="AA118" s="13"/>
      <c r="AB118" s="13"/>
      <c r="AC118" s="13"/>
      <c r="AD118" s="13"/>
    </row>
    <row r="119" spans="1:30" s="108" customFormat="1" ht="12.75" customHeight="1" x14ac:dyDescent="0.25">
      <c r="A119" s="110">
        <v>39904</v>
      </c>
      <c r="B119" s="117">
        <v>14332</v>
      </c>
      <c r="C119" s="117">
        <v>994</v>
      </c>
      <c r="D119" s="117">
        <v>15326</v>
      </c>
      <c r="E119" s="117">
        <v>698</v>
      </c>
      <c r="F119" s="117">
        <v>16024</v>
      </c>
      <c r="G119" s="117">
        <v>3196</v>
      </c>
      <c r="H119" s="117">
        <v>19220</v>
      </c>
      <c r="I119" s="117">
        <v>162</v>
      </c>
      <c r="J119" s="125"/>
      <c r="K119" s="107"/>
      <c r="L119" s="13"/>
      <c r="M119" s="69"/>
      <c r="N119" s="115"/>
      <c r="O119" s="121"/>
      <c r="P119" s="121"/>
      <c r="Q119" s="13"/>
      <c r="R119" s="4"/>
      <c r="S119" s="13"/>
      <c r="T119" s="121"/>
      <c r="U119" s="121"/>
      <c r="V119" s="13"/>
      <c r="W119" s="13"/>
      <c r="X119" s="13"/>
      <c r="Y119" s="13"/>
      <c r="Z119" s="13"/>
      <c r="AA119" s="13"/>
      <c r="AB119" s="13"/>
      <c r="AC119" s="13"/>
      <c r="AD119" s="13"/>
    </row>
    <row r="120" spans="1:30" s="108" customFormat="1" ht="12.75" customHeight="1" x14ac:dyDescent="0.25">
      <c r="A120" s="110">
        <v>39934</v>
      </c>
      <c r="B120" s="117">
        <v>14329</v>
      </c>
      <c r="C120" s="117">
        <v>897</v>
      </c>
      <c r="D120" s="117">
        <v>15226</v>
      </c>
      <c r="E120" s="117">
        <v>1924</v>
      </c>
      <c r="F120" s="117">
        <v>17150</v>
      </c>
      <c r="G120" s="117">
        <v>3411</v>
      </c>
      <c r="H120" s="117">
        <v>20561</v>
      </c>
      <c r="I120" s="117">
        <v>1345</v>
      </c>
      <c r="J120" s="125"/>
      <c r="K120" s="107"/>
      <c r="L120" s="13"/>
      <c r="M120" s="69"/>
      <c r="N120" s="115"/>
      <c r="O120" s="121"/>
      <c r="P120" s="121"/>
      <c r="Q120" s="13"/>
      <c r="R120" s="4"/>
      <c r="S120" s="13"/>
      <c r="T120" s="121"/>
      <c r="U120" s="121"/>
      <c r="V120" s="13"/>
      <c r="W120" s="13"/>
      <c r="X120" s="13"/>
      <c r="Y120" s="13"/>
      <c r="Z120" s="13"/>
      <c r="AA120" s="13"/>
      <c r="AB120" s="13"/>
      <c r="AC120" s="13"/>
      <c r="AD120" s="13"/>
    </row>
    <row r="121" spans="1:30" s="108" customFormat="1" ht="12.75" customHeight="1" x14ac:dyDescent="0.25">
      <c r="A121" s="110">
        <v>39965</v>
      </c>
      <c r="B121" s="117">
        <v>14722</v>
      </c>
      <c r="C121" s="117">
        <v>267</v>
      </c>
      <c r="D121" s="117">
        <v>14989</v>
      </c>
      <c r="E121" s="117">
        <v>2008</v>
      </c>
      <c r="F121" s="117">
        <v>16997</v>
      </c>
      <c r="G121" s="117">
        <v>3270</v>
      </c>
      <c r="H121" s="117">
        <v>20267</v>
      </c>
      <c r="I121" s="117">
        <v>1334</v>
      </c>
      <c r="J121" s="125"/>
      <c r="K121" s="107"/>
      <c r="L121" s="13"/>
      <c r="M121" s="69"/>
      <c r="N121" s="115"/>
      <c r="O121" s="121"/>
      <c r="P121" s="121"/>
      <c r="Q121" s="13"/>
      <c r="R121" s="4"/>
      <c r="S121" s="13"/>
      <c r="T121" s="121"/>
      <c r="U121" s="121"/>
      <c r="V121" s="13"/>
      <c r="W121" s="13"/>
      <c r="X121" s="13"/>
      <c r="Y121" s="13"/>
      <c r="Z121" s="13"/>
      <c r="AA121" s="13"/>
      <c r="AB121" s="13"/>
      <c r="AC121" s="13"/>
      <c r="AD121" s="13"/>
    </row>
    <row r="122" spans="1:30" s="108" customFormat="1" ht="12.75" customHeight="1" x14ac:dyDescent="0.25">
      <c r="A122" s="110">
        <v>39995</v>
      </c>
      <c r="B122" s="117">
        <v>13264</v>
      </c>
      <c r="C122" s="117">
        <v>395</v>
      </c>
      <c r="D122" s="117">
        <v>13659</v>
      </c>
      <c r="E122" s="117">
        <v>1223</v>
      </c>
      <c r="F122" s="117">
        <v>14882</v>
      </c>
      <c r="G122" s="117">
        <v>2793</v>
      </c>
      <c r="H122" s="117">
        <v>17675</v>
      </c>
      <c r="I122" s="117">
        <v>1296</v>
      </c>
      <c r="J122" s="125"/>
      <c r="K122" s="107"/>
      <c r="L122" s="13"/>
      <c r="M122" s="69"/>
      <c r="N122" s="115"/>
      <c r="O122" s="121"/>
      <c r="P122" s="121"/>
      <c r="Q122" s="13"/>
      <c r="R122" s="4"/>
      <c r="S122" s="13"/>
      <c r="T122" s="121"/>
      <c r="U122" s="121"/>
      <c r="V122" s="13"/>
      <c r="W122" s="13"/>
      <c r="X122" s="13"/>
      <c r="Y122" s="13"/>
      <c r="Z122" s="13"/>
      <c r="AA122" s="13"/>
      <c r="AB122" s="13"/>
      <c r="AC122" s="13"/>
      <c r="AD122" s="13"/>
    </row>
    <row r="123" spans="1:30" s="108" customFormat="1" ht="12.75" customHeight="1" x14ac:dyDescent="0.25">
      <c r="A123" s="110">
        <v>40026</v>
      </c>
      <c r="B123" s="117">
        <v>13093</v>
      </c>
      <c r="C123" s="117">
        <v>440</v>
      </c>
      <c r="D123" s="117">
        <v>13533</v>
      </c>
      <c r="E123" s="117">
        <v>1237</v>
      </c>
      <c r="F123" s="117">
        <v>14770</v>
      </c>
      <c r="G123" s="117">
        <v>4429</v>
      </c>
      <c r="H123" s="117">
        <v>19199</v>
      </c>
      <c r="I123" s="117">
        <v>1638</v>
      </c>
      <c r="J123" s="125"/>
      <c r="K123" s="107"/>
      <c r="L123" s="13"/>
      <c r="M123" s="69"/>
      <c r="N123" s="115"/>
      <c r="O123" s="121"/>
      <c r="P123" s="121"/>
      <c r="Q123" s="13"/>
      <c r="R123" s="4"/>
      <c r="S123" s="13"/>
      <c r="T123" s="121"/>
      <c r="U123" s="121"/>
      <c r="V123" s="13"/>
      <c r="W123" s="13"/>
      <c r="X123" s="13"/>
      <c r="Y123" s="13"/>
      <c r="Z123" s="13"/>
      <c r="AA123" s="13"/>
      <c r="AB123" s="13"/>
      <c r="AC123" s="13"/>
      <c r="AD123" s="13"/>
    </row>
    <row r="124" spans="1:30" s="108" customFormat="1" ht="12.75" customHeight="1" x14ac:dyDescent="0.25">
      <c r="A124" s="110">
        <v>40057</v>
      </c>
      <c r="B124" s="117">
        <v>14104</v>
      </c>
      <c r="C124" s="117">
        <v>200</v>
      </c>
      <c r="D124" s="117">
        <v>14304</v>
      </c>
      <c r="E124" s="117">
        <v>943</v>
      </c>
      <c r="F124" s="117">
        <v>15247</v>
      </c>
      <c r="G124" s="117">
        <v>4749</v>
      </c>
      <c r="H124" s="117">
        <v>19996</v>
      </c>
      <c r="I124" s="117">
        <v>2208</v>
      </c>
      <c r="J124" s="125"/>
      <c r="K124" s="107"/>
      <c r="L124" s="13"/>
      <c r="M124" s="69"/>
      <c r="N124" s="115"/>
      <c r="O124" s="121"/>
      <c r="P124" s="121"/>
      <c r="Q124" s="13"/>
      <c r="R124" s="4"/>
      <c r="S124" s="13"/>
      <c r="T124" s="121"/>
      <c r="U124" s="121"/>
      <c r="V124" s="13"/>
      <c r="W124" s="13"/>
      <c r="X124" s="13"/>
      <c r="Y124" s="13"/>
      <c r="Z124" s="13"/>
      <c r="AA124" s="13"/>
      <c r="AB124" s="13"/>
      <c r="AC124" s="13"/>
      <c r="AD124" s="13"/>
    </row>
    <row r="125" spans="1:30" s="108" customFormat="1" ht="12.75" customHeight="1" x14ac:dyDescent="0.25">
      <c r="A125" s="110">
        <v>40087</v>
      </c>
      <c r="B125" s="117">
        <v>14756</v>
      </c>
      <c r="C125" s="117">
        <v>332</v>
      </c>
      <c r="D125" s="117">
        <v>15088</v>
      </c>
      <c r="E125" s="117">
        <v>463</v>
      </c>
      <c r="F125" s="117">
        <v>15551</v>
      </c>
      <c r="G125" s="117">
        <v>4862</v>
      </c>
      <c r="H125" s="117">
        <v>20413</v>
      </c>
      <c r="I125" s="117">
        <v>2140</v>
      </c>
      <c r="J125" s="125"/>
      <c r="K125" s="107"/>
      <c r="L125" s="13"/>
      <c r="M125" s="69"/>
      <c r="N125" s="115"/>
      <c r="O125" s="121"/>
      <c r="P125" s="121"/>
      <c r="Q125" s="13"/>
      <c r="R125" s="4"/>
      <c r="S125" s="13"/>
      <c r="T125" s="121"/>
      <c r="U125" s="121"/>
      <c r="V125" s="13"/>
      <c r="W125" s="13"/>
      <c r="X125" s="13"/>
      <c r="Y125" s="13"/>
      <c r="Z125" s="13"/>
      <c r="AA125" s="13"/>
      <c r="AB125" s="13"/>
      <c r="AC125" s="13"/>
      <c r="AD125" s="13"/>
    </row>
    <row r="126" spans="1:30" s="108" customFormat="1" ht="12.75" customHeight="1" x14ac:dyDescent="0.25">
      <c r="A126" s="110">
        <v>40118</v>
      </c>
      <c r="B126" s="117">
        <v>16698</v>
      </c>
      <c r="C126" s="117">
        <v>312</v>
      </c>
      <c r="D126" s="117">
        <v>17010</v>
      </c>
      <c r="E126" s="117">
        <v>319</v>
      </c>
      <c r="F126" s="117">
        <v>17329</v>
      </c>
      <c r="G126" s="117">
        <v>4487</v>
      </c>
      <c r="H126" s="117">
        <v>21816</v>
      </c>
      <c r="I126" s="117">
        <v>1553</v>
      </c>
      <c r="J126" s="125"/>
      <c r="K126" s="107"/>
      <c r="L126" s="13"/>
      <c r="M126" s="69"/>
      <c r="N126" s="115"/>
      <c r="O126" s="121"/>
      <c r="P126" s="121"/>
      <c r="Q126" s="13"/>
      <c r="R126" s="4"/>
      <c r="S126" s="13"/>
      <c r="T126" s="121"/>
      <c r="U126" s="121"/>
      <c r="V126" s="13"/>
      <c r="W126" s="13"/>
      <c r="X126" s="13"/>
      <c r="Y126" s="13"/>
      <c r="Z126" s="13"/>
      <c r="AA126" s="13"/>
      <c r="AB126" s="13"/>
      <c r="AC126" s="13"/>
      <c r="AD126" s="13"/>
    </row>
    <row r="127" spans="1:30" s="108" customFormat="1" ht="12.75" customHeight="1" x14ac:dyDescent="0.25">
      <c r="A127" s="110">
        <v>40148</v>
      </c>
      <c r="B127" s="117">
        <v>14785</v>
      </c>
      <c r="C127" s="117">
        <v>588</v>
      </c>
      <c r="D127" s="117">
        <v>15373</v>
      </c>
      <c r="E127" s="117">
        <v>790</v>
      </c>
      <c r="F127" s="117">
        <v>16163</v>
      </c>
      <c r="G127" s="117">
        <v>5429</v>
      </c>
      <c r="H127" s="117">
        <v>21592</v>
      </c>
      <c r="I127" s="117">
        <v>1905</v>
      </c>
      <c r="J127" s="125"/>
      <c r="K127" s="107"/>
      <c r="L127" s="13"/>
      <c r="M127" s="69"/>
      <c r="N127" s="115"/>
      <c r="O127" s="121"/>
      <c r="P127" s="121"/>
      <c r="Q127" s="13"/>
      <c r="R127" s="4"/>
      <c r="S127" s="13"/>
      <c r="T127" s="121"/>
      <c r="U127" s="121"/>
      <c r="V127" s="13"/>
      <c r="W127" s="13"/>
      <c r="X127" s="13"/>
      <c r="Y127" s="13"/>
      <c r="Z127" s="13"/>
      <c r="AA127" s="13"/>
      <c r="AB127" s="13"/>
      <c r="AC127" s="13"/>
      <c r="AD127" s="13"/>
    </row>
    <row r="128" spans="1:30" s="108" customFormat="1" ht="12.75" customHeight="1" x14ac:dyDescent="0.25">
      <c r="A128" s="110">
        <v>40179</v>
      </c>
      <c r="B128" s="117">
        <v>18189</v>
      </c>
      <c r="C128" s="117">
        <v>821</v>
      </c>
      <c r="D128" s="117">
        <v>19010</v>
      </c>
      <c r="E128" s="117">
        <v>136</v>
      </c>
      <c r="F128" s="117">
        <v>19146</v>
      </c>
      <c r="G128" s="117">
        <v>5762</v>
      </c>
      <c r="H128" s="117">
        <v>24908</v>
      </c>
      <c r="I128" s="117">
        <v>1193</v>
      </c>
      <c r="J128" s="125"/>
      <c r="K128" s="107"/>
      <c r="L128" s="13"/>
      <c r="M128" s="69"/>
      <c r="N128" s="115"/>
      <c r="O128" s="121"/>
      <c r="P128" s="121"/>
      <c r="Q128" s="13"/>
      <c r="R128" s="4"/>
      <c r="S128" s="13"/>
      <c r="T128" s="121"/>
      <c r="U128" s="121"/>
      <c r="V128" s="13"/>
      <c r="W128" s="13"/>
      <c r="X128" s="13"/>
      <c r="Y128" s="13"/>
      <c r="Z128" s="13"/>
      <c r="AA128" s="13"/>
      <c r="AB128" s="13"/>
      <c r="AC128" s="13"/>
      <c r="AD128" s="13"/>
    </row>
    <row r="129" spans="1:30" s="108" customFormat="1" ht="12.75" customHeight="1" x14ac:dyDescent="0.25">
      <c r="A129" s="110">
        <v>40210</v>
      </c>
      <c r="B129" s="117">
        <v>16957</v>
      </c>
      <c r="C129" s="117">
        <v>946</v>
      </c>
      <c r="D129" s="117">
        <v>17903</v>
      </c>
      <c r="E129" s="117">
        <v>116</v>
      </c>
      <c r="F129" s="117">
        <v>18019</v>
      </c>
      <c r="G129" s="117">
        <v>5945</v>
      </c>
      <c r="H129" s="117">
        <v>23964</v>
      </c>
      <c r="I129" s="117">
        <v>1215</v>
      </c>
      <c r="J129" s="125"/>
      <c r="K129" s="107"/>
      <c r="L129" s="13"/>
      <c r="M129" s="69"/>
      <c r="N129" s="115"/>
      <c r="O129" s="121"/>
      <c r="P129" s="121"/>
      <c r="Q129" s="13"/>
      <c r="R129" s="4"/>
      <c r="S129" s="13"/>
      <c r="T129" s="121"/>
      <c r="U129" s="121"/>
      <c r="V129" s="13"/>
      <c r="W129" s="13"/>
      <c r="X129" s="13"/>
      <c r="Y129" s="13"/>
      <c r="Z129" s="13"/>
      <c r="AA129" s="13"/>
      <c r="AB129" s="13"/>
      <c r="AC129" s="13"/>
      <c r="AD129" s="13"/>
    </row>
    <row r="130" spans="1:30" s="12" customFormat="1" ht="12.75" customHeight="1" x14ac:dyDescent="0.25">
      <c r="A130" s="110">
        <v>40238</v>
      </c>
      <c r="B130" s="117">
        <v>15511</v>
      </c>
      <c r="C130" s="117">
        <v>1481</v>
      </c>
      <c r="D130" s="117">
        <v>16992</v>
      </c>
      <c r="E130" s="117">
        <v>322</v>
      </c>
      <c r="F130" s="117">
        <v>17314</v>
      </c>
      <c r="G130" s="117">
        <v>6109</v>
      </c>
      <c r="H130" s="117">
        <v>23423</v>
      </c>
      <c r="I130" s="117">
        <v>1690</v>
      </c>
      <c r="J130" s="125"/>
      <c r="K130" s="107"/>
      <c r="L130" s="13"/>
      <c r="M130" s="69"/>
      <c r="N130" s="115"/>
      <c r="O130" s="121"/>
      <c r="P130" s="121"/>
      <c r="Q130" s="13"/>
      <c r="R130" s="4"/>
      <c r="S130" s="13"/>
      <c r="T130" s="121"/>
      <c r="U130" s="121"/>
      <c r="V130" s="13"/>
      <c r="W130" s="13"/>
      <c r="X130" s="13"/>
      <c r="Y130" s="13"/>
      <c r="Z130" s="13"/>
      <c r="AA130" s="13"/>
      <c r="AB130" s="13"/>
      <c r="AC130" s="13"/>
      <c r="AD130" s="13"/>
    </row>
    <row r="131" spans="1:30" s="12" customFormat="1" ht="12.75" customHeight="1" x14ac:dyDescent="0.25">
      <c r="A131" s="110">
        <v>40269</v>
      </c>
      <c r="B131" s="117">
        <v>15505</v>
      </c>
      <c r="C131" s="117">
        <v>475</v>
      </c>
      <c r="D131" s="117">
        <v>15980</v>
      </c>
      <c r="E131" s="117">
        <v>1209</v>
      </c>
      <c r="F131" s="117">
        <v>17189</v>
      </c>
      <c r="G131" s="117">
        <v>6357</v>
      </c>
      <c r="H131" s="117">
        <v>23546</v>
      </c>
      <c r="I131" s="117">
        <v>2114</v>
      </c>
      <c r="J131" s="125"/>
      <c r="K131" s="107"/>
      <c r="L131" s="13"/>
      <c r="M131" s="69"/>
      <c r="N131" s="115"/>
      <c r="O131" s="121"/>
      <c r="P131" s="121"/>
      <c r="Q131" s="13"/>
      <c r="R131" s="4"/>
      <c r="S131" s="13"/>
      <c r="T131" s="121"/>
      <c r="U131" s="121"/>
      <c r="V131" s="13"/>
      <c r="W131" s="13"/>
      <c r="X131" s="13"/>
      <c r="Y131" s="13"/>
      <c r="Z131" s="13"/>
      <c r="AA131" s="13"/>
      <c r="AB131" s="13"/>
      <c r="AC131" s="13"/>
      <c r="AD131" s="13"/>
    </row>
    <row r="132" spans="1:30" s="12" customFormat="1" ht="12.75" customHeight="1" x14ac:dyDescent="0.25">
      <c r="A132" s="110">
        <v>40299</v>
      </c>
      <c r="B132" s="117">
        <v>18622</v>
      </c>
      <c r="C132" s="117">
        <v>1027</v>
      </c>
      <c r="D132" s="117">
        <v>19649</v>
      </c>
      <c r="E132" s="117">
        <v>965</v>
      </c>
      <c r="F132" s="117">
        <v>20614</v>
      </c>
      <c r="G132" s="117">
        <v>5929</v>
      </c>
      <c r="H132" s="117">
        <v>26543</v>
      </c>
      <c r="I132" s="117">
        <v>1454</v>
      </c>
      <c r="J132" s="125"/>
      <c r="K132" s="107"/>
      <c r="L132" s="13"/>
      <c r="M132" s="69"/>
      <c r="N132" s="115"/>
      <c r="O132" s="121"/>
      <c r="P132" s="121"/>
      <c r="Q132" s="13"/>
      <c r="R132" s="4"/>
      <c r="S132" s="13"/>
      <c r="T132" s="121"/>
      <c r="U132" s="121"/>
      <c r="V132" s="13"/>
      <c r="W132" s="13"/>
      <c r="X132" s="13"/>
      <c r="Y132" s="13"/>
      <c r="Z132" s="13"/>
      <c r="AA132" s="13"/>
      <c r="AB132" s="13"/>
      <c r="AC132" s="13"/>
      <c r="AD132" s="13"/>
    </row>
    <row r="133" spans="1:30" s="12" customFormat="1" ht="12.75" customHeight="1" x14ac:dyDescent="0.25">
      <c r="A133" s="110">
        <v>40330</v>
      </c>
      <c r="B133" s="117">
        <v>17937</v>
      </c>
      <c r="C133" s="117">
        <v>635</v>
      </c>
      <c r="D133" s="117">
        <v>18572</v>
      </c>
      <c r="E133" s="117">
        <v>1152</v>
      </c>
      <c r="F133" s="117">
        <v>19724</v>
      </c>
      <c r="G133" s="117">
        <v>4949</v>
      </c>
      <c r="H133" s="117">
        <v>24673</v>
      </c>
      <c r="I133" s="117">
        <v>1740</v>
      </c>
      <c r="J133" s="125"/>
      <c r="K133" s="107"/>
      <c r="L133" s="13"/>
      <c r="M133" s="69"/>
      <c r="N133" s="115"/>
      <c r="O133" s="121"/>
      <c r="P133" s="121"/>
      <c r="Q133" s="13"/>
      <c r="R133" s="4"/>
      <c r="S133" s="13"/>
      <c r="T133" s="121"/>
      <c r="U133" s="121"/>
      <c r="V133" s="13"/>
      <c r="W133" s="13"/>
      <c r="X133" s="13"/>
      <c r="Y133" s="13"/>
      <c r="Z133" s="13"/>
      <c r="AA133" s="13"/>
      <c r="AB133" s="13"/>
      <c r="AC133" s="13"/>
      <c r="AD133" s="13"/>
    </row>
    <row r="134" spans="1:30" s="12" customFormat="1" ht="12.75" customHeight="1" x14ac:dyDescent="0.25">
      <c r="A134" s="110">
        <v>40360</v>
      </c>
      <c r="B134" s="117">
        <v>15302</v>
      </c>
      <c r="C134" s="117">
        <v>587</v>
      </c>
      <c r="D134" s="117">
        <v>15889</v>
      </c>
      <c r="E134" s="117">
        <v>933</v>
      </c>
      <c r="F134" s="117">
        <v>16822</v>
      </c>
      <c r="G134" s="117">
        <v>4681</v>
      </c>
      <c r="H134" s="117">
        <v>21503</v>
      </c>
      <c r="I134" s="117">
        <v>2038</v>
      </c>
      <c r="J134" s="125"/>
      <c r="K134" s="107"/>
      <c r="L134" s="13"/>
      <c r="M134" s="69"/>
      <c r="N134" s="115"/>
      <c r="O134" s="121"/>
      <c r="P134" s="121"/>
      <c r="Q134" s="13"/>
      <c r="R134" s="4"/>
      <c r="S134" s="13"/>
      <c r="T134" s="121"/>
      <c r="U134" s="121"/>
      <c r="V134" s="13"/>
      <c r="W134" s="13"/>
      <c r="X134" s="13"/>
      <c r="Y134" s="13"/>
      <c r="Z134" s="13"/>
      <c r="AA134" s="13"/>
      <c r="AB134" s="13"/>
      <c r="AC134" s="13"/>
      <c r="AD134" s="13"/>
    </row>
    <row r="135" spans="1:30" s="12" customFormat="1" ht="12.75" customHeight="1" x14ac:dyDescent="0.25">
      <c r="A135" s="110">
        <v>40391</v>
      </c>
      <c r="B135" s="117">
        <v>16762</v>
      </c>
      <c r="C135" s="117">
        <v>326</v>
      </c>
      <c r="D135" s="117">
        <v>17088</v>
      </c>
      <c r="E135" s="117">
        <v>1308</v>
      </c>
      <c r="F135" s="117">
        <v>18396</v>
      </c>
      <c r="G135" s="117">
        <v>4647</v>
      </c>
      <c r="H135" s="117">
        <v>23043</v>
      </c>
      <c r="I135" s="117">
        <v>1610</v>
      </c>
      <c r="J135" s="125"/>
      <c r="K135" s="107"/>
      <c r="L135" s="13"/>
      <c r="M135" s="69"/>
      <c r="N135" s="115"/>
      <c r="O135" s="121"/>
      <c r="P135" s="121"/>
      <c r="Q135" s="13"/>
      <c r="R135" s="4"/>
      <c r="S135" s="13"/>
      <c r="T135" s="121"/>
      <c r="U135" s="121"/>
      <c r="V135" s="13"/>
      <c r="W135" s="13"/>
      <c r="X135" s="13"/>
      <c r="Y135" s="13"/>
      <c r="Z135" s="13"/>
      <c r="AA135" s="13"/>
      <c r="AB135" s="13"/>
      <c r="AC135" s="13"/>
      <c r="AD135" s="13"/>
    </row>
    <row r="136" spans="1:30" s="12" customFormat="1" ht="12.75" customHeight="1" x14ac:dyDescent="0.25">
      <c r="A136" s="110">
        <v>40422</v>
      </c>
      <c r="B136" s="117">
        <v>14518</v>
      </c>
      <c r="C136" s="117">
        <v>1875</v>
      </c>
      <c r="D136" s="117">
        <v>16393</v>
      </c>
      <c r="E136" s="117">
        <v>1751</v>
      </c>
      <c r="F136" s="117">
        <v>18144</v>
      </c>
      <c r="G136" s="117">
        <v>4970</v>
      </c>
      <c r="H136" s="117">
        <v>23114</v>
      </c>
      <c r="I136" s="117">
        <v>1929</v>
      </c>
      <c r="J136" s="125"/>
      <c r="K136" s="107"/>
      <c r="L136" s="13"/>
      <c r="M136" s="69"/>
      <c r="N136" s="115"/>
      <c r="O136" s="121"/>
      <c r="P136" s="121"/>
      <c r="Q136" s="13"/>
      <c r="R136" s="4"/>
      <c r="S136" s="13"/>
      <c r="T136" s="121"/>
      <c r="U136" s="121"/>
      <c r="V136" s="13"/>
      <c r="W136" s="13"/>
      <c r="X136" s="13"/>
      <c r="Y136" s="13"/>
      <c r="Z136" s="13"/>
      <c r="AA136" s="13"/>
      <c r="AB136" s="13"/>
      <c r="AC136" s="13"/>
      <c r="AD136" s="13"/>
    </row>
    <row r="137" spans="1:30" s="12" customFormat="1" ht="12.75" customHeight="1" x14ac:dyDescent="0.25">
      <c r="A137" s="110">
        <v>40452</v>
      </c>
      <c r="B137" s="117">
        <v>13091</v>
      </c>
      <c r="C137" s="117">
        <v>873</v>
      </c>
      <c r="D137" s="117">
        <v>13964</v>
      </c>
      <c r="E137" s="117">
        <v>2186</v>
      </c>
      <c r="F137" s="117">
        <v>16150</v>
      </c>
      <c r="G137" s="117">
        <v>4818</v>
      </c>
      <c r="H137" s="117">
        <v>20968</v>
      </c>
      <c r="I137" s="117">
        <v>2437</v>
      </c>
      <c r="J137" s="125"/>
      <c r="K137" s="107"/>
      <c r="L137" s="13"/>
      <c r="M137" s="69"/>
      <c r="N137" s="115"/>
      <c r="O137" s="121"/>
      <c r="P137" s="121"/>
      <c r="Q137" s="13"/>
      <c r="R137" s="4"/>
      <c r="S137" s="13"/>
      <c r="T137" s="121"/>
      <c r="U137" s="121"/>
      <c r="V137" s="13"/>
      <c r="W137" s="13"/>
      <c r="X137" s="13"/>
      <c r="Y137" s="13"/>
      <c r="Z137" s="13"/>
      <c r="AA137" s="13"/>
      <c r="AB137" s="13"/>
      <c r="AC137" s="13"/>
      <c r="AD137" s="13"/>
    </row>
    <row r="138" spans="1:30" s="12" customFormat="1" ht="12.75" customHeight="1" x14ac:dyDescent="0.25">
      <c r="A138" s="110">
        <v>40483</v>
      </c>
      <c r="B138" s="117">
        <v>14434</v>
      </c>
      <c r="C138" s="117">
        <v>1092</v>
      </c>
      <c r="D138" s="117">
        <v>15526</v>
      </c>
      <c r="E138" s="117">
        <v>1571</v>
      </c>
      <c r="F138" s="117">
        <v>17097</v>
      </c>
      <c r="G138" s="117">
        <v>5128</v>
      </c>
      <c r="H138" s="117">
        <v>22225</v>
      </c>
      <c r="I138" s="117">
        <v>2542</v>
      </c>
      <c r="J138" s="125"/>
      <c r="K138" s="107"/>
      <c r="L138" s="13"/>
      <c r="M138" s="69"/>
      <c r="N138" s="115"/>
      <c r="O138" s="121"/>
      <c r="P138" s="121"/>
      <c r="Q138" s="13"/>
      <c r="R138" s="4"/>
      <c r="S138" s="13"/>
      <c r="T138" s="121"/>
      <c r="U138" s="121"/>
      <c r="V138" s="13"/>
      <c r="W138" s="13"/>
      <c r="X138" s="13"/>
      <c r="Y138" s="13"/>
      <c r="Z138" s="13"/>
      <c r="AA138" s="13"/>
      <c r="AB138" s="13"/>
      <c r="AC138" s="13"/>
      <c r="AD138" s="13"/>
    </row>
    <row r="139" spans="1:30" s="12" customFormat="1" ht="12.75" customHeight="1" x14ac:dyDescent="0.25">
      <c r="A139" s="110">
        <v>40513</v>
      </c>
      <c r="B139" s="117">
        <v>14473</v>
      </c>
      <c r="C139" s="117">
        <v>812</v>
      </c>
      <c r="D139" s="117">
        <v>15285</v>
      </c>
      <c r="E139" s="117">
        <v>1552</v>
      </c>
      <c r="F139" s="117">
        <v>16837</v>
      </c>
      <c r="G139" s="117">
        <v>4867</v>
      </c>
      <c r="H139" s="117">
        <v>21704</v>
      </c>
      <c r="I139" s="117">
        <v>2673</v>
      </c>
      <c r="J139" s="125"/>
      <c r="K139" s="107"/>
      <c r="L139" s="13"/>
      <c r="M139" s="69"/>
      <c r="N139" s="115"/>
      <c r="O139" s="121"/>
      <c r="P139" s="121"/>
      <c r="Q139" s="13"/>
      <c r="R139" s="4"/>
      <c r="S139" s="13"/>
      <c r="T139" s="121"/>
      <c r="U139" s="121"/>
      <c r="V139" s="13"/>
      <c r="W139" s="13"/>
      <c r="X139" s="13"/>
      <c r="Y139" s="13"/>
      <c r="Z139" s="13"/>
      <c r="AA139" s="13"/>
      <c r="AB139" s="13"/>
      <c r="AC139" s="13"/>
      <c r="AD139" s="13"/>
    </row>
    <row r="140" spans="1:30" s="12" customFormat="1" ht="12.75" customHeight="1" x14ac:dyDescent="0.25">
      <c r="A140" s="110">
        <v>40544</v>
      </c>
      <c r="B140" s="117">
        <v>17919</v>
      </c>
      <c r="C140" s="117">
        <v>280</v>
      </c>
      <c r="D140" s="117">
        <v>18199</v>
      </c>
      <c r="E140" s="117">
        <v>1080</v>
      </c>
      <c r="F140" s="117">
        <v>19279</v>
      </c>
      <c r="G140" s="117">
        <v>4674</v>
      </c>
      <c r="H140" s="117">
        <v>23953</v>
      </c>
      <c r="I140" s="117">
        <v>2490</v>
      </c>
      <c r="J140" s="125"/>
      <c r="K140" s="107"/>
      <c r="L140" s="13"/>
      <c r="M140" s="69"/>
      <c r="N140" s="115"/>
      <c r="O140" s="121"/>
      <c r="P140" s="121"/>
      <c r="Q140" s="13"/>
      <c r="R140" s="4"/>
      <c r="S140" s="13"/>
      <c r="T140" s="121"/>
      <c r="U140" s="121"/>
      <c r="V140" s="13"/>
      <c r="W140" s="13"/>
      <c r="X140" s="13"/>
      <c r="Y140" s="13"/>
      <c r="Z140" s="13"/>
      <c r="AA140" s="13"/>
      <c r="AB140" s="13"/>
      <c r="AC140" s="13"/>
      <c r="AD140" s="13"/>
    </row>
    <row r="141" spans="1:30" s="12" customFormat="1" ht="12.75" customHeight="1" x14ac:dyDescent="0.25">
      <c r="A141" s="110">
        <v>40575</v>
      </c>
      <c r="B141" s="117">
        <v>16582</v>
      </c>
      <c r="C141" s="117">
        <v>649</v>
      </c>
      <c r="D141" s="117">
        <v>17231</v>
      </c>
      <c r="E141" s="117">
        <v>1935</v>
      </c>
      <c r="F141" s="117">
        <v>19166</v>
      </c>
      <c r="G141" s="117">
        <v>4327</v>
      </c>
      <c r="H141" s="117">
        <v>23493</v>
      </c>
      <c r="I141" s="117">
        <v>2017</v>
      </c>
      <c r="J141" s="125"/>
      <c r="K141" s="107"/>
      <c r="L141" s="13"/>
      <c r="M141" s="69"/>
      <c r="N141" s="115"/>
      <c r="O141" s="121"/>
      <c r="P141" s="121"/>
      <c r="Q141" s="13"/>
      <c r="R141" s="4"/>
      <c r="S141" s="13"/>
      <c r="T141" s="121"/>
      <c r="U141" s="121"/>
      <c r="V141" s="13"/>
      <c r="W141" s="13"/>
      <c r="X141" s="13"/>
      <c r="Y141" s="13"/>
      <c r="Z141" s="13"/>
      <c r="AA141" s="13"/>
      <c r="AB141" s="13"/>
      <c r="AC141" s="13"/>
      <c r="AD141" s="13"/>
    </row>
    <row r="142" spans="1:30" s="12" customFormat="1" ht="12.75" customHeight="1" x14ac:dyDescent="0.25">
      <c r="A142" s="110">
        <v>40603</v>
      </c>
      <c r="B142" s="117">
        <v>15925</v>
      </c>
      <c r="C142" s="117">
        <v>1912</v>
      </c>
      <c r="D142" s="117">
        <v>17837</v>
      </c>
      <c r="E142" s="117">
        <v>2218</v>
      </c>
      <c r="F142" s="117">
        <v>20055</v>
      </c>
      <c r="G142" s="117">
        <v>4683</v>
      </c>
      <c r="H142" s="117">
        <v>24738</v>
      </c>
      <c r="I142" s="117">
        <v>2306</v>
      </c>
      <c r="J142" s="125"/>
      <c r="K142" s="107"/>
      <c r="L142" s="13"/>
      <c r="M142" s="69"/>
      <c r="N142" s="115"/>
      <c r="O142" s="121"/>
      <c r="P142" s="121"/>
      <c r="Q142" s="13"/>
      <c r="R142" s="4"/>
      <c r="S142" s="13"/>
      <c r="T142" s="121"/>
      <c r="U142" s="121"/>
      <c r="V142" s="13"/>
      <c r="W142" s="13"/>
      <c r="X142" s="13"/>
      <c r="Y142" s="13"/>
      <c r="Z142" s="13"/>
      <c r="AA142" s="13"/>
      <c r="AB142" s="13"/>
      <c r="AC142" s="13"/>
      <c r="AD142" s="13"/>
    </row>
    <row r="143" spans="1:30" s="12" customFormat="1" ht="12.75" customHeight="1" x14ac:dyDescent="0.25">
      <c r="A143" s="110">
        <v>40634</v>
      </c>
      <c r="B143" s="117">
        <v>16212</v>
      </c>
      <c r="C143" s="117">
        <v>323</v>
      </c>
      <c r="D143" s="117">
        <v>16535</v>
      </c>
      <c r="E143" s="117">
        <v>3811</v>
      </c>
      <c r="F143" s="117">
        <v>20346</v>
      </c>
      <c r="G143" s="117">
        <v>4898</v>
      </c>
      <c r="H143" s="117">
        <v>25244</v>
      </c>
      <c r="I143" s="117">
        <v>2866</v>
      </c>
      <c r="J143" s="125"/>
      <c r="K143" s="107"/>
      <c r="L143" s="13"/>
      <c r="M143" s="69"/>
      <c r="N143" s="115"/>
      <c r="O143" s="121"/>
      <c r="P143" s="121"/>
      <c r="Q143" s="13"/>
      <c r="R143" s="4"/>
      <c r="S143" s="13"/>
      <c r="T143" s="121"/>
      <c r="U143" s="121"/>
      <c r="V143" s="13"/>
      <c r="W143" s="13"/>
      <c r="X143" s="13"/>
      <c r="Y143" s="13"/>
      <c r="Z143" s="13"/>
      <c r="AA143" s="13"/>
      <c r="AB143" s="13"/>
      <c r="AC143" s="13"/>
      <c r="AD143" s="13"/>
    </row>
    <row r="144" spans="1:30" s="12" customFormat="1" ht="12.75" customHeight="1" x14ac:dyDescent="0.25">
      <c r="A144" s="110">
        <v>40664</v>
      </c>
      <c r="B144" s="117">
        <v>16442</v>
      </c>
      <c r="C144" s="117">
        <v>1292</v>
      </c>
      <c r="D144" s="117">
        <v>17734</v>
      </c>
      <c r="E144" s="117">
        <v>3554</v>
      </c>
      <c r="F144" s="117">
        <v>21288</v>
      </c>
      <c r="G144" s="117">
        <v>5170</v>
      </c>
      <c r="H144" s="117">
        <v>26458</v>
      </c>
      <c r="I144" s="117">
        <v>3342</v>
      </c>
      <c r="J144" s="125"/>
      <c r="K144" s="107"/>
      <c r="L144" s="13"/>
      <c r="M144" s="69"/>
      <c r="N144" s="115"/>
      <c r="O144" s="121"/>
      <c r="P144" s="121"/>
      <c r="Q144" s="13"/>
      <c r="R144" s="4"/>
      <c r="S144" s="13"/>
      <c r="T144" s="121"/>
      <c r="U144" s="121"/>
      <c r="V144" s="13"/>
      <c r="W144" s="13"/>
      <c r="X144" s="13"/>
      <c r="Y144" s="13"/>
      <c r="Z144" s="13"/>
      <c r="AA144" s="13"/>
      <c r="AB144" s="13"/>
      <c r="AC144" s="13"/>
      <c r="AD144" s="13"/>
    </row>
    <row r="145" spans="1:30" s="12" customFormat="1" ht="12.75" customHeight="1" x14ac:dyDescent="0.25">
      <c r="A145" s="110">
        <v>40695</v>
      </c>
      <c r="B145" s="117">
        <v>16438</v>
      </c>
      <c r="C145" s="117">
        <v>963</v>
      </c>
      <c r="D145" s="117">
        <v>17401</v>
      </c>
      <c r="E145" s="117">
        <v>4394</v>
      </c>
      <c r="F145" s="117">
        <v>21795</v>
      </c>
      <c r="G145" s="117">
        <v>4635</v>
      </c>
      <c r="H145" s="117">
        <v>26430</v>
      </c>
      <c r="I145" s="117">
        <v>3273</v>
      </c>
      <c r="J145" s="125"/>
      <c r="K145" s="107"/>
      <c r="L145" s="13"/>
      <c r="M145" s="69"/>
      <c r="N145" s="115"/>
      <c r="O145" s="121"/>
      <c r="P145" s="121"/>
      <c r="Q145" s="13"/>
      <c r="R145" s="4"/>
      <c r="S145" s="13"/>
      <c r="T145" s="121"/>
      <c r="U145" s="121"/>
      <c r="V145" s="13"/>
      <c r="W145" s="13"/>
      <c r="X145" s="13"/>
      <c r="Y145" s="13"/>
      <c r="Z145" s="13"/>
      <c r="AA145" s="13"/>
      <c r="AB145" s="13"/>
      <c r="AC145" s="13"/>
      <c r="AD145" s="13"/>
    </row>
    <row r="146" spans="1:30" s="12" customFormat="1" ht="12.75" customHeight="1" x14ac:dyDescent="0.25">
      <c r="A146" s="110">
        <v>40725</v>
      </c>
      <c r="B146" s="117">
        <v>14434</v>
      </c>
      <c r="C146" s="117">
        <v>536</v>
      </c>
      <c r="D146" s="117">
        <v>14970</v>
      </c>
      <c r="E146" s="117">
        <v>4352</v>
      </c>
      <c r="F146" s="117">
        <v>19322</v>
      </c>
      <c r="G146" s="117">
        <v>5484</v>
      </c>
      <c r="H146" s="117">
        <v>24806</v>
      </c>
      <c r="I146" s="117">
        <v>3708</v>
      </c>
      <c r="J146" s="125"/>
      <c r="K146" s="107"/>
      <c r="L146" s="13"/>
      <c r="M146" s="69"/>
      <c r="N146" s="115"/>
      <c r="O146" s="121"/>
      <c r="P146" s="121"/>
      <c r="Q146" s="13"/>
      <c r="R146" s="4"/>
      <c r="S146" s="13"/>
      <c r="T146" s="121"/>
      <c r="U146" s="121"/>
      <c r="V146" s="13"/>
      <c r="W146" s="13"/>
      <c r="X146" s="13"/>
      <c r="Y146" s="13"/>
      <c r="Z146" s="13"/>
      <c r="AA146" s="13"/>
      <c r="AB146" s="13"/>
      <c r="AC146" s="13"/>
      <c r="AD146" s="13"/>
    </row>
    <row r="147" spans="1:30" s="12" customFormat="1" ht="12.75" customHeight="1" x14ac:dyDescent="0.25">
      <c r="A147" s="110">
        <v>40756</v>
      </c>
      <c r="B147" s="117">
        <v>13516</v>
      </c>
      <c r="C147" s="117">
        <v>1993</v>
      </c>
      <c r="D147" s="117">
        <v>15509</v>
      </c>
      <c r="E147" s="117">
        <v>3523</v>
      </c>
      <c r="F147" s="117">
        <v>19032</v>
      </c>
      <c r="G147" s="117">
        <v>5012</v>
      </c>
      <c r="H147" s="117">
        <v>24044</v>
      </c>
      <c r="I147" s="117">
        <v>3434</v>
      </c>
      <c r="J147" s="125"/>
      <c r="K147" s="107"/>
      <c r="L147" s="13"/>
      <c r="M147" s="69"/>
      <c r="N147" s="115"/>
      <c r="O147" s="121"/>
      <c r="P147" s="121"/>
      <c r="Q147" s="13"/>
      <c r="R147" s="4"/>
      <c r="S147" s="13"/>
      <c r="T147" s="121"/>
      <c r="U147" s="121"/>
      <c r="V147" s="13"/>
      <c r="W147" s="13"/>
      <c r="X147" s="13"/>
      <c r="Y147" s="13"/>
      <c r="Z147" s="13"/>
      <c r="AA147" s="13"/>
      <c r="AB147" s="13"/>
      <c r="AC147" s="13"/>
      <c r="AD147" s="13"/>
    </row>
    <row r="148" spans="1:30" s="12" customFormat="1" ht="12.75" customHeight="1" x14ac:dyDescent="0.25">
      <c r="A148" s="110">
        <v>40787</v>
      </c>
      <c r="B148" s="117">
        <v>12994</v>
      </c>
      <c r="C148" s="117">
        <v>6370</v>
      </c>
      <c r="D148" s="117">
        <v>19364</v>
      </c>
      <c r="E148" s="117">
        <v>2671</v>
      </c>
      <c r="F148" s="117">
        <v>22035</v>
      </c>
      <c r="G148" s="117">
        <v>4679</v>
      </c>
      <c r="H148" s="117">
        <v>26714</v>
      </c>
      <c r="I148" s="117">
        <v>2234</v>
      </c>
      <c r="J148" s="125"/>
      <c r="K148" s="107"/>
      <c r="L148" s="13"/>
      <c r="M148" s="69"/>
      <c r="N148" s="115"/>
      <c r="O148" s="121"/>
      <c r="P148" s="121"/>
      <c r="Q148" s="13"/>
      <c r="R148" s="4"/>
      <c r="S148" s="13"/>
      <c r="T148" s="121"/>
      <c r="U148" s="121"/>
      <c r="V148" s="13"/>
      <c r="W148" s="13"/>
      <c r="X148" s="13"/>
      <c r="Y148" s="13"/>
      <c r="Z148" s="13"/>
      <c r="AA148" s="13"/>
      <c r="AB148" s="13"/>
      <c r="AC148" s="13"/>
      <c r="AD148" s="13"/>
    </row>
    <row r="149" spans="1:30" s="12" customFormat="1" ht="12.75" customHeight="1" x14ac:dyDescent="0.25">
      <c r="A149" s="110">
        <v>40817</v>
      </c>
      <c r="B149" s="117">
        <v>11685</v>
      </c>
      <c r="C149" s="117">
        <v>4955</v>
      </c>
      <c r="D149" s="117">
        <v>16640</v>
      </c>
      <c r="E149" s="117">
        <v>5429</v>
      </c>
      <c r="F149" s="117">
        <v>22069</v>
      </c>
      <c r="G149" s="117">
        <v>4775</v>
      </c>
      <c r="H149" s="117">
        <v>26844</v>
      </c>
      <c r="I149" s="117">
        <v>2794</v>
      </c>
      <c r="J149" s="125"/>
      <c r="K149" s="107"/>
      <c r="L149" s="13"/>
      <c r="M149" s="69"/>
      <c r="N149" s="115"/>
      <c r="O149" s="121"/>
      <c r="P149" s="121"/>
      <c r="Q149" s="13"/>
      <c r="R149" s="4"/>
      <c r="S149" s="13"/>
      <c r="T149" s="121"/>
      <c r="U149" s="121"/>
      <c r="V149" s="13"/>
      <c r="W149" s="13"/>
      <c r="X149" s="13"/>
      <c r="Y149" s="13"/>
      <c r="Z149" s="13"/>
      <c r="AA149" s="13"/>
      <c r="AB149" s="13"/>
      <c r="AC149" s="13"/>
      <c r="AD149" s="13"/>
    </row>
    <row r="150" spans="1:30" s="12" customFormat="1" ht="12.75" customHeight="1" x14ac:dyDescent="0.25">
      <c r="A150" s="110">
        <v>40848</v>
      </c>
      <c r="B150" s="117">
        <v>11536</v>
      </c>
      <c r="C150" s="117">
        <v>5761</v>
      </c>
      <c r="D150" s="117">
        <v>17297</v>
      </c>
      <c r="E150" s="117">
        <v>4295</v>
      </c>
      <c r="F150" s="117">
        <v>21592</v>
      </c>
      <c r="G150" s="117">
        <v>4226</v>
      </c>
      <c r="H150" s="117">
        <v>25818</v>
      </c>
      <c r="I150" s="117">
        <v>2203</v>
      </c>
      <c r="J150" s="125"/>
      <c r="K150" s="107"/>
      <c r="L150" s="13"/>
      <c r="M150" s="69"/>
      <c r="N150" s="115"/>
      <c r="O150" s="121"/>
      <c r="P150" s="121"/>
      <c r="Q150" s="13"/>
      <c r="R150" s="4"/>
      <c r="S150" s="13"/>
      <c r="T150" s="121"/>
      <c r="U150" s="121"/>
      <c r="V150" s="13"/>
      <c r="W150" s="13"/>
      <c r="X150" s="13"/>
      <c r="Y150" s="13"/>
      <c r="Z150" s="13"/>
      <c r="AA150" s="13"/>
      <c r="AB150" s="13"/>
      <c r="AC150" s="13"/>
      <c r="AD150" s="13"/>
    </row>
    <row r="151" spans="1:30" s="12" customFormat="1" ht="12.75" customHeight="1" x14ac:dyDescent="0.25">
      <c r="A151" s="110">
        <v>40878</v>
      </c>
      <c r="B151" s="117">
        <v>11489</v>
      </c>
      <c r="C151" s="117">
        <v>3552</v>
      </c>
      <c r="D151" s="117">
        <v>15041</v>
      </c>
      <c r="E151" s="117">
        <v>2606</v>
      </c>
      <c r="F151" s="117">
        <v>17647</v>
      </c>
      <c r="G151" s="117">
        <v>4409</v>
      </c>
      <c r="H151" s="117">
        <v>22056</v>
      </c>
      <c r="I151" s="117">
        <v>2283</v>
      </c>
      <c r="J151" s="125"/>
      <c r="K151" s="107"/>
      <c r="L151" s="13"/>
      <c r="M151" s="69"/>
      <c r="N151" s="115"/>
      <c r="O151" s="121"/>
      <c r="P151" s="121"/>
      <c r="Q151" s="13"/>
      <c r="R151" s="4"/>
      <c r="S151" s="13"/>
      <c r="T151" s="121"/>
      <c r="U151" s="121"/>
      <c r="V151" s="13"/>
      <c r="W151" s="13"/>
      <c r="X151" s="13"/>
      <c r="Y151" s="13"/>
      <c r="Z151" s="13"/>
      <c r="AA151" s="13"/>
      <c r="AB151" s="13"/>
      <c r="AC151" s="13"/>
      <c r="AD151" s="13"/>
    </row>
    <row r="152" spans="1:30" s="12" customFormat="1" ht="12.75" customHeight="1" x14ac:dyDescent="0.25">
      <c r="A152" s="110">
        <v>40909</v>
      </c>
      <c r="B152" s="117">
        <v>12400</v>
      </c>
      <c r="C152" s="117">
        <v>4157</v>
      </c>
      <c r="D152" s="117">
        <v>16557</v>
      </c>
      <c r="E152" s="117">
        <v>1739</v>
      </c>
      <c r="F152" s="117">
        <v>18296</v>
      </c>
      <c r="G152" s="117">
        <v>4423</v>
      </c>
      <c r="H152" s="117">
        <v>22719</v>
      </c>
      <c r="I152" s="117">
        <v>2822</v>
      </c>
      <c r="J152" s="125"/>
      <c r="K152" s="107"/>
      <c r="L152" s="13"/>
      <c r="M152" s="69"/>
      <c r="N152" s="115"/>
      <c r="O152" s="121"/>
      <c r="P152" s="121"/>
      <c r="Q152" s="13"/>
      <c r="R152" s="4"/>
      <c r="S152" s="13"/>
      <c r="T152" s="121"/>
      <c r="U152" s="121"/>
      <c r="V152" s="13"/>
      <c r="W152" s="13"/>
      <c r="X152" s="13"/>
      <c r="Y152" s="13"/>
      <c r="Z152" s="13"/>
      <c r="AA152" s="13"/>
      <c r="AB152" s="13"/>
      <c r="AC152" s="13"/>
      <c r="AD152" s="13"/>
    </row>
    <row r="153" spans="1:30" s="12" customFormat="1" ht="12.75" customHeight="1" x14ac:dyDescent="0.25">
      <c r="A153" s="110">
        <v>40940</v>
      </c>
      <c r="B153" s="117">
        <v>14841</v>
      </c>
      <c r="C153" s="117">
        <v>1177</v>
      </c>
      <c r="D153" s="117">
        <v>16018</v>
      </c>
      <c r="E153" s="117">
        <v>2770</v>
      </c>
      <c r="F153" s="117">
        <v>18788</v>
      </c>
      <c r="G153" s="117">
        <v>4318</v>
      </c>
      <c r="H153" s="117">
        <v>23106</v>
      </c>
      <c r="I153" s="117">
        <v>2949</v>
      </c>
      <c r="J153" s="125"/>
      <c r="K153" s="107"/>
      <c r="L153" s="13"/>
      <c r="M153" s="69"/>
      <c r="N153" s="115"/>
      <c r="O153" s="121"/>
      <c r="P153" s="121"/>
      <c r="Q153" s="13"/>
      <c r="R153" s="4"/>
      <c r="S153" s="13"/>
      <c r="T153" s="121"/>
      <c r="U153" s="121"/>
      <c r="V153" s="13"/>
      <c r="W153" s="13"/>
      <c r="X153" s="13"/>
      <c r="Y153" s="13"/>
      <c r="Z153" s="13"/>
      <c r="AA153" s="13"/>
      <c r="AB153" s="13"/>
      <c r="AC153" s="13"/>
      <c r="AD153" s="13"/>
    </row>
    <row r="154" spans="1:30" s="12" customFormat="1" ht="12.75" customHeight="1" x14ac:dyDescent="0.25">
      <c r="A154" s="110">
        <v>40969</v>
      </c>
      <c r="B154" s="117">
        <v>13577</v>
      </c>
      <c r="C154" s="117">
        <v>3363</v>
      </c>
      <c r="D154" s="117">
        <v>16940</v>
      </c>
      <c r="E154" s="117">
        <v>2181</v>
      </c>
      <c r="F154" s="117">
        <v>19121</v>
      </c>
      <c r="G154" s="117">
        <v>4341</v>
      </c>
      <c r="H154" s="117">
        <v>23462</v>
      </c>
      <c r="I154" s="117">
        <v>2765</v>
      </c>
      <c r="J154" s="125"/>
      <c r="K154" s="107"/>
      <c r="L154" s="13"/>
      <c r="M154" s="69"/>
      <c r="N154" s="115"/>
      <c r="O154" s="121"/>
      <c r="P154" s="121"/>
      <c r="Q154" s="13"/>
      <c r="R154" s="4"/>
      <c r="S154" s="13"/>
      <c r="T154" s="121"/>
      <c r="U154" s="121"/>
      <c r="V154" s="13"/>
      <c r="W154" s="13"/>
      <c r="X154" s="13"/>
      <c r="Y154" s="13"/>
      <c r="Z154" s="13"/>
      <c r="AA154" s="13"/>
      <c r="AB154" s="13"/>
      <c r="AC154" s="13"/>
      <c r="AD154" s="13"/>
    </row>
    <row r="155" spans="1:30" s="12" customFormat="1" ht="12.75" customHeight="1" x14ac:dyDescent="0.25">
      <c r="A155" s="110">
        <v>41000</v>
      </c>
      <c r="B155" s="117">
        <v>12944</v>
      </c>
      <c r="C155" s="117">
        <v>2786</v>
      </c>
      <c r="D155" s="117">
        <v>15730</v>
      </c>
      <c r="E155" s="117">
        <v>3339</v>
      </c>
      <c r="F155" s="117">
        <v>19069</v>
      </c>
      <c r="G155" s="117">
        <v>4452</v>
      </c>
      <c r="H155" s="117">
        <v>23521</v>
      </c>
      <c r="I155" s="117">
        <v>2385</v>
      </c>
      <c r="J155" s="125"/>
      <c r="K155" s="107"/>
      <c r="L155" s="13"/>
      <c r="M155" s="69"/>
      <c r="N155" s="115"/>
      <c r="O155" s="121"/>
      <c r="P155" s="121"/>
      <c r="Q155" s="13"/>
      <c r="R155" s="4"/>
      <c r="S155" s="13"/>
      <c r="T155" s="121"/>
      <c r="U155" s="121"/>
      <c r="V155" s="13"/>
      <c r="W155" s="13"/>
      <c r="X155" s="13"/>
      <c r="Y155" s="13"/>
      <c r="Z155" s="13"/>
      <c r="AA155" s="13"/>
      <c r="AB155" s="13"/>
      <c r="AC155" s="13"/>
      <c r="AD155" s="13"/>
    </row>
    <row r="156" spans="1:30" s="12" customFormat="1" ht="12.75" customHeight="1" x14ac:dyDescent="0.25">
      <c r="A156" s="110">
        <v>41030</v>
      </c>
      <c r="B156" s="117">
        <v>15037</v>
      </c>
      <c r="C156" s="117">
        <v>2485</v>
      </c>
      <c r="D156" s="117">
        <v>17522</v>
      </c>
      <c r="E156" s="117">
        <v>4433</v>
      </c>
      <c r="F156" s="117">
        <v>21955</v>
      </c>
      <c r="G156" s="117">
        <v>6282</v>
      </c>
      <c r="H156" s="117">
        <v>28237</v>
      </c>
      <c r="I156" s="117">
        <v>1301</v>
      </c>
      <c r="J156" s="125"/>
      <c r="K156" s="107"/>
      <c r="L156" s="13"/>
      <c r="M156" s="69"/>
      <c r="N156" s="115"/>
      <c r="O156" s="121"/>
      <c r="P156" s="121"/>
      <c r="Q156" s="13"/>
      <c r="R156" s="4"/>
      <c r="S156" s="13"/>
      <c r="T156" s="121"/>
      <c r="U156" s="121"/>
      <c r="V156" s="13"/>
      <c r="W156" s="13"/>
      <c r="X156" s="13"/>
      <c r="Y156" s="13"/>
      <c r="Z156" s="13"/>
      <c r="AA156" s="13"/>
      <c r="AB156" s="13"/>
      <c r="AC156" s="13"/>
      <c r="AD156" s="13"/>
    </row>
    <row r="157" spans="1:30" s="12" customFormat="1" ht="12.75" customHeight="1" x14ac:dyDescent="0.25">
      <c r="A157" s="110">
        <v>41061</v>
      </c>
      <c r="B157" s="117">
        <v>12640</v>
      </c>
      <c r="C157" s="117">
        <v>1717</v>
      </c>
      <c r="D157" s="117">
        <v>14357</v>
      </c>
      <c r="E157" s="117">
        <v>4948</v>
      </c>
      <c r="F157" s="117">
        <v>19305</v>
      </c>
      <c r="G157" s="117">
        <v>6094</v>
      </c>
      <c r="H157" s="117">
        <v>25399</v>
      </c>
      <c r="I157" s="117">
        <v>1892</v>
      </c>
      <c r="J157" s="125"/>
      <c r="K157" s="107"/>
      <c r="L157" s="13"/>
      <c r="M157" s="69"/>
      <c r="N157" s="115"/>
      <c r="O157" s="121"/>
      <c r="P157" s="121"/>
      <c r="Q157" s="13"/>
      <c r="R157" s="4"/>
      <c r="S157" s="13"/>
      <c r="T157" s="121"/>
      <c r="U157" s="121"/>
      <c r="V157" s="13"/>
      <c r="W157" s="13"/>
      <c r="X157" s="13"/>
      <c r="Y157" s="13"/>
      <c r="Z157" s="13"/>
      <c r="AA157" s="13"/>
      <c r="AB157" s="13"/>
      <c r="AC157" s="13"/>
      <c r="AD157" s="13"/>
    </row>
    <row r="158" spans="1:30" s="12" customFormat="1" ht="12.75" customHeight="1" x14ac:dyDescent="0.25">
      <c r="A158" s="110">
        <v>41091</v>
      </c>
      <c r="B158" s="117">
        <v>10576</v>
      </c>
      <c r="C158" s="117">
        <v>1500</v>
      </c>
      <c r="D158" s="117">
        <v>12076</v>
      </c>
      <c r="E158" s="117">
        <v>4609</v>
      </c>
      <c r="F158" s="117">
        <v>16685</v>
      </c>
      <c r="G158" s="117">
        <v>5967</v>
      </c>
      <c r="H158" s="117">
        <v>22652</v>
      </c>
      <c r="I158" s="117">
        <v>2106</v>
      </c>
      <c r="J158" s="125"/>
      <c r="K158" s="107"/>
      <c r="L158" s="13"/>
      <c r="M158" s="69"/>
      <c r="N158" s="115"/>
      <c r="O158" s="121"/>
      <c r="P158" s="121"/>
      <c r="Q158" s="13"/>
      <c r="R158" s="4"/>
      <c r="S158" s="13"/>
      <c r="T158" s="121"/>
      <c r="U158" s="121"/>
      <c r="V158" s="13"/>
      <c r="W158" s="13"/>
      <c r="X158" s="13"/>
      <c r="Y158" s="13"/>
      <c r="Z158" s="13"/>
      <c r="AA158" s="13"/>
      <c r="AB158" s="13"/>
      <c r="AC158" s="13"/>
      <c r="AD158" s="13"/>
    </row>
    <row r="159" spans="1:30" s="12" customFormat="1" ht="12.75" customHeight="1" x14ac:dyDescent="0.25">
      <c r="A159" s="110">
        <v>41122</v>
      </c>
      <c r="B159" s="117">
        <v>9976</v>
      </c>
      <c r="C159" s="117">
        <v>2278</v>
      </c>
      <c r="D159" s="117">
        <v>12254</v>
      </c>
      <c r="E159" s="117">
        <v>3928</v>
      </c>
      <c r="F159" s="117">
        <v>16182</v>
      </c>
      <c r="G159" s="117">
        <v>5999</v>
      </c>
      <c r="H159" s="117">
        <v>22181</v>
      </c>
      <c r="I159" s="117">
        <v>1950</v>
      </c>
      <c r="J159" s="125"/>
      <c r="K159" s="20"/>
      <c r="L159" s="13"/>
      <c r="M159" s="69"/>
      <c r="N159" s="115"/>
      <c r="O159" s="121"/>
      <c r="P159" s="121"/>
      <c r="Q159" s="13"/>
      <c r="R159" s="4"/>
      <c r="S159" s="13"/>
      <c r="T159" s="121"/>
      <c r="U159" s="121"/>
      <c r="V159" s="13"/>
      <c r="W159" s="13"/>
      <c r="X159" s="13"/>
      <c r="Y159" s="13"/>
      <c r="Z159" s="13"/>
      <c r="AA159" s="13"/>
      <c r="AB159" s="13"/>
      <c r="AC159" s="13"/>
      <c r="AD159" s="13"/>
    </row>
    <row r="160" spans="1:30" s="12" customFormat="1" ht="12.75" customHeight="1" x14ac:dyDescent="0.25">
      <c r="A160" s="110">
        <v>41153</v>
      </c>
      <c r="B160" s="117">
        <v>9621</v>
      </c>
      <c r="C160" s="117">
        <v>4379</v>
      </c>
      <c r="D160" s="117">
        <v>14000</v>
      </c>
      <c r="E160" s="117">
        <v>2378</v>
      </c>
      <c r="F160" s="117">
        <v>16378</v>
      </c>
      <c r="G160" s="117">
        <v>5652</v>
      </c>
      <c r="H160" s="117">
        <v>22030</v>
      </c>
      <c r="I160" s="117">
        <v>2298</v>
      </c>
      <c r="J160" s="122"/>
      <c r="K160" s="20"/>
      <c r="L160" s="13"/>
      <c r="M160" s="69"/>
      <c r="N160" s="115"/>
      <c r="O160" s="121"/>
      <c r="P160" s="121"/>
      <c r="Q160" s="13"/>
      <c r="R160" s="4"/>
      <c r="S160" s="13"/>
      <c r="T160" s="121"/>
      <c r="U160" s="121"/>
      <c r="V160" s="13"/>
      <c r="W160" s="13"/>
      <c r="X160" s="13"/>
      <c r="Y160" s="13"/>
      <c r="Z160" s="13"/>
      <c r="AA160" s="13"/>
      <c r="AB160" s="13"/>
      <c r="AC160" s="13"/>
      <c r="AD160" s="13"/>
    </row>
    <row r="161" spans="1:30" s="12" customFormat="1" ht="12.75" customHeight="1" x14ac:dyDescent="0.25">
      <c r="A161" s="110">
        <v>41183</v>
      </c>
      <c r="B161" s="117">
        <v>8245</v>
      </c>
      <c r="C161" s="117">
        <v>4263</v>
      </c>
      <c r="D161" s="117">
        <v>12508</v>
      </c>
      <c r="E161" s="117">
        <v>5436</v>
      </c>
      <c r="F161" s="117">
        <v>17944</v>
      </c>
      <c r="G161" s="117">
        <v>5857</v>
      </c>
      <c r="H161" s="117">
        <v>23801</v>
      </c>
      <c r="I161" s="117">
        <v>2126</v>
      </c>
      <c r="J161" s="122"/>
      <c r="K161" s="20"/>
      <c r="L161" s="13"/>
      <c r="M161" s="69"/>
      <c r="N161" s="115"/>
      <c r="O161" s="121"/>
      <c r="P161" s="121"/>
      <c r="Q161" s="13"/>
      <c r="R161" s="4"/>
      <c r="S161" s="13"/>
      <c r="T161" s="121"/>
      <c r="U161" s="121"/>
      <c r="V161" s="13"/>
      <c r="W161" s="13"/>
      <c r="X161" s="13"/>
      <c r="Y161" s="13"/>
      <c r="Z161" s="13"/>
      <c r="AA161" s="13"/>
      <c r="AB161" s="13"/>
      <c r="AC161" s="13"/>
      <c r="AD161" s="13"/>
    </row>
    <row r="162" spans="1:30" s="12" customFormat="1" ht="12.75" customHeight="1" x14ac:dyDescent="0.25">
      <c r="A162" s="110">
        <v>41214</v>
      </c>
      <c r="B162" s="117">
        <v>6642</v>
      </c>
      <c r="C162" s="117">
        <v>5541</v>
      </c>
      <c r="D162" s="117">
        <v>12183</v>
      </c>
      <c r="E162" s="117">
        <v>5758</v>
      </c>
      <c r="F162" s="117">
        <v>17941</v>
      </c>
      <c r="G162" s="117">
        <v>5936</v>
      </c>
      <c r="H162" s="117">
        <v>23877</v>
      </c>
      <c r="I162" s="117">
        <v>2093</v>
      </c>
      <c r="J162" s="122"/>
      <c r="K162" s="107"/>
      <c r="L162" s="13"/>
      <c r="M162" s="69"/>
      <c r="N162" s="115"/>
      <c r="O162" s="121"/>
      <c r="P162" s="121"/>
      <c r="Q162" s="13"/>
      <c r="R162" s="4"/>
      <c r="S162" s="13"/>
      <c r="T162" s="121"/>
      <c r="U162" s="121"/>
      <c r="V162" s="13"/>
      <c r="W162" s="13"/>
      <c r="X162" s="13"/>
      <c r="Y162" s="13"/>
      <c r="Z162" s="13"/>
      <c r="AA162" s="13"/>
      <c r="AB162" s="13"/>
      <c r="AC162" s="13"/>
      <c r="AD162" s="13"/>
    </row>
    <row r="163" spans="1:30" s="12" customFormat="1" ht="12.75" customHeight="1" x14ac:dyDescent="0.25">
      <c r="A163" s="110">
        <v>41244</v>
      </c>
      <c r="B163" s="117">
        <v>5451</v>
      </c>
      <c r="C163" s="117">
        <v>5593</v>
      </c>
      <c r="D163" s="117">
        <v>11044</v>
      </c>
      <c r="E163" s="117">
        <v>4313</v>
      </c>
      <c r="F163" s="117">
        <v>15357</v>
      </c>
      <c r="G163" s="117">
        <v>6077</v>
      </c>
      <c r="H163" s="117">
        <v>21434</v>
      </c>
      <c r="I163" s="117">
        <v>2159</v>
      </c>
      <c r="J163" s="122"/>
      <c r="K163" s="107"/>
      <c r="L163" s="13"/>
      <c r="M163" s="69"/>
      <c r="N163" s="115"/>
      <c r="O163" s="121"/>
      <c r="P163" s="121"/>
      <c r="Q163" s="13"/>
      <c r="R163" s="4"/>
      <c r="S163" s="13"/>
      <c r="T163" s="121"/>
      <c r="U163" s="121"/>
      <c r="V163" s="13"/>
      <c r="W163" s="13"/>
      <c r="X163" s="13"/>
      <c r="Y163" s="13"/>
      <c r="Z163" s="13"/>
      <c r="AA163" s="13"/>
      <c r="AB163" s="13"/>
      <c r="AC163" s="13"/>
      <c r="AD163" s="13"/>
    </row>
    <row r="164" spans="1:30" s="12" customFormat="1" ht="12.75" customHeight="1" x14ac:dyDescent="0.25">
      <c r="A164" s="110">
        <v>41275</v>
      </c>
      <c r="B164" s="117">
        <v>6796</v>
      </c>
      <c r="C164" s="117">
        <v>6928</v>
      </c>
      <c r="D164" s="117">
        <v>13724</v>
      </c>
      <c r="E164" s="117">
        <v>5273</v>
      </c>
      <c r="F164" s="117">
        <v>18997</v>
      </c>
      <c r="G164" s="117">
        <v>6608</v>
      </c>
      <c r="H164" s="117">
        <v>25605</v>
      </c>
      <c r="I164" s="117">
        <v>2236</v>
      </c>
      <c r="J164" s="122"/>
      <c r="K164" s="107"/>
      <c r="L164" s="13"/>
      <c r="M164" s="69"/>
      <c r="N164" s="115"/>
      <c r="O164" s="121"/>
      <c r="P164" s="121"/>
      <c r="Q164" s="13"/>
      <c r="R164" s="4"/>
      <c r="S164" s="13"/>
      <c r="T164" s="121"/>
      <c r="U164" s="121"/>
      <c r="V164" s="13"/>
      <c r="W164" s="13"/>
      <c r="X164" s="13"/>
      <c r="Y164" s="13"/>
      <c r="Z164" s="13"/>
      <c r="AA164" s="13"/>
      <c r="AB164" s="13"/>
      <c r="AC164" s="13"/>
      <c r="AD164" s="13"/>
    </row>
    <row r="165" spans="1:30" s="12" customFormat="1" ht="12.75" customHeight="1" x14ac:dyDescent="0.25">
      <c r="A165" s="110">
        <v>41306</v>
      </c>
      <c r="B165" s="117">
        <v>10914</v>
      </c>
      <c r="C165" s="117">
        <v>3465</v>
      </c>
      <c r="D165" s="117">
        <v>14379</v>
      </c>
      <c r="E165" s="117">
        <v>4499</v>
      </c>
      <c r="F165" s="117">
        <v>18878</v>
      </c>
      <c r="G165" s="117">
        <v>6297</v>
      </c>
      <c r="H165" s="117">
        <v>25175</v>
      </c>
      <c r="I165" s="117">
        <v>2190</v>
      </c>
      <c r="J165" s="122"/>
      <c r="K165" s="107"/>
      <c r="L165" s="13"/>
      <c r="M165" s="69"/>
      <c r="N165" s="115"/>
      <c r="O165" s="121"/>
      <c r="P165" s="121"/>
      <c r="Q165" s="13"/>
      <c r="R165" s="4"/>
      <c r="S165" s="13"/>
      <c r="T165" s="121"/>
      <c r="U165" s="121"/>
      <c r="V165" s="13"/>
      <c r="W165" s="13"/>
      <c r="X165" s="13"/>
      <c r="Y165" s="13"/>
      <c r="Z165" s="13"/>
      <c r="AA165" s="13"/>
      <c r="AB165" s="13"/>
      <c r="AC165" s="13"/>
      <c r="AD165" s="13"/>
    </row>
    <row r="166" spans="1:30" s="12" customFormat="1" ht="12.75" customHeight="1" x14ac:dyDescent="0.25">
      <c r="A166" s="110">
        <v>41334</v>
      </c>
      <c r="B166" s="117">
        <v>11263</v>
      </c>
      <c r="C166" s="117">
        <v>2899</v>
      </c>
      <c r="D166" s="117">
        <v>14162</v>
      </c>
      <c r="E166" s="117">
        <v>2603</v>
      </c>
      <c r="F166" s="117">
        <v>16765</v>
      </c>
      <c r="G166" s="117">
        <v>7063</v>
      </c>
      <c r="H166" s="117">
        <v>23828</v>
      </c>
      <c r="I166" s="117">
        <v>2391</v>
      </c>
      <c r="J166" s="122"/>
      <c r="K166" s="107"/>
      <c r="L166" s="13"/>
      <c r="M166" s="69"/>
      <c r="N166" s="115"/>
      <c r="O166" s="121"/>
      <c r="P166" s="121"/>
      <c r="Q166" s="13"/>
      <c r="R166" s="4"/>
      <c r="S166" s="13"/>
      <c r="T166" s="121"/>
      <c r="U166" s="121"/>
      <c r="V166" s="13"/>
      <c r="W166" s="13"/>
      <c r="X166" s="13"/>
      <c r="Y166" s="13"/>
      <c r="Z166" s="13"/>
      <c r="AA166" s="13"/>
      <c r="AB166" s="13"/>
      <c r="AC166" s="13"/>
      <c r="AD166" s="13"/>
    </row>
    <row r="167" spans="1:30" s="12" customFormat="1" ht="12.75" customHeight="1" x14ac:dyDescent="0.25">
      <c r="A167" s="110">
        <v>41365</v>
      </c>
      <c r="B167" s="117">
        <v>9819</v>
      </c>
      <c r="C167" s="117">
        <v>3324</v>
      </c>
      <c r="D167" s="117">
        <v>13143</v>
      </c>
      <c r="E167" s="117">
        <v>1923</v>
      </c>
      <c r="F167" s="117">
        <v>15066</v>
      </c>
      <c r="G167" s="117">
        <v>3653</v>
      </c>
      <c r="H167" s="117">
        <v>18719</v>
      </c>
      <c r="I167" s="117">
        <v>2316</v>
      </c>
      <c r="J167" s="122"/>
      <c r="K167" s="107"/>
      <c r="L167" s="13"/>
      <c r="M167" s="69"/>
      <c r="N167" s="115"/>
      <c r="O167" s="121"/>
      <c r="P167" s="121"/>
      <c r="Q167" s="13"/>
      <c r="R167" s="4"/>
      <c r="S167" s="13"/>
      <c r="T167" s="121"/>
      <c r="U167" s="121"/>
      <c r="V167" s="13"/>
      <c r="W167" s="13"/>
      <c r="X167" s="13"/>
      <c r="Y167" s="13"/>
      <c r="Z167" s="13"/>
      <c r="AA167" s="13"/>
      <c r="AB167" s="13"/>
      <c r="AC167" s="13"/>
      <c r="AD167" s="13"/>
    </row>
    <row r="168" spans="1:30" s="12" customFormat="1" ht="12.75" customHeight="1" x14ac:dyDescent="0.25">
      <c r="A168" s="110">
        <v>41395</v>
      </c>
      <c r="B168" s="117">
        <v>12160</v>
      </c>
      <c r="C168" s="117">
        <v>4749</v>
      </c>
      <c r="D168" s="117">
        <v>16909</v>
      </c>
      <c r="E168" s="117">
        <v>1224</v>
      </c>
      <c r="F168" s="117">
        <v>18133</v>
      </c>
      <c r="G168" s="117">
        <v>3494</v>
      </c>
      <c r="H168" s="117">
        <v>21627</v>
      </c>
      <c r="I168" s="117">
        <v>1867</v>
      </c>
      <c r="J168" s="122"/>
      <c r="K168" s="107"/>
      <c r="L168" s="13"/>
      <c r="M168" s="69"/>
      <c r="N168" s="115"/>
      <c r="O168" s="121"/>
      <c r="P168" s="121"/>
      <c r="Q168" s="13"/>
      <c r="R168" s="4"/>
      <c r="S168" s="13"/>
      <c r="T168" s="121"/>
      <c r="U168" s="121"/>
      <c r="V168" s="13"/>
      <c r="W168" s="13"/>
      <c r="X168" s="13"/>
      <c r="Y168" s="13"/>
      <c r="Z168" s="13"/>
      <c r="AA168" s="13"/>
      <c r="AB168" s="13"/>
      <c r="AC168" s="13"/>
      <c r="AD168" s="13"/>
    </row>
    <row r="169" spans="1:30" s="12" customFormat="1" ht="12.75" customHeight="1" x14ac:dyDescent="0.25">
      <c r="A169" s="110">
        <v>41426</v>
      </c>
      <c r="B169" s="117">
        <v>13881</v>
      </c>
      <c r="C169" s="117">
        <v>3831</v>
      </c>
      <c r="D169" s="117">
        <v>17712</v>
      </c>
      <c r="E169" s="117">
        <v>1622</v>
      </c>
      <c r="F169" s="117">
        <v>19334</v>
      </c>
      <c r="G169" s="117">
        <v>3324</v>
      </c>
      <c r="H169" s="117">
        <v>22658</v>
      </c>
      <c r="I169" s="117">
        <v>1501</v>
      </c>
      <c r="J169" s="122"/>
      <c r="K169" s="107"/>
      <c r="L169" s="13"/>
      <c r="M169" s="69"/>
      <c r="N169" s="115"/>
      <c r="O169" s="121"/>
      <c r="P169" s="121"/>
      <c r="Q169" s="13"/>
      <c r="R169" s="4"/>
      <c r="S169" s="13"/>
      <c r="T169" s="121"/>
      <c r="U169" s="121"/>
      <c r="V169" s="13"/>
      <c r="W169" s="13"/>
      <c r="X169" s="13"/>
      <c r="Y169" s="13"/>
      <c r="Z169" s="13"/>
      <c r="AA169" s="13"/>
      <c r="AB169" s="13"/>
      <c r="AC169" s="13"/>
      <c r="AD169" s="13"/>
    </row>
    <row r="170" spans="1:30" s="12" customFormat="1" ht="12.75" customHeight="1" x14ac:dyDescent="0.25">
      <c r="A170" s="110">
        <v>41456</v>
      </c>
      <c r="B170" s="117">
        <v>11812</v>
      </c>
      <c r="C170" s="117">
        <v>1984</v>
      </c>
      <c r="D170" s="117">
        <v>13796</v>
      </c>
      <c r="E170" s="117">
        <v>1537</v>
      </c>
      <c r="F170" s="117">
        <v>15333</v>
      </c>
      <c r="G170" s="117">
        <v>3635</v>
      </c>
      <c r="H170" s="117">
        <v>18968</v>
      </c>
      <c r="I170" s="117">
        <v>1841</v>
      </c>
      <c r="J170" s="122"/>
      <c r="K170" s="107"/>
      <c r="L170" s="13"/>
      <c r="M170" s="69"/>
      <c r="N170" s="115"/>
      <c r="O170" s="121"/>
      <c r="P170" s="121"/>
      <c r="Q170" s="13"/>
      <c r="R170" s="4"/>
      <c r="S170" s="13"/>
      <c r="T170" s="121"/>
      <c r="U170" s="121"/>
      <c r="V170" s="13"/>
      <c r="W170" s="13"/>
      <c r="X170" s="13"/>
      <c r="Y170" s="13"/>
      <c r="Z170" s="13"/>
      <c r="AA170" s="13"/>
      <c r="AB170" s="13"/>
      <c r="AC170" s="13"/>
      <c r="AD170" s="13"/>
    </row>
    <row r="171" spans="1:30" s="12" customFormat="1" ht="12.75" customHeight="1" x14ac:dyDescent="0.25">
      <c r="A171" s="110">
        <v>41487</v>
      </c>
      <c r="B171" s="117">
        <v>14260</v>
      </c>
      <c r="C171" s="117">
        <v>1741</v>
      </c>
      <c r="D171" s="117">
        <v>16001</v>
      </c>
      <c r="E171" s="117">
        <v>348</v>
      </c>
      <c r="F171" s="117">
        <v>16349</v>
      </c>
      <c r="G171" s="117">
        <v>3511</v>
      </c>
      <c r="H171" s="117">
        <v>19860</v>
      </c>
      <c r="I171" s="117">
        <v>1507</v>
      </c>
      <c r="J171" s="122"/>
      <c r="K171" s="107"/>
      <c r="L171" s="13"/>
      <c r="M171" s="69"/>
      <c r="N171" s="115"/>
      <c r="O171" s="121"/>
      <c r="P171" s="121"/>
      <c r="Q171" s="13"/>
      <c r="R171" s="4"/>
      <c r="S171" s="13"/>
      <c r="T171" s="121"/>
      <c r="U171" s="121"/>
      <c r="V171" s="13"/>
      <c r="W171" s="13"/>
      <c r="X171" s="13"/>
      <c r="Y171" s="13"/>
      <c r="Z171" s="13"/>
      <c r="AA171" s="13"/>
      <c r="AB171" s="13"/>
      <c r="AC171" s="13"/>
      <c r="AD171" s="13"/>
    </row>
    <row r="172" spans="1:30" s="12" customFormat="1" ht="12.75" customHeight="1" x14ac:dyDescent="0.25">
      <c r="A172" s="110">
        <v>41518</v>
      </c>
      <c r="B172" s="117">
        <v>12748</v>
      </c>
      <c r="C172" s="117">
        <v>1498</v>
      </c>
      <c r="D172" s="117">
        <v>14246</v>
      </c>
      <c r="E172" s="117">
        <v>1327</v>
      </c>
      <c r="F172" s="117">
        <v>15573</v>
      </c>
      <c r="G172" s="117">
        <v>3618</v>
      </c>
      <c r="H172" s="117">
        <v>19191</v>
      </c>
      <c r="I172" s="117">
        <v>2033</v>
      </c>
      <c r="J172" s="122"/>
      <c r="K172" s="107"/>
      <c r="L172" s="13"/>
      <c r="M172" s="69"/>
      <c r="N172" s="115"/>
      <c r="O172" s="121"/>
      <c r="P172" s="121"/>
      <c r="Q172" s="13"/>
      <c r="R172" s="4"/>
      <c r="S172" s="13"/>
      <c r="T172" s="121"/>
      <c r="U172" s="121"/>
      <c r="V172" s="13"/>
      <c r="W172" s="13"/>
      <c r="X172" s="13"/>
      <c r="Y172" s="13"/>
      <c r="Z172" s="13"/>
      <c r="AA172" s="13"/>
      <c r="AB172" s="13"/>
      <c r="AC172" s="13"/>
      <c r="AD172" s="13"/>
    </row>
    <row r="173" spans="1:30" s="12" customFormat="1" ht="12.75" customHeight="1" x14ac:dyDescent="0.25">
      <c r="A173" s="110">
        <v>41548</v>
      </c>
      <c r="B173" s="117">
        <v>14088</v>
      </c>
      <c r="C173" s="117">
        <v>1210</v>
      </c>
      <c r="D173" s="117">
        <v>15298</v>
      </c>
      <c r="E173" s="117">
        <v>3416</v>
      </c>
      <c r="F173" s="117">
        <v>18714</v>
      </c>
      <c r="G173" s="117">
        <v>3560</v>
      </c>
      <c r="H173" s="117">
        <v>22274</v>
      </c>
      <c r="I173" s="117">
        <v>1942</v>
      </c>
      <c r="J173" s="122"/>
      <c r="K173" s="107"/>
      <c r="L173" s="13"/>
      <c r="M173" s="69"/>
      <c r="N173" s="115"/>
      <c r="O173" s="121"/>
      <c r="P173" s="121"/>
      <c r="Q173" s="13"/>
      <c r="R173" s="4"/>
      <c r="S173" s="13"/>
      <c r="T173" s="121"/>
      <c r="U173" s="121"/>
      <c r="V173" s="13"/>
      <c r="W173" s="13"/>
      <c r="X173" s="13"/>
      <c r="Y173" s="13"/>
      <c r="Z173" s="13"/>
      <c r="AA173" s="13"/>
      <c r="AB173" s="13"/>
      <c r="AC173" s="13"/>
      <c r="AD173" s="13"/>
    </row>
    <row r="174" spans="1:30" s="14" customFormat="1" ht="12.75" customHeight="1" x14ac:dyDescent="0.25">
      <c r="A174" s="110">
        <v>41579</v>
      </c>
      <c r="B174" s="117">
        <v>12193</v>
      </c>
      <c r="C174" s="117">
        <v>1553</v>
      </c>
      <c r="D174" s="117">
        <v>13746</v>
      </c>
      <c r="E174" s="117">
        <v>5206</v>
      </c>
      <c r="F174" s="117">
        <v>18952</v>
      </c>
      <c r="G174" s="117">
        <v>3710</v>
      </c>
      <c r="H174" s="117">
        <v>22662</v>
      </c>
      <c r="I174" s="117">
        <v>1637</v>
      </c>
      <c r="J174" s="122"/>
      <c r="K174" s="20"/>
      <c r="L174" s="1"/>
      <c r="M174" s="69"/>
      <c r="N174" s="115"/>
      <c r="O174" s="121"/>
      <c r="P174" s="121"/>
      <c r="Q174" s="1"/>
      <c r="R174" s="4"/>
      <c r="S174" s="1"/>
      <c r="T174" s="121"/>
      <c r="U174" s="121"/>
      <c r="V174" s="1"/>
      <c r="W174" s="1"/>
      <c r="X174" s="1"/>
      <c r="Y174" s="1"/>
      <c r="Z174" s="1"/>
      <c r="AA174" s="1"/>
      <c r="AB174" s="1"/>
      <c r="AC174" s="1"/>
      <c r="AD174" s="1"/>
    </row>
    <row r="175" spans="1:30" s="14" customFormat="1" ht="12.75" customHeight="1" x14ac:dyDescent="0.25">
      <c r="A175" s="110">
        <v>41609</v>
      </c>
      <c r="B175" s="117">
        <v>11910</v>
      </c>
      <c r="C175" s="117">
        <v>1460</v>
      </c>
      <c r="D175" s="117">
        <v>13370</v>
      </c>
      <c r="E175" s="117">
        <v>2887</v>
      </c>
      <c r="F175" s="117">
        <v>16257</v>
      </c>
      <c r="G175" s="117">
        <v>3641</v>
      </c>
      <c r="H175" s="117">
        <v>19898</v>
      </c>
      <c r="I175" s="117">
        <v>1621</v>
      </c>
      <c r="J175" s="122"/>
      <c r="K175" s="20"/>
      <c r="L175" s="1"/>
      <c r="M175" s="69"/>
      <c r="N175" s="115"/>
      <c r="O175" s="121"/>
      <c r="P175" s="121"/>
      <c r="Q175" s="1"/>
      <c r="R175" s="4"/>
      <c r="S175" s="1"/>
      <c r="T175" s="121"/>
      <c r="U175" s="121"/>
      <c r="V175" s="1"/>
      <c r="W175" s="1"/>
      <c r="X175" s="1"/>
      <c r="Y175" s="1"/>
      <c r="Z175" s="1"/>
      <c r="AA175" s="1"/>
      <c r="AB175" s="1"/>
      <c r="AC175" s="1"/>
      <c r="AD175" s="1"/>
    </row>
    <row r="176" spans="1:30" s="12" customFormat="1" ht="12.75" customHeight="1" x14ac:dyDescent="0.25">
      <c r="A176" s="110">
        <v>41640</v>
      </c>
      <c r="B176" s="117">
        <v>15425</v>
      </c>
      <c r="C176" s="117">
        <v>1292</v>
      </c>
      <c r="D176" s="117">
        <v>16717</v>
      </c>
      <c r="E176" s="117">
        <v>2135</v>
      </c>
      <c r="F176" s="117">
        <v>18852</v>
      </c>
      <c r="G176" s="117">
        <v>3698</v>
      </c>
      <c r="H176" s="117">
        <v>22550</v>
      </c>
      <c r="I176" s="117">
        <v>1553</v>
      </c>
      <c r="J176" s="122"/>
      <c r="K176" s="107"/>
      <c r="L176" s="13"/>
      <c r="M176" s="69"/>
      <c r="N176" s="115"/>
      <c r="O176" s="121"/>
      <c r="P176" s="121"/>
      <c r="Q176" s="13"/>
      <c r="R176" s="4"/>
      <c r="S176" s="13"/>
      <c r="T176" s="121"/>
      <c r="U176" s="121"/>
      <c r="V176" s="13"/>
      <c r="W176" s="13"/>
      <c r="X176" s="13"/>
      <c r="Y176" s="13"/>
      <c r="Z176" s="13"/>
      <c r="AA176" s="13"/>
      <c r="AB176" s="13"/>
      <c r="AC176" s="13"/>
      <c r="AD176" s="13"/>
    </row>
    <row r="177" spans="1:30" s="14" customFormat="1" ht="12.75" customHeight="1" x14ac:dyDescent="0.25">
      <c r="A177" s="110">
        <v>41671</v>
      </c>
      <c r="B177" s="117">
        <v>13485</v>
      </c>
      <c r="C177" s="117">
        <v>1481</v>
      </c>
      <c r="D177" s="117">
        <v>14966</v>
      </c>
      <c r="E177" s="117">
        <v>3035</v>
      </c>
      <c r="F177" s="117">
        <v>18001</v>
      </c>
      <c r="G177" s="117">
        <v>3804</v>
      </c>
      <c r="H177" s="117">
        <v>21805</v>
      </c>
      <c r="I177" s="117">
        <v>1777</v>
      </c>
      <c r="J177" s="122"/>
      <c r="K177" s="20"/>
      <c r="L177" s="1"/>
      <c r="M177" s="69"/>
      <c r="N177" s="115"/>
      <c r="O177" s="121"/>
      <c r="P177" s="121"/>
      <c r="Q177" s="1"/>
      <c r="R177" s="4"/>
      <c r="S177" s="1"/>
      <c r="T177" s="121"/>
      <c r="U177" s="121"/>
      <c r="V177" s="1"/>
      <c r="W177" s="1"/>
      <c r="X177" s="1"/>
      <c r="Y177" s="1"/>
      <c r="Z177" s="1"/>
      <c r="AA177" s="1"/>
      <c r="AB177" s="1"/>
      <c r="AC177" s="1"/>
      <c r="AD177" s="1"/>
    </row>
    <row r="178" spans="1:30" s="14" customFormat="1" ht="12.75" customHeight="1" x14ac:dyDescent="0.25">
      <c r="A178" s="110">
        <v>41699</v>
      </c>
      <c r="B178" s="117">
        <v>12068</v>
      </c>
      <c r="C178" s="117">
        <v>2148</v>
      </c>
      <c r="D178" s="117">
        <v>14216</v>
      </c>
      <c r="E178" s="117">
        <v>2911</v>
      </c>
      <c r="F178" s="117">
        <v>17127</v>
      </c>
      <c r="G178" s="117">
        <v>3875</v>
      </c>
      <c r="H178" s="117">
        <v>21002</v>
      </c>
      <c r="I178" s="117">
        <v>1977</v>
      </c>
      <c r="J178" s="122"/>
      <c r="K178" s="20"/>
      <c r="L178" s="1"/>
      <c r="M178" s="69"/>
      <c r="N178" s="115"/>
      <c r="O178" s="121"/>
      <c r="P178" s="121"/>
      <c r="Q178" s="1"/>
      <c r="R178" s="4"/>
      <c r="S178" s="1"/>
      <c r="T178" s="121"/>
      <c r="U178" s="121"/>
      <c r="V178" s="1"/>
      <c r="W178" s="1"/>
      <c r="X178" s="1"/>
      <c r="Y178" s="1"/>
      <c r="Z178" s="1"/>
      <c r="AA178" s="1"/>
      <c r="AB178" s="1"/>
      <c r="AC178" s="1"/>
      <c r="AD178" s="1"/>
    </row>
    <row r="179" spans="1:30" s="12" customFormat="1" ht="12.75" customHeight="1" x14ac:dyDescent="0.25">
      <c r="A179" s="110">
        <v>41730</v>
      </c>
      <c r="B179" s="117">
        <v>11677</v>
      </c>
      <c r="C179" s="117">
        <v>1429</v>
      </c>
      <c r="D179" s="117">
        <v>13106</v>
      </c>
      <c r="E179" s="117">
        <v>2515</v>
      </c>
      <c r="F179" s="117">
        <v>15621</v>
      </c>
      <c r="G179" s="117">
        <v>4010</v>
      </c>
      <c r="H179" s="117">
        <v>19631</v>
      </c>
      <c r="I179" s="117">
        <v>1768</v>
      </c>
      <c r="J179" s="122"/>
      <c r="K179" s="107"/>
      <c r="L179" s="13"/>
      <c r="M179" s="69"/>
      <c r="N179" s="115"/>
      <c r="O179" s="121"/>
      <c r="P179" s="121"/>
      <c r="Q179" s="13"/>
      <c r="R179" s="4"/>
      <c r="S179" s="13"/>
      <c r="T179" s="121"/>
      <c r="U179" s="121"/>
      <c r="V179" s="13"/>
      <c r="W179" s="13"/>
      <c r="X179" s="13"/>
      <c r="Y179" s="13"/>
      <c r="Z179" s="13"/>
      <c r="AA179" s="13"/>
      <c r="AB179" s="13"/>
      <c r="AC179" s="13"/>
      <c r="AD179" s="13"/>
    </row>
    <row r="180" spans="1:30" s="14" customFormat="1" ht="12.75" customHeight="1" x14ac:dyDescent="0.25">
      <c r="A180" s="110">
        <v>41760</v>
      </c>
      <c r="B180" s="117">
        <v>12290</v>
      </c>
      <c r="C180" s="117">
        <v>1844</v>
      </c>
      <c r="D180" s="117">
        <v>14134</v>
      </c>
      <c r="E180" s="117">
        <v>3035</v>
      </c>
      <c r="F180" s="117">
        <v>17169</v>
      </c>
      <c r="G180" s="117">
        <v>4183</v>
      </c>
      <c r="H180" s="117">
        <v>21352</v>
      </c>
      <c r="I180" s="117">
        <v>1661</v>
      </c>
      <c r="J180" s="122"/>
      <c r="K180" s="20"/>
      <c r="L180" s="1"/>
      <c r="M180" s="69"/>
      <c r="N180" s="115"/>
      <c r="O180" s="121"/>
      <c r="P180" s="121"/>
      <c r="Q180" s="1"/>
      <c r="R180" s="4"/>
      <c r="S180" s="1"/>
      <c r="T180" s="121"/>
      <c r="U180" s="121"/>
      <c r="V180" s="1"/>
      <c r="W180" s="1"/>
      <c r="X180" s="1"/>
      <c r="Y180" s="1"/>
      <c r="Z180" s="1"/>
      <c r="AA180" s="1"/>
      <c r="AB180" s="1"/>
      <c r="AC180" s="1"/>
      <c r="AD180" s="1"/>
    </row>
    <row r="181" spans="1:30" s="14" customFormat="1" ht="12.75" customHeight="1" x14ac:dyDescent="0.25">
      <c r="A181" s="110">
        <v>41791</v>
      </c>
      <c r="B181" s="117">
        <v>11573</v>
      </c>
      <c r="C181" s="117">
        <v>1604</v>
      </c>
      <c r="D181" s="117">
        <v>13177</v>
      </c>
      <c r="E181" s="117">
        <v>3763</v>
      </c>
      <c r="F181" s="117">
        <v>16940</v>
      </c>
      <c r="G181" s="117">
        <v>4136</v>
      </c>
      <c r="H181" s="117">
        <v>21076</v>
      </c>
      <c r="I181" s="117">
        <v>1914</v>
      </c>
      <c r="J181" s="122"/>
      <c r="K181" s="20"/>
      <c r="L181" s="1"/>
      <c r="M181" s="69"/>
      <c r="N181" s="115"/>
      <c r="O181" s="121"/>
      <c r="P181" s="121"/>
      <c r="Q181" s="1"/>
      <c r="R181" s="4"/>
      <c r="S181" s="1"/>
      <c r="T181" s="121"/>
      <c r="U181" s="121"/>
      <c r="V181" s="1"/>
      <c r="W181" s="1"/>
      <c r="X181" s="1"/>
      <c r="Y181" s="1"/>
      <c r="Z181" s="1"/>
      <c r="AA181" s="1"/>
      <c r="AB181" s="1"/>
      <c r="AC181" s="1"/>
      <c r="AD181" s="1"/>
    </row>
    <row r="182" spans="1:30" s="14" customFormat="1" ht="12.75" customHeight="1" x14ac:dyDescent="0.25">
      <c r="A182" s="110">
        <v>41821</v>
      </c>
      <c r="B182" s="140">
        <v>12054</v>
      </c>
      <c r="C182" s="140">
        <v>2276</v>
      </c>
      <c r="D182" s="140">
        <v>14330</v>
      </c>
      <c r="E182" s="140">
        <v>1983</v>
      </c>
      <c r="F182" s="140">
        <v>16313</v>
      </c>
      <c r="G182" s="140">
        <v>4266</v>
      </c>
      <c r="H182" s="140">
        <v>20579</v>
      </c>
      <c r="I182" s="140">
        <v>1387</v>
      </c>
      <c r="J182" s="122"/>
      <c r="K182" s="20"/>
      <c r="L182" s="1"/>
      <c r="M182" s="69"/>
      <c r="N182" s="115"/>
      <c r="O182" s="121"/>
      <c r="P182" s="121"/>
      <c r="Q182" s="1"/>
      <c r="R182" s="4"/>
      <c r="S182" s="1"/>
      <c r="T182" s="121"/>
      <c r="U182" s="121"/>
      <c r="V182" s="1"/>
      <c r="W182" s="1"/>
      <c r="X182" s="1"/>
      <c r="Y182" s="1"/>
      <c r="Z182" s="1"/>
      <c r="AA182" s="1"/>
      <c r="AB182" s="1"/>
      <c r="AC182" s="1"/>
      <c r="AD182" s="1"/>
    </row>
    <row r="183" spans="1:30" s="14" customFormat="1" ht="12.75" customHeight="1" x14ac:dyDescent="0.25">
      <c r="A183" s="110">
        <v>41852</v>
      </c>
      <c r="B183" s="117">
        <v>13755</v>
      </c>
      <c r="C183" s="117">
        <v>2611</v>
      </c>
      <c r="D183" s="117">
        <v>16366</v>
      </c>
      <c r="E183" s="117">
        <v>1858</v>
      </c>
      <c r="F183" s="117">
        <v>18224</v>
      </c>
      <c r="G183" s="117">
        <v>4263</v>
      </c>
      <c r="H183" s="117">
        <v>22487</v>
      </c>
      <c r="I183" s="117">
        <v>1289</v>
      </c>
      <c r="J183" s="122"/>
      <c r="K183" s="20"/>
      <c r="L183" s="1"/>
      <c r="M183" s="69"/>
      <c r="N183" s="115"/>
      <c r="O183" s="121"/>
      <c r="P183" s="121"/>
      <c r="Q183" s="1"/>
      <c r="R183" s="4"/>
      <c r="S183" s="1"/>
      <c r="T183" s="121"/>
      <c r="U183" s="121"/>
      <c r="V183" s="1"/>
      <c r="W183" s="1"/>
      <c r="X183" s="1"/>
      <c r="Y183" s="1"/>
      <c r="Z183" s="1"/>
      <c r="AA183" s="1"/>
      <c r="AB183" s="1"/>
      <c r="AC183" s="1"/>
      <c r="AD183" s="1"/>
    </row>
    <row r="184" spans="1:30" s="12" customFormat="1" ht="12.75" customHeight="1" x14ac:dyDescent="0.25">
      <c r="A184" s="110">
        <v>41883</v>
      </c>
      <c r="B184" s="117">
        <v>13948</v>
      </c>
      <c r="C184" s="117">
        <v>3394</v>
      </c>
      <c r="D184" s="117">
        <v>17342</v>
      </c>
      <c r="E184" s="117">
        <v>1250</v>
      </c>
      <c r="F184" s="117">
        <v>18592</v>
      </c>
      <c r="G184" s="117">
        <v>4498</v>
      </c>
      <c r="H184" s="117">
        <v>23090</v>
      </c>
      <c r="I184" s="117">
        <v>881</v>
      </c>
      <c r="J184" s="122"/>
      <c r="K184" s="107"/>
      <c r="L184" s="13"/>
      <c r="M184" s="69"/>
      <c r="N184" s="115"/>
      <c r="O184" s="121"/>
      <c r="P184" s="121"/>
      <c r="Q184" s="13"/>
      <c r="R184" s="4"/>
      <c r="S184" s="13"/>
      <c r="T184" s="121"/>
      <c r="U184" s="121"/>
      <c r="V184" s="13"/>
      <c r="W184" s="13"/>
      <c r="X184" s="13"/>
      <c r="Y184" s="13"/>
      <c r="Z184" s="13"/>
      <c r="AA184" s="13"/>
      <c r="AB184" s="13"/>
      <c r="AC184" s="13"/>
      <c r="AD184" s="13"/>
    </row>
    <row r="185" spans="1:30" s="12" customFormat="1" ht="12.75" customHeight="1" x14ac:dyDescent="0.25">
      <c r="A185" s="110">
        <v>41913</v>
      </c>
      <c r="B185" s="117">
        <v>13553</v>
      </c>
      <c r="C185" s="117">
        <v>2945</v>
      </c>
      <c r="D185" s="117">
        <v>16498</v>
      </c>
      <c r="E185" s="117">
        <v>2421</v>
      </c>
      <c r="F185" s="117">
        <v>18919</v>
      </c>
      <c r="G185" s="117">
        <v>4405</v>
      </c>
      <c r="H185" s="117">
        <v>23324</v>
      </c>
      <c r="I185" s="117">
        <v>696</v>
      </c>
      <c r="J185" s="122"/>
      <c r="K185" s="107"/>
      <c r="L185" s="13"/>
      <c r="M185" s="69"/>
      <c r="N185" s="115"/>
      <c r="O185" s="121"/>
      <c r="P185" s="121"/>
      <c r="Q185" s="13"/>
      <c r="R185" s="4"/>
      <c r="S185" s="13"/>
      <c r="T185" s="121"/>
      <c r="U185" s="121"/>
      <c r="V185" s="13"/>
      <c r="W185" s="13"/>
      <c r="X185" s="13"/>
      <c r="Y185" s="13"/>
      <c r="Z185" s="13"/>
      <c r="AA185" s="13"/>
      <c r="AB185" s="13"/>
      <c r="AC185" s="13"/>
      <c r="AD185" s="13"/>
    </row>
    <row r="186" spans="1:30" s="14" customFormat="1" ht="12.75" customHeight="1" x14ac:dyDescent="0.25">
      <c r="A186" s="110">
        <v>41944</v>
      </c>
      <c r="B186" s="117">
        <v>12463</v>
      </c>
      <c r="C186" s="117">
        <v>3643</v>
      </c>
      <c r="D186" s="117">
        <v>16106</v>
      </c>
      <c r="E186" s="117">
        <v>2832</v>
      </c>
      <c r="F186" s="117">
        <v>18938</v>
      </c>
      <c r="G186" s="117">
        <v>4265</v>
      </c>
      <c r="H186" s="117">
        <v>23203</v>
      </c>
      <c r="I186" s="117">
        <v>825</v>
      </c>
      <c r="J186" s="122"/>
      <c r="K186" s="20"/>
      <c r="L186" s="1"/>
      <c r="M186" s="69"/>
      <c r="N186" s="115"/>
      <c r="O186" s="121"/>
      <c r="P186" s="121"/>
      <c r="Q186" s="1"/>
      <c r="R186" s="4"/>
      <c r="S186" s="1"/>
      <c r="T186" s="121"/>
      <c r="U186" s="121"/>
      <c r="V186" s="1"/>
      <c r="W186" s="1"/>
      <c r="X186" s="1"/>
      <c r="Y186" s="1"/>
      <c r="Z186" s="1"/>
      <c r="AA186" s="1"/>
      <c r="AB186" s="1"/>
      <c r="AC186" s="1"/>
      <c r="AD186" s="1"/>
    </row>
    <row r="187" spans="1:30" s="14" customFormat="1" ht="12.75" customHeight="1" x14ac:dyDescent="0.25">
      <c r="A187" s="110">
        <v>41974</v>
      </c>
      <c r="B187" s="117">
        <v>11381</v>
      </c>
      <c r="C187" s="117">
        <v>2794</v>
      </c>
      <c r="D187" s="117">
        <v>14175</v>
      </c>
      <c r="E187" s="117">
        <v>1954</v>
      </c>
      <c r="F187" s="117">
        <v>16129</v>
      </c>
      <c r="G187" s="117">
        <v>4130</v>
      </c>
      <c r="H187" s="117">
        <v>20259</v>
      </c>
      <c r="I187" s="117">
        <v>800</v>
      </c>
      <c r="J187" s="122"/>
      <c r="K187" s="20"/>
      <c r="L187" s="1"/>
      <c r="M187" s="69"/>
      <c r="N187" s="115"/>
      <c r="O187" s="121"/>
      <c r="P187" s="121"/>
      <c r="Q187" s="1"/>
      <c r="R187" s="4"/>
      <c r="S187" s="1"/>
      <c r="T187" s="121"/>
      <c r="U187" s="121"/>
      <c r="V187" s="1"/>
      <c r="W187" s="1"/>
      <c r="X187" s="1"/>
      <c r="Y187" s="1"/>
      <c r="Z187" s="1"/>
      <c r="AA187" s="1"/>
      <c r="AB187" s="1"/>
      <c r="AC187" s="1"/>
      <c r="AD187" s="1"/>
    </row>
    <row r="188" spans="1:30" s="14" customFormat="1" ht="12.75" customHeight="1" x14ac:dyDescent="0.25">
      <c r="A188" s="110">
        <v>42005</v>
      </c>
      <c r="B188" s="117">
        <v>13073</v>
      </c>
      <c r="C188" s="117">
        <v>4415</v>
      </c>
      <c r="D188" s="117">
        <v>17488</v>
      </c>
      <c r="E188" s="117">
        <v>3653</v>
      </c>
      <c r="F188" s="117">
        <v>21141</v>
      </c>
      <c r="G188" s="117">
        <v>4146</v>
      </c>
      <c r="H188" s="117">
        <v>25287</v>
      </c>
      <c r="I188" s="117">
        <v>508</v>
      </c>
      <c r="J188" s="122"/>
      <c r="K188" s="20"/>
      <c r="L188" s="1"/>
      <c r="M188" s="69"/>
      <c r="N188" s="115"/>
      <c r="O188" s="121"/>
      <c r="P188" s="121"/>
      <c r="Q188" s="1"/>
      <c r="R188" s="4"/>
      <c r="S188" s="1"/>
      <c r="T188" s="121"/>
      <c r="U188" s="121"/>
      <c r="V188" s="1"/>
      <c r="W188" s="1"/>
      <c r="X188" s="1"/>
      <c r="Y188" s="1"/>
      <c r="Z188" s="1"/>
      <c r="AA188" s="1"/>
      <c r="AB188" s="1"/>
      <c r="AC188" s="1"/>
      <c r="AD188" s="1"/>
    </row>
    <row r="189" spans="1:30" s="12" customFormat="1" ht="12.75" customHeight="1" x14ac:dyDescent="0.25">
      <c r="A189" s="110">
        <v>42036</v>
      </c>
      <c r="B189" s="117">
        <v>13397</v>
      </c>
      <c r="C189" s="117">
        <v>4020</v>
      </c>
      <c r="D189" s="117">
        <v>17417</v>
      </c>
      <c r="E189" s="117">
        <v>3267</v>
      </c>
      <c r="F189" s="117">
        <v>20684</v>
      </c>
      <c r="G189" s="117">
        <v>3853</v>
      </c>
      <c r="H189" s="117">
        <v>24537</v>
      </c>
      <c r="I189" s="117">
        <v>752</v>
      </c>
      <c r="J189" s="122"/>
      <c r="K189" s="107"/>
      <c r="L189" s="13"/>
      <c r="M189" s="69"/>
      <c r="N189" s="115"/>
      <c r="O189" s="121"/>
      <c r="P189" s="121"/>
      <c r="Q189" s="13"/>
      <c r="R189" s="4"/>
      <c r="S189" s="13"/>
      <c r="T189" s="121"/>
      <c r="U189" s="121"/>
      <c r="V189" s="13"/>
      <c r="W189" s="13"/>
      <c r="X189" s="13"/>
      <c r="Y189" s="13"/>
      <c r="Z189" s="13"/>
      <c r="AA189" s="13"/>
      <c r="AB189" s="13"/>
      <c r="AC189" s="13"/>
      <c r="AD189" s="13"/>
    </row>
    <row r="190" spans="1:30" s="12" customFormat="1" ht="12.75" customHeight="1" x14ac:dyDescent="0.25">
      <c r="A190" s="110">
        <v>42064</v>
      </c>
      <c r="B190" s="117">
        <v>13425</v>
      </c>
      <c r="C190" s="117">
        <v>4958</v>
      </c>
      <c r="D190" s="117">
        <v>18383</v>
      </c>
      <c r="E190" s="117">
        <v>2634</v>
      </c>
      <c r="F190" s="117">
        <v>21017</v>
      </c>
      <c r="G190" s="117">
        <v>3695</v>
      </c>
      <c r="H190" s="117">
        <v>24712</v>
      </c>
      <c r="I190" s="117">
        <v>777</v>
      </c>
      <c r="J190" s="122"/>
      <c r="K190" s="107"/>
      <c r="L190" s="13"/>
      <c r="M190" s="69"/>
      <c r="N190" s="115"/>
      <c r="O190" s="121"/>
      <c r="P190" s="121"/>
      <c r="Q190" s="13"/>
      <c r="R190" s="4"/>
      <c r="S190" s="13"/>
      <c r="T190" s="121"/>
      <c r="U190" s="121"/>
      <c r="V190" s="13"/>
      <c r="W190" s="13"/>
      <c r="X190" s="13"/>
      <c r="Y190" s="13"/>
      <c r="Z190" s="13"/>
      <c r="AA190" s="13"/>
      <c r="AB190" s="13"/>
      <c r="AC190" s="13"/>
      <c r="AD190" s="13"/>
    </row>
    <row r="191" spans="1:30" s="12" customFormat="1" ht="12.75" customHeight="1" x14ac:dyDescent="0.25">
      <c r="A191" s="110">
        <v>42095</v>
      </c>
      <c r="B191" s="117">
        <v>12054</v>
      </c>
      <c r="C191" s="117">
        <v>6014</v>
      </c>
      <c r="D191" s="117">
        <v>18068</v>
      </c>
      <c r="E191" s="117">
        <v>1325</v>
      </c>
      <c r="F191" s="117">
        <v>19393</v>
      </c>
      <c r="G191" s="117">
        <v>4000</v>
      </c>
      <c r="H191" s="117">
        <v>23393</v>
      </c>
      <c r="I191" s="117">
        <v>642</v>
      </c>
      <c r="J191" s="122"/>
      <c r="K191" s="107"/>
      <c r="L191" s="13"/>
      <c r="M191" s="69"/>
      <c r="N191" s="115"/>
      <c r="O191" s="121"/>
      <c r="P191" s="121"/>
      <c r="Q191" s="13"/>
      <c r="R191" s="4"/>
      <c r="S191" s="13"/>
      <c r="T191" s="121"/>
      <c r="U191" s="121"/>
      <c r="V191" s="13"/>
      <c r="W191" s="13"/>
      <c r="X191" s="13"/>
      <c r="Y191" s="13"/>
      <c r="Z191" s="13"/>
      <c r="AA191" s="13"/>
      <c r="AB191" s="13"/>
      <c r="AC191" s="13"/>
      <c r="AD191" s="13"/>
    </row>
    <row r="192" spans="1:30" s="12" customFormat="1" ht="12.75" customHeight="1" x14ac:dyDescent="0.25">
      <c r="A192" s="110">
        <v>42125</v>
      </c>
      <c r="B192" s="117">
        <v>14266</v>
      </c>
      <c r="C192" s="117">
        <v>4769</v>
      </c>
      <c r="D192" s="117">
        <v>19035</v>
      </c>
      <c r="E192" s="117">
        <v>3463</v>
      </c>
      <c r="F192" s="117">
        <v>22498</v>
      </c>
      <c r="G192" s="117">
        <v>3695</v>
      </c>
      <c r="H192" s="117">
        <v>26193</v>
      </c>
      <c r="I192" s="117">
        <v>246</v>
      </c>
      <c r="J192" s="122"/>
      <c r="K192" s="107"/>
      <c r="L192" s="13"/>
      <c r="M192" s="69"/>
      <c r="N192" s="115"/>
      <c r="O192" s="121"/>
      <c r="P192" s="121"/>
      <c r="Q192" s="13"/>
      <c r="R192" s="4"/>
      <c r="S192" s="13"/>
      <c r="T192" s="121"/>
      <c r="U192" s="121"/>
      <c r="V192" s="13"/>
      <c r="W192" s="13"/>
      <c r="X192" s="13"/>
      <c r="Y192" s="13"/>
      <c r="Z192" s="13"/>
      <c r="AA192" s="13"/>
      <c r="AB192" s="13"/>
      <c r="AC192" s="13"/>
      <c r="AD192" s="13"/>
    </row>
    <row r="193" spans="1:30" s="12" customFormat="1" ht="12.75" customHeight="1" x14ac:dyDescent="0.25">
      <c r="A193" s="110">
        <v>42156</v>
      </c>
      <c r="B193" s="117">
        <v>12955</v>
      </c>
      <c r="C193" s="117">
        <v>6570</v>
      </c>
      <c r="D193" s="117">
        <v>19525</v>
      </c>
      <c r="E193" s="117">
        <v>3247</v>
      </c>
      <c r="F193" s="117">
        <v>22772</v>
      </c>
      <c r="G193" s="117">
        <v>3706</v>
      </c>
      <c r="H193" s="117">
        <v>26478</v>
      </c>
      <c r="I193" s="117">
        <v>3</v>
      </c>
      <c r="J193" s="122"/>
      <c r="K193" s="107"/>
      <c r="L193" s="13"/>
      <c r="M193" s="69"/>
      <c r="N193" s="115"/>
      <c r="O193" s="121"/>
      <c r="P193" s="121"/>
      <c r="Q193" s="13"/>
      <c r="R193" s="4"/>
      <c r="S193" s="13"/>
      <c r="T193" s="121"/>
      <c r="U193" s="121"/>
      <c r="V193" s="13"/>
      <c r="W193" s="13"/>
      <c r="X193" s="13"/>
      <c r="Y193" s="13"/>
      <c r="Z193" s="13"/>
      <c r="AA193" s="13"/>
      <c r="AB193" s="13"/>
      <c r="AC193" s="13"/>
      <c r="AD193" s="13"/>
    </row>
    <row r="194" spans="1:30" s="12" customFormat="1" ht="12.75" customHeight="1" x14ac:dyDescent="0.25">
      <c r="A194" s="110">
        <v>42186</v>
      </c>
      <c r="B194" s="117">
        <v>12773</v>
      </c>
      <c r="C194" s="117">
        <v>7693</v>
      </c>
      <c r="D194" s="117">
        <v>20466</v>
      </c>
      <c r="E194" s="117">
        <v>1024</v>
      </c>
      <c r="F194" s="117">
        <v>21490</v>
      </c>
      <c r="G194" s="117">
        <v>3872</v>
      </c>
      <c r="H194" s="117">
        <v>25362</v>
      </c>
      <c r="I194" s="117">
        <v>-48</v>
      </c>
      <c r="J194" s="122"/>
      <c r="K194" s="107"/>
      <c r="L194" s="13"/>
      <c r="M194" s="69"/>
      <c r="N194" s="115"/>
      <c r="O194" s="121"/>
      <c r="P194" s="121"/>
      <c r="Q194" s="13"/>
      <c r="R194" s="4"/>
      <c r="S194" s="13"/>
      <c r="T194" s="121"/>
      <c r="U194" s="121"/>
      <c r="V194" s="13"/>
      <c r="W194" s="13"/>
      <c r="X194" s="13"/>
      <c r="Y194" s="13"/>
      <c r="Z194" s="13"/>
      <c r="AA194" s="13"/>
      <c r="AB194" s="13"/>
      <c r="AC194" s="13"/>
      <c r="AD194" s="13"/>
    </row>
    <row r="195" spans="1:30" s="12" customFormat="1" ht="12.75" customHeight="1" x14ac:dyDescent="0.25">
      <c r="A195" s="110">
        <v>42217</v>
      </c>
      <c r="B195" s="117">
        <v>11950</v>
      </c>
      <c r="C195" s="117">
        <v>10625</v>
      </c>
      <c r="D195" s="117">
        <v>22575</v>
      </c>
      <c r="E195" s="117">
        <v>1</v>
      </c>
      <c r="F195" s="117">
        <v>22576</v>
      </c>
      <c r="G195" s="117">
        <v>3944</v>
      </c>
      <c r="H195" s="117">
        <v>26520</v>
      </c>
      <c r="I195" s="117">
        <v>-147</v>
      </c>
      <c r="J195" s="122"/>
      <c r="K195" s="107"/>
      <c r="L195" s="13"/>
      <c r="M195" s="69"/>
      <c r="N195" s="115"/>
      <c r="O195" s="121"/>
      <c r="P195" s="121"/>
      <c r="Q195" s="13"/>
      <c r="R195" s="4"/>
      <c r="S195" s="13"/>
      <c r="T195" s="121"/>
      <c r="U195" s="121"/>
      <c r="V195" s="13"/>
      <c r="W195" s="13"/>
      <c r="X195" s="13"/>
      <c r="Y195" s="13"/>
      <c r="Z195" s="13"/>
      <c r="AA195" s="13"/>
      <c r="AB195" s="13"/>
      <c r="AC195" s="13"/>
      <c r="AD195" s="13"/>
    </row>
    <row r="196" spans="1:30" s="12" customFormat="1" ht="12.75" customHeight="1" x14ac:dyDescent="0.25">
      <c r="A196" s="110">
        <v>42248</v>
      </c>
      <c r="B196" s="117">
        <v>11962</v>
      </c>
      <c r="C196" s="117">
        <v>6522</v>
      </c>
      <c r="D196" s="117">
        <v>18484</v>
      </c>
      <c r="E196" s="117">
        <v>-177</v>
      </c>
      <c r="F196" s="117">
        <v>18307</v>
      </c>
      <c r="G196" s="117">
        <v>5111</v>
      </c>
      <c r="H196" s="117">
        <v>23418</v>
      </c>
      <c r="I196" s="117">
        <v>-62</v>
      </c>
      <c r="J196" s="122"/>
      <c r="K196" s="107"/>
      <c r="L196" s="13"/>
      <c r="M196" s="69"/>
      <c r="N196" s="115"/>
      <c r="O196" s="121"/>
      <c r="P196" s="121"/>
      <c r="Q196" s="13"/>
      <c r="R196" s="4"/>
      <c r="S196" s="13"/>
      <c r="T196" s="121"/>
      <c r="U196" s="121"/>
      <c r="V196" s="13"/>
      <c r="W196" s="13"/>
      <c r="X196" s="13"/>
      <c r="Y196" s="13"/>
      <c r="Z196" s="13"/>
      <c r="AA196" s="13"/>
      <c r="AB196" s="13"/>
      <c r="AC196" s="13"/>
      <c r="AD196" s="13"/>
    </row>
    <row r="197" spans="1:30" s="12" customFormat="1" ht="12.75" customHeight="1" x14ac:dyDescent="0.25">
      <c r="A197" s="110">
        <v>42278</v>
      </c>
      <c r="B197" s="117">
        <v>10766</v>
      </c>
      <c r="C197" s="117">
        <v>6994</v>
      </c>
      <c r="D197" s="117">
        <v>17760</v>
      </c>
      <c r="E197" s="117">
        <v>356</v>
      </c>
      <c r="F197" s="117">
        <v>18116</v>
      </c>
      <c r="G197" s="117">
        <v>5083</v>
      </c>
      <c r="H197" s="117">
        <v>23199</v>
      </c>
      <c r="I197" s="117">
        <v>123</v>
      </c>
      <c r="J197" s="122"/>
      <c r="K197" s="107"/>
      <c r="L197" s="13"/>
      <c r="M197" s="69"/>
      <c r="N197" s="115"/>
      <c r="O197" s="121"/>
      <c r="P197" s="121"/>
      <c r="Q197" s="13"/>
      <c r="R197" s="4"/>
      <c r="S197" s="13"/>
      <c r="T197" s="121"/>
      <c r="U197" s="121"/>
      <c r="V197" s="13"/>
      <c r="W197" s="13"/>
      <c r="X197" s="13"/>
      <c r="Y197" s="13"/>
      <c r="Z197" s="13"/>
      <c r="AA197" s="13"/>
      <c r="AB197" s="13"/>
      <c r="AC197" s="13"/>
      <c r="AD197" s="13"/>
    </row>
    <row r="198" spans="1:30" s="12" customFormat="1" ht="12.75" customHeight="1" x14ac:dyDescent="0.25">
      <c r="A198" s="110">
        <v>42309</v>
      </c>
      <c r="B198" s="117">
        <v>11618</v>
      </c>
      <c r="C198" s="117">
        <v>6052</v>
      </c>
      <c r="D198" s="117">
        <v>17670</v>
      </c>
      <c r="E198" s="117">
        <v>1681</v>
      </c>
      <c r="F198" s="117">
        <v>19351</v>
      </c>
      <c r="G198" s="117">
        <v>5460</v>
      </c>
      <c r="H198" s="117">
        <v>24811</v>
      </c>
      <c r="I198" s="117">
        <v>81</v>
      </c>
      <c r="J198" s="122"/>
      <c r="K198" s="107"/>
      <c r="L198" s="13"/>
      <c r="M198" s="69"/>
      <c r="N198" s="115"/>
      <c r="O198" s="121"/>
      <c r="P198" s="121"/>
      <c r="Q198" s="13"/>
      <c r="R198" s="4"/>
      <c r="S198" s="13"/>
      <c r="T198" s="121"/>
      <c r="U198" s="121"/>
      <c r="V198" s="13"/>
      <c r="W198" s="13"/>
      <c r="X198" s="13"/>
      <c r="Y198" s="13"/>
      <c r="Z198" s="13"/>
      <c r="AA198" s="13"/>
      <c r="AB198" s="13"/>
      <c r="AC198" s="13"/>
      <c r="AD198" s="13"/>
    </row>
    <row r="199" spans="1:30" s="12" customFormat="1" ht="12.75" customHeight="1" x14ac:dyDescent="0.25">
      <c r="A199" s="110">
        <v>42339</v>
      </c>
      <c r="B199" s="117">
        <v>8529</v>
      </c>
      <c r="C199" s="117">
        <v>7621</v>
      </c>
      <c r="D199" s="117">
        <v>16150</v>
      </c>
      <c r="E199" s="117">
        <v>1902</v>
      </c>
      <c r="F199" s="117">
        <v>18052</v>
      </c>
      <c r="G199" s="117">
        <v>3417</v>
      </c>
      <c r="H199" s="117">
        <v>21469</v>
      </c>
      <c r="I199" s="117">
        <v>-54</v>
      </c>
      <c r="J199" s="122"/>
      <c r="K199" s="107"/>
      <c r="L199" s="13"/>
      <c r="M199" s="69"/>
      <c r="N199" s="115"/>
      <c r="O199" s="121"/>
      <c r="P199" s="121"/>
      <c r="Q199" s="13"/>
      <c r="R199" s="4"/>
      <c r="S199" s="13"/>
      <c r="T199" s="121"/>
      <c r="U199" s="121"/>
      <c r="V199" s="13"/>
      <c r="W199" s="13"/>
      <c r="X199" s="13"/>
      <c r="Y199" s="13"/>
      <c r="Z199" s="13"/>
      <c r="AA199" s="13"/>
      <c r="AB199" s="13"/>
      <c r="AC199" s="13"/>
      <c r="AD199" s="13"/>
    </row>
    <row r="200" spans="1:30" s="12" customFormat="1" ht="12.75" customHeight="1" x14ac:dyDescent="0.25">
      <c r="A200" s="110">
        <v>42370</v>
      </c>
      <c r="B200" s="117">
        <v>10108</v>
      </c>
      <c r="C200" s="117">
        <v>8388</v>
      </c>
      <c r="D200" s="117">
        <v>18496</v>
      </c>
      <c r="E200" s="117">
        <v>2856</v>
      </c>
      <c r="F200" s="117">
        <v>21352</v>
      </c>
      <c r="G200" s="117">
        <v>4532</v>
      </c>
      <c r="H200" s="117">
        <v>25884</v>
      </c>
      <c r="I200" s="117">
        <v>102</v>
      </c>
      <c r="J200" s="122"/>
      <c r="K200" s="107"/>
      <c r="L200" s="13"/>
      <c r="M200" s="69"/>
      <c r="N200" s="115"/>
      <c r="O200" s="121"/>
      <c r="P200" s="121"/>
      <c r="Q200" s="13"/>
      <c r="R200" s="4"/>
      <c r="S200" s="13"/>
      <c r="T200" s="121"/>
      <c r="U200" s="121"/>
      <c r="V200" s="13"/>
      <c r="W200" s="13"/>
      <c r="X200" s="13"/>
      <c r="Y200" s="13"/>
      <c r="Z200" s="13"/>
      <c r="AA200" s="13"/>
      <c r="AB200" s="13"/>
      <c r="AC200" s="13"/>
      <c r="AD200" s="13"/>
    </row>
    <row r="201" spans="1:30" s="12" customFormat="1" ht="12.75" customHeight="1" x14ac:dyDescent="0.25">
      <c r="A201" s="110">
        <v>42401</v>
      </c>
      <c r="B201" s="117">
        <v>8578</v>
      </c>
      <c r="C201" s="117">
        <v>8891</v>
      </c>
      <c r="D201" s="117">
        <v>17469</v>
      </c>
      <c r="E201" s="117">
        <v>2555</v>
      </c>
      <c r="F201" s="117">
        <v>20024</v>
      </c>
      <c r="G201" s="117">
        <v>5202</v>
      </c>
      <c r="H201" s="130">
        <v>25226</v>
      </c>
      <c r="I201" s="117">
        <v>101</v>
      </c>
      <c r="J201" s="122"/>
      <c r="K201" s="107"/>
      <c r="L201" s="13"/>
      <c r="M201" s="69"/>
      <c r="N201" s="115"/>
      <c r="O201" s="121"/>
      <c r="P201" s="121"/>
      <c r="Q201" s="13"/>
      <c r="R201" s="4"/>
      <c r="S201" s="13"/>
      <c r="T201" s="121"/>
      <c r="U201" s="121"/>
      <c r="V201" s="13"/>
      <c r="W201" s="13"/>
      <c r="X201" s="13"/>
      <c r="Y201" s="13"/>
      <c r="Z201" s="13"/>
      <c r="AA201" s="13"/>
      <c r="AB201" s="13"/>
      <c r="AC201" s="13"/>
      <c r="AD201" s="13"/>
    </row>
    <row r="202" spans="1:30" s="12" customFormat="1" ht="12.75" customHeight="1" x14ac:dyDescent="0.25">
      <c r="A202" s="110">
        <v>42430</v>
      </c>
      <c r="B202" s="117">
        <v>10041</v>
      </c>
      <c r="C202" s="117">
        <v>6754</v>
      </c>
      <c r="D202" s="117">
        <v>16795</v>
      </c>
      <c r="E202" s="117">
        <v>2744</v>
      </c>
      <c r="F202" s="117">
        <v>19539</v>
      </c>
      <c r="G202" s="117">
        <v>4719</v>
      </c>
      <c r="H202" s="130">
        <v>24258</v>
      </c>
      <c r="I202" s="117">
        <v>232</v>
      </c>
      <c r="J202" s="122"/>
      <c r="K202" s="107"/>
      <c r="L202" s="13"/>
      <c r="M202" s="69"/>
      <c r="N202" s="115"/>
      <c r="O202" s="121"/>
      <c r="P202" s="121"/>
      <c r="Q202" s="13"/>
      <c r="R202" s="4"/>
      <c r="S202" s="13"/>
      <c r="T202" s="121"/>
      <c r="U202" s="121"/>
      <c r="V202" s="13"/>
      <c r="W202" s="13"/>
      <c r="X202" s="13"/>
      <c r="Y202" s="13"/>
      <c r="Z202" s="13"/>
      <c r="AA202" s="13"/>
      <c r="AB202" s="13"/>
      <c r="AC202" s="13"/>
      <c r="AD202" s="13"/>
    </row>
    <row r="203" spans="1:30" s="12" customFormat="1" ht="12.75" customHeight="1" x14ac:dyDescent="0.25">
      <c r="A203" s="110">
        <v>42461</v>
      </c>
      <c r="B203" s="117">
        <v>9021</v>
      </c>
      <c r="C203" s="117">
        <v>9094</v>
      </c>
      <c r="D203" s="117">
        <v>18115</v>
      </c>
      <c r="E203" s="117">
        <v>2239</v>
      </c>
      <c r="F203" s="117">
        <v>20354</v>
      </c>
      <c r="G203" s="117">
        <v>5072</v>
      </c>
      <c r="H203" s="130">
        <v>25426</v>
      </c>
      <c r="I203" s="117">
        <v>201</v>
      </c>
      <c r="J203" s="122"/>
      <c r="K203" s="107"/>
      <c r="L203" s="13"/>
      <c r="M203" s="69"/>
      <c r="N203" s="115"/>
      <c r="O203" s="121"/>
      <c r="P203" s="121"/>
      <c r="Q203" s="13"/>
      <c r="R203" s="4"/>
      <c r="S203" s="13"/>
      <c r="T203" s="121"/>
      <c r="U203" s="121"/>
      <c r="V203" s="13"/>
      <c r="W203" s="13"/>
      <c r="X203" s="13"/>
      <c r="Y203" s="13"/>
      <c r="Z203" s="13"/>
      <c r="AA203" s="13"/>
      <c r="AB203" s="13"/>
      <c r="AC203" s="13"/>
      <c r="AD203" s="13"/>
    </row>
    <row r="204" spans="1:30" s="12" customFormat="1" ht="12.75" customHeight="1" x14ac:dyDescent="0.25">
      <c r="A204" s="110">
        <v>42491</v>
      </c>
      <c r="B204" s="117">
        <v>11699</v>
      </c>
      <c r="C204" s="117">
        <v>8722</v>
      </c>
      <c r="D204" s="117">
        <v>20421</v>
      </c>
      <c r="E204" s="117">
        <v>2650</v>
      </c>
      <c r="F204" s="117">
        <v>23071</v>
      </c>
      <c r="G204" s="117">
        <v>5486</v>
      </c>
      <c r="H204" s="130">
        <v>28557</v>
      </c>
      <c r="I204" s="117">
        <v>152</v>
      </c>
      <c r="J204" s="122"/>
      <c r="K204" s="107"/>
      <c r="L204" s="13"/>
      <c r="M204" s="69"/>
      <c r="N204" s="115"/>
      <c r="O204" s="121"/>
      <c r="P204" s="121"/>
      <c r="Q204" s="13"/>
      <c r="R204" s="4"/>
      <c r="S204" s="13"/>
      <c r="T204" s="121"/>
      <c r="U204" s="121"/>
      <c r="V204" s="13"/>
      <c r="W204" s="13"/>
      <c r="X204" s="13"/>
      <c r="Y204" s="13"/>
      <c r="Z204" s="13"/>
      <c r="AA204" s="13"/>
      <c r="AB204" s="13"/>
      <c r="AC204" s="13"/>
      <c r="AD204" s="13"/>
    </row>
    <row r="205" spans="1:30" s="12" customFormat="1" ht="12.75" customHeight="1" x14ac:dyDescent="0.25">
      <c r="A205" s="110">
        <v>42522</v>
      </c>
      <c r="B205" s="117">
        <v>10176</v>
      </c>
      <c r="C205" s="117">
        <v>7706</v>
      </c>
      <c r="D205" s="117">
        <v>17882</v>
      </c>
      <c r="E205" s="117">
        <v>1976</v>
      </c>
      <c r="F205" s="117">
        <v>19858</v>
      </c>
      <c r="G205" s="117">
        <v>5303</v>
      </c>
      <c r="H205" s="117">
        <v>25161</v>
      </c>
      <c r="I205" s="117">
        <v>528</v>
      </c>
      <c r="J205" s="122"/>
      <c r="K205" s="107"/>
      <c r="L205" s="13"/>
      <c r="M205" s="69"/>
      <c r="N205" s="115"/>
      <c r="O205" s="121"/>
      <c r="P205" s="121"/>
      <c r="Q205" s="13"/>
      <c r="R205" s="4"/>
      <c r="S205" s="13"/>
      <c r="T205" s="121"/>
      <c r="U205" s="121"/>
      <c r="V205" s="13"/>
      <c r="W205" s="13"/>
      <c r="X205" s="13"/>
      <c r="Y205" s="13"/>
      <c r="Z205" s="13"/>
      <c r="AA205" s="13"/>
      <c r="AB205" s="13"/>
      <c r="AC205" s="13"/>
      <c r="AD205" s="13"/>
    </row>
    <row r="206" spans="1:30" s="12" customFormat="1" ht="12.75" customHeight="1" x14ac:dyDescent="0.25">
      <c r="A206" s="110">
        <v>42552</v>
      </c>
      <c r="B206" s="117">
        <v>7570</v>
      </c>
      <c r="C206" s="117">
        <v>9423</v>
      </c>
      <c r="D206" s="117">
        <v>16993</v>
      </c>
      <c r="E206" s="117">
        <v>1016</v>
      </c>
      <c r="F206" s="117">
        <v>18009</v>
      </c>
      <c r="G206" s="117">
        <v>5308</v>
      </c>
      <c r="H206" s="117">
        <v>23317</v>
      </c>
      <c r="I206" s="117">
        <v>458</v>
      </c>
      <c r="J206" s="122"/>
      <c r="K206" s="107"/>
      <c r="L206" s="13"/>
      <c r="M206" s="69"/>
      <c r="N206" s="115"/>
      <c r="O206" s="121"/>
      <c r="P206" s="121"/>
      <c r="Q206" s="13"/>
      <c r="R206" s="4"/>
      <c r="S206" s="13"/>
      <c r="T206" s="121"/>
      <c r="U206" s="121"/>
      <c r="V206" s="13"/>
      <c r="W206" s="13"/>
      <c r="X206" s="13"/>
      <c r="Y206" s="13"/>
      <c r="Z206" s="13"/>
      <c r="AA206" s="13"/>
      <c r="AB206" s="13"/>
      <c r="AC206" s="13"/>
      <c r="AD206" s="13"/>
    </row>
    <row r="207" spans="1:30" s="12" customFormat="1" ht="12.75" customHeight="1" x14ac:dyDescent="0.25">
      <c r="A207" s="110">
        <v>42583</v>
      </c>
      <c r="B207" s="117">
        <v>10020</v>
      </c>
      <c r="C207" s="117">
        <v>5891</v>
      </c>
      <c r="D207" s="117">
        <v>15911</v>
      </c>
      <c r="E207" s="117">
        <v>3952</v>
      </c>
      <c r="F207" s="117">
        <v>19863</v>
      </c>
      <c r="G207" s="117">
        <v>4991</v>
      </c>
      <c r="H207" s="117">
        <v>24854</v>
      </c>
      <c r="I207" s="117">
        <v>463</v>
      </c>
      <c r="J207" s="122"/>
      <c r="K207" s="107"/>
      <c r="L207" s="13"/>
      <c r="M207" s="69"/>
      <c r="N207" s="115"/>
      <c r="O207" s="121"/>
      <c r="P207" s="121"/>
      <c r="Q207" s="13"/>
      <c r="R207" s="4"/>
      <c r="S207" s="13"/>
      <c r="T207" s="121"/>
      <c r="U207" s="121"/>
      <c r="V207" s="13"/>
      <c r="W207" s="13"/>
      <c r="X207" s="13"/>
      <c r="Y207" s="13"/>
      <c r="Z207" s="13"/>
      <c r="AA207" s="13"/>
      <c r="AB207" s="13"/>
      <c r="AC207" s="13"/>
      <c r="AD207" s="13"/>
    </row>
    <row r="208" spans="1:30" s="12" customFormat="1" ht="12.75" customHeight="1" x14ac:dyDescent="0.25">
      <c r="A208" s="110">
        <v>42614</v>
      </c>
      <c r="B208" s="117">
        <v>9155</v>
      </c>
      <c r="C208" s="117">
        <v>6912</v>
      </c>
      <c r="D208" s="117">
        <v>16067</v>
      </c>
      <c r="E208" s="117">
        <v>3227</v>
      </c>
      <c r="F208" s="117">
        <v>19294</v>
      </c>
      <c r="G208" s="117">
        <v>5169</v>
      </c>
      <c r="H208" s="117">
        <v>24463</v>
      </c>
      <c r="I208" s="117">
        <v>463</v>
      </c>
      <c r="J208" s="122"/>
      <c r="K208" s="107"/>
      <c r="L208" s="13"/>
      <c r="M208" s="69"/>
      <c r="N208" s="115"/>
      <c r="O208" s="121"/>
      <c r="P208" s="121"/>
      <c r="Q208" s="13"/>
      <c r="R208" s="4"/>
      <c r="S208" s="13"/>
      <c r="T208" s="121"/>
      <c r="U208" s="121"/>
      <c r="V208" s="13"/>
      <c r="W208" s="13"/>
      <c r="X208" s="13"/>
      <c r="Y208" s="13"/>
      <c r="Z208" s="13"/>
      <c r="AA208" s="13"/>
      <c r="AB208" s="13"/>
      <c r="AC208" s="13"/>
      <c r="AD208" s="13"/>
    </row>
    <row r="209" spans="1:30" s="12" customFormat="1" ht="12.75" customHeight="1" x14ac:dyDescent="0.25">
      <c r="A209" s="110">
        <v>42644</v>
      </c>
      <c r="B209" s="117">
        <v>9163</v>
      </c>
      <c r="C209" s="117">
        <v>8144</v>
      </c>
      <c r="D209" s="117">
        <v>17307</v>
      </c>
      <c r="E209" s="117">
        <v>2292</v>
      </c>
      <c r="F209" s="117">
        <v>19599</v>
      </c>
      <c r="G209" s="117">
        <v>4998</v>
      </c>
      <c r="H209" s="117">
        <v>24597</v>
      </c>
      <c r="I209" s="117">
        <v>393</v>
      </c>
      <c r="J209" s="122"/>
      <c r="K209" s="107"/>
      <c r="L209" s="13"/>
      <c r="M209" s="69"/>
      <c r="N209" s="115"/>
      <c r="O209" s="121"/>
      <c r="P209" s="121"/>
      <c r="Q209" s="13"/>
      <c r="R209" s="4"/>
      <c r="S209" s="13"/>
      <c r="T209" s="121"/>
      <c r="U209" s="121"/>
      <c r="V209" s="13"/>
      <c r="W209" s="13"/>
      <c r="X209" s="13"/>
      <c r="Y209" s="13"/>
      <c r="Z209" s="13"/>
      <c r="AA209" s="13"/>
      <c r="AB209" s="13"/>
      <c r="AC209" s="13"/>
      <c r="AD209" s="13"/>
    </row>
    <row r="210" spans="1:30" s="12" customFormat="1" ht="12.75" customHeight="1" x14ac:dyDescent="0.25">
      <c r="A210" s="110">
        <v>42675</v>
      </c>
      <c r="B210" s="117">
        <v>8212</v>
      </c>
      <c r="C210" s="117">
        <v>9191</v>
      </c>
      <c r="D210" s="117">
        <v>17403</v>
      </c>
      <c r="E210" s="117">
        <v>1560</v>
      </c>
      <c r="F210" s="117">
        <v>18963</v>
      </c>
      <c r="G210" s="117">
        <v>4622</v>
      </c>
      <c r="H210" s="117">
        <v>23585</v>
      </c>
      <c r="I210" s="117">
        <v>284</v>
      </c>
      <c r="J210" s="122"/>
      <c r="K210" s="107"/>
      <c r="L210" s="13"/>
      <c r="M210" s="69"/>
      <c r="N210" s="115"/>
      <c r="O210" s="121"/>
      <c r="P210" s="121"/>
      <c r="Q210" s="13"/>
      <c r="R210" s="4"/>
      <c r="S210" s="13"/>
      <c r="T210" s="121"/>
      <c r="U210" s="121"/>
      <c r="V210" s="13"/>
      <c r="W210" s="13"/>
      <c r="X210" s="13"/>
      <c r="Y210" s="13"/>
      <c r="Z210" s="13"/>
      <c r="AA210" s="13"/>
      <c r="AB210" s="13"/>
      <c r="AC210" s="13"/>
      <c r="AD210" s="13"/>
    </row>
    <row r="211" spans="1:30" s="12" customFormat="1" ht="12.75" customHeight="1" x14ac:dyDescent="0.25">
      <c r="A211" s="110">
        <v>42705</v>
      </c>
      <c r="B211" s="117">
        <v>8463</v>
      </c>
      <c r="C211" s="117">
        <v>11274</v>
      </c>
      <c r="D211" s="117">
        <v>19737</v>
      </c>
      <c r="E211" s="117">
        <v>1814</v>
      </c>
      <c r="F211" s="117">
        <v>21551</v>
      </c>
      <c r="G211" s="117">
        <v>4006</v>
      </c>
      <c r="H211" s="117">
        <v>25557</v>
      </c>
      <c r="I211" s="117">
        <v>94</v>
      </c>
      <c r="J211" s="122"/>
      <c r="K211" s="107"/>
      <c r="L211" s="13"/>
      <c r="M211" s="69"/>
      <c r="N211" s="115"/>
      <c r="O211" s="121"/>
      <c r="P211" s="121"/>
      <c r="Q211" s="13"/>
      <c r="R211" s="4"/>
      <c r="S211" s="13"/>
      <c r="T211" s="121"/>
      <c r="U211" s="121"/>
      <c r="V211" s="13"/>
      <c r="W211" s="13"/>
      <c r="X211" s="13"/>
      <c r="Y211" s="13"/>
      <c r="Z211" s="13"/>
      <c r="AA211" s="13"/>
      <c r="AB211" s="13"/>
      <c r="AC211" s="13"/>
      <c r="AD211" s="13"/>
    </row>
    <row r="212" spans="1:30" s="12" customFormat="1" ht="12.75" customHeight="1" x14ac:dyDescent="0.25">
      <c r="A212" s="110">
        <v>42736</v>
      </c>
      <c r="B212" s="117">
        <v>7801</v>
      </c>
      <c r="C212" s="117">
        <v>11066</v>
      </c>
      <c r="D212" s="117">
        <v>18867</v>
      </c>
      <c r="E212" s="117">
        <v>2130</v>
      </c>
      <c r="F212" s="117">
        <v>20997</v>
      </c>
      <c r="G212" s="117">
        <v>4671</v>
      </c>
      <c r="H212" s="117">
        <v>25668</v>
      </c>
      <c r="I212" s="117">
        <v>319</v>
      </c>
      <c r="J212" s="122"/>
      <c r="K212" s="107"/>
      <c r="L212" s="13"/>
      <c r="M212" s="69"/>
      <c r="N212" s="115"/>
      <c r="O212" s="121"/>
      <c r="P212" s="121"/>
      <c r="Q212" s="13"/>
      <c r="R212" s="4"/>
      <c r="S212" s="13"/>
      <c r="T212" s="121"/>
      <c r="U212" s="121"/>
      <c r="V212" s="13"/>
      <c r="W212" s="13"/>
      <c r="X212" s="13"/>
      <c r="Y212" s="13"/>
      <c r="Z212" s="13"/>
      <c r="AA212" s="13"/>
      <c r="AB212" s="13"/>
      <c r="AC212" s="13"/>
      <c r="AD212" s="13"/>
    </row>
    <row r="213" spans="1:30" s="12" customFormat="1" ht="12.75" customHeight="1" x14ac:dyDescent="0.25">
      <c r="A213" s="110">
        <v>42767</v>
      </c>
      <c r="B213" s="117">
        <v>7622</v>
      </c>
      <c r="C213" s="117">
        <v>12382</v>
      </c>
      <c r="D213" s="117">
        <v>20004</v>
      </c>
      <c r="E213" s="117">
        <v>774</v>
      </c>
      <c r="F213" s="117">
        <v>20778</v>
      </c>
      <c r="G213" s="117">
        <v>4888</v>
      </c>
      <c r="H213" s="117">
        <v>25666</v>
      </c>
      <c r="I213" s="117">
        <v>190</v>
      </c>
      <c r="J213" s="122"/>
      <c r="K213" s="107"/>
      <c r="L213" s="13"/>
      <c r="M213" s="69"/>
      <c r="N213" s="115"/>
      <c r="O213" s="121"/>
      <c r="P213" s="121"/>
      <c r="Q213" s="13"/>
      <c r="R213" s="4"/>
      <c r="S213" s="13"/>
      <c r="T213" s="121"/>
      <c r="U213" s="121"/>
      <c r="V213" s="13"/>
      <c r="W213" s="13"/>
      <c r="X213" s="13"/>
      <c r="Y213" s="13"/>
      <c r="Z213" s="13"/>
      <c r="AA213" s="13"/>
      <c r="AB213" s="13"/>
      <c r="AC213" s="13"/>
      <c r="AD213" s="13"/>
    </row>
    <row r="214" spans="1:30" s="12" customFormat="1" ht="12.75" customHeight="1" x14ac:dyDescent="0.25">
      <c r="A214" s="110">
        <v>42795</v>
      </c>
      <c r="B214" s="117">
        <v>8178</v>
      </c>
      <c r="C214" s="117">
        <v>12312</v>
      </c>
      <c r="D214" s="117">
        <v>20490</v>
      </c>
      <c r="E214" s="117">
        <v>500</v>
      </c>
      <c r="F214" s="117">
        <v>20990</v>
      </c>
      <c r="G214" s="117">
        <v>5560</v>
      </c>
      <c r="H214" s="117">
        <v>26550</v>
      </c>
      <c r="I214" s="117">
        <v>91</v>
      </c>
      <c r="J214" s="122"/>
      <c r="K214" s="107"/>
      <c r="L214" s="13"/>
      <c r="M214" s="69"/>
      <c r="N214" s="115"/>
      <c r="O214" s="121"/>
      <c r="P214" s="121"/>
      <c r="Q214" s="13"/>
      <c r="R214" s="4"/>
      <c r="S214" s="13"/>
      <c r="T214" s="121"/>
      <c r="U214" s="121"/>
      <c r="V214" s="13"/>
      <c r="W214" s="13"/>
      <c r="X214" s="13"/>
      <c r="Y214" s="13"/>
      <c r="Z214" s="13"/>
      <c r="AA214" s="13"/>
      <c r="AB214" s="13"/>
      <c r="AC214" s="13"/>
      <c r="AD214" s="13"/>
    </row>
    <row r="215" spans="1:30" s="12" customFormat="1" ht="12.75" customHeight="1" x14ac:dyDescent="0.25">
      <c r="A215" s="110">
        <v>42826</v>
      </c>
      <c r="B215" s="117">
        <v>8645</v>
      </c>
      <c r="C215" s="117">
        <v>11659</v>
      </c>
      <c r="D215" s="117">
        <v>20304</v>
      </c>
      <c r="E215" s="117">
        <v>302</v>
      </c>
      <c r="F215" s="117">
        <v>20606</v>
      </c>
      <c r="G215" s="117">
        <v>6145</v>
      </c>
      <c r="H215" s="117">
        <v>26751</v>
      </c>
      <c r="I215" s="117">
        <v>31</v>
      </c>
      <c r="J215" s="122"/>
      <c r="K215" s="107"/>
      <c r="L215" s="13"/>
      <c r="M215" s="69"/>
      <c r="N215" s="115"/>
      <c r="O215" s="121"/>
      <c r="P215" s="121"/>
      <c r="Q215" s="13"/>
      <c r="R215" s="4"/>
      <c r="S215" s="13"/>
      <c r="T215" s="121"/>
      <c r="U215" s="121"/>
      <c r="V215" s="13"/>
      <c r="W215" s="13"/>
      <c r="X215" s="13"/>
      <c r="Y215" s="13"/>
      <c r="Z215" s="13"/>
      <c r="AA215" s="13"/>
      <c r="AB215" s="13"/>
      <c r="AC215" s="13"/>
      <c r="AD215" s="13"/>
    </row>
    <row r="216" spans="1:30" s="12" customFormat="1" ht="12.75" customHeight="1" x14ac:dyDescent="0.25">
      <c r="A216" s="110">
        <v>42856</v>
      </c>
      <c r="B216" s="117">
        <v>9183</v>
      </c>
      <c r="C216" s="117">
        <v>10884</v>
      </c>
      <c r="D216" s="117">
        <v>20067</v>
      </c>
      <c r="E216" s="117">
        <v>277</v>
      </c>
      <c r="F216" s="117">
        <v>20344</v>
      </c>
      <c r="G216" s="117">
        <v>6370</v>
      </c>
      <c r="H216" s="117">
        <v>26714</v>
      </c>
      <c r="I216" s="117">
        <v>221</v>
      </c>
      <c r="J216" s="122"/>
      <c r="K216" s="107"/>
      <c r="L216" s="133"/>
      <c r="M216" s="69"/>
      <c r="N216" s="115"/>
      <c r="O216" s="121"/>
      <c r="P216" s="121"/>
      <c r="Q216" s="13"/>
      <c r="R216" s="4"/>
      <c r="S216" s="13"/>
      <c r="T216" s="121"/>
      <c r="U216" s="121"/>
      <c r="V216" s="13"/>
      <c r="W216" s="13"/>
      <c r="X216" s="13"/>
      <c r="Y216" s="13"/>
      <c r="Z216" s="13"/>
      <c r="AA216" s="13"/>
      <c r="AB216" s="13"/>
      <c r="AC216" s="13"/>
      <c r="AD216" s="13"/>
    </row>
    <row r="217" spans="1:30" s="12" customFormat="1" ht="12.75" customHeight="1" x14ac:dyDescent="0.25">
      <c r="A217" s="110">
        <v>42887</v>
      </c>
      <c r="B217" s="117">
        <v>9184</v>
      </c>
      <c r="C217" s="117">
        <v>11302</v>
      </c>
      <c r="D217" s="117">
        <v>20486</v>
      </c>
      <c r="E217" s="117">
        <v>582</v>
      </c>
      <c r="F217" s="117">
        <v>21068</v>
      </c>
      <c r="G217" s="117">
        <v>6419</v>
      </c>
      <c r="H217" s="117">
        <v>27487</v>
      </c>
      <c r="I217" s="117">
        <v>384</v>
      </c>
      <c r="J217" s="122"/>
      <c r="K217" s="107"/>
      <c r="L217" s="133"/>
      <c r="M217" s="69"/>
      <c r="N217" s="115"/>
      <c r="O217" s="121"/>
      <c r="P217" s="121"/>
      <c r="Q217" s="13"/>
      <c r="R217" s="4"/>
      <c r="S217" s="13"/>
      <c r="T217" s="121"/>
      <c r="U217" s="121"/>
      <c r="V217" s="13"/>
      <c r="W217" s="13"/>
      <c r="X217" s="13"/>
      <c r="Y217" s="13"/>
      <c r="Z217" s="13"/>
      <c r="AA217" s="13"/>
      <c r="AB217" s="13"/>
      <c r="AC217" s="13"/>
      <c r="AD217" s="13"/>
    </row>
    <row r="218" spans="1:30" s="14" customFormat="1" ht="12.75" customHeight="1" x14ac:dyDescent="0.25">
      <c r="A218" s="110">
        <v>42917</v>
      </c>
      <c r="B218" s="117">
        <v>7928</v>
      </c>
      <c r="C218" s="117">
        <v>9689</v>
      </c>
      <c r="D218" s="117">
        <v>17617</v>
      </c>
      <c r="E218" s="117">
        <v>607</v>
      </c>
      <c r="F218" s="117">
        <v>18224</v>
      </c>
      <c r="G218" s="117">
        <v>6463</v>
      </c>
      <c r="H218" s="117">
        <v>24687</v>
      </c>
      <c r="I218" s="117">
        <v>449</v>
      </c>
      <c r="J218" s="122"/>
      <c r="K218" s="20"/>
      <c r="L218" s="133"/>
      <c r="M218" s="69"/>
      <c r="N218" s="115"/>
      <c r="O218" s="121"/>
      <c r="P218" s="121"/>
      <c r="Q218" s="1"/>
      <c r="R218" s="4"/>
      <c r="S218" s="1"/>
      <c r="T218" s="121"/>
      <c r="U218" s="121"/>
      <c r="V218" s="1"/>
      <c r="W218" s="1"/>
      <c r="X218" s="1"/>
      <c r="Y218" s="1"/>
      <c r="Z218" s="1"/>
      <c r="AA218" s="1"/>
      <c r="AB218" s="1"/>
      <c r="AC218" s="1"/>
      <c r="AD218" s="1"/>
    </row>
    <row r="219" spans="1:30" s="14" customFormat="1" ht="12.75" customHeight="1" x14ac:dyDescent="0.25">
      <c r="A219" s="110">
        <v>42948</v>
      </c>
      <c r="B219" s="117">
        <v>10601</v>
      </c>
      <c r="C219" s="117">
        <v>9564</v>
      </c>
      <c r="D219" s="117">
        <v>20165</v>
      </c>
      <c r="E219" s="117">
        <v>542</v>
      </c>
      <c r="F219" s="117">
        <v>20707</v>
      </c>
      <c r="G219" s="117">
        <v>7076</v>
      </c>
      <c r="H219" s="117">
        <v>27783</v>
      </c>
      <c r="I219" s="117">
        <v>164</v>
      </c>
      <c r="J219" s="122"/>
      <c r="K219" s="20"/>
      <c r="L219" s="133"/>
      <c r="M219" s="69"/>
      <c r="N219" s="115"/>
      <c r="O219" s="121"/>
      <c r="P219" s="121"/>
      <c r="Q219" s="1"/>
      <c r="R219" s="4"/>
      <c r="S219" s="1"/>
      <c r="T219" s="121"/>
      <c r="U219" s="121"/>
      <c r="V219" s="1"/>
      <c r="W219" s="1"/>
      <c r="X219" s="1"/>
      <c r="Y219" s="1"/>
      <c r="Z219" s="1"/>
      <c r="AA219" s="1"/>
      <c r="AB219" s="1"/>
      <c r="AC219" s="1"/>
      <c r="AD219" s="1"/>
    </row>
    <row r="220" spans="1:30" s="14" customFormat="1" ht="12.75" customHeight="1" x14ac:dyDescent="0.25">
      <c r="A220" s="110">
        <v>42979</v>
      </c>
      <c r="B220" s="117">
        <v>9421</v>
      </c>
      <c r="C220" s="117">
        <v>10440</v>
      </c>
      <c r="D220" s="117">
        <v>19861</v>
      </c>
      <c r="E220" s="117">
        <v>1270</v>
      </c>
      <c r="F220" s="117">
        <v>21131</v>
      </c>
      <c r="G220" s="117">
        <v>8318</v>
      </c>
      <c r="H220" s="117">
        <v>29449</v>
      </c>
      <c r="I220" s="117">
        <v>152</v>
      </c>
      <c r="J220" s="122"/>
      <c r="K220" s="20"/>
      <c r="L220" s="133"/>
      <c r="M220" s="69"/>
      <c r="N220" s="115"/>
      <c r="O220" s="121"/>
      <c r="P220" s="121"/>
      <c r="Q220" s="1"/>
      <c r="R220" s="4"/>
      <c r="S220" s="1"/>
      <c r="T220" s="121"/>
      <c r="U220" s="121"/>
      <c r="V220" s="1"/>
      <c r="W220" s="1"/>
      <c r="X220" s="1"/>
      <c r="Y220" s="1"/>
      <c r="Z220" s="1"/>
      <c r="AA220" s="1"/>
      <c r="AB220" s="1"/>
      <c r="AC220" s="1"/>
      <c r="AD220" s="1"/>
    </row>
    <row r="221" spans="1:30" s="14" customFormat="1" ht="12.75" customHeight="1" x14ac:dyDescent="0.25">
      <c r="A221" s="110">
        <v>43009</v>
      </c>
      <c r="B221" s="117">
        <v>9636</v>
      </c>
      <c r="C221" s="117">
        <v>15851</v>
      </c>
      <c r="D221" s="117">
        <v>25487</v>
      </c>
      <c r="E221" s="117">
        <v>324</v>
      </c>
      <c r="F221" s="117">
        <v>25811</v>
      </c>
      <c r="G221" s="117">
        <v>6974</v>
      </c>
      <c r="H221" s="117">
        <v>32785</v>
      </c>
      <c r="I221" s="117">
        <v>192</v>
      </c>
      <c r="J221" s="122"/>
      <c r="K221" s="20"/>
      <c r="L221" s="133"/>
      <c r="M221" s="69"/>
      <c r="N221" s="115"/>
      <c r="O221" s="121"/>
      <c r="P221" s="121"/>
      <c r="Q221" s="1"/>
      <c r="R221" s="4"/>
      <c r="S221" s="1"/>
      <c r="T221" s="121"/>
      <c r="U221" s="121"/>
      <c r="V221" s="1"/>
      <c r="W221" s="1"/>
      <c r="X221" s="1"/>
      <c r="Y221" s="1"/>
      <c r="Z221" s="1"/>
      <c r="AA221" s="1"/>
      <c r="AB221" s="1"/>
      <c r="AC221" s="1"/>
      <c r="AD221" s="1"/>
    </row>
    <row r="222" spans="1:30" s="14" customFormat="1" ht="12.75" customHeight="1" x14ac:dyDescent="0.25">
      <c r="A222" s="110">
        <v>43040</v>
      </c>
      <c r="B222" s="117">
        <v>8771</v>
      </c>
      <c r="C222" s="117">
        <v>15713</v>
      </c>
      <c r="D222" s="117">
        <v>24484</v>
      </c>
      <c r="E222" s="117">
        <v>744</v>
      </c>
      <c r="F222" s="117">
        <v>25228</v>
      </c>
      <c r="G222" s="117">
        <v>7286</v>
      </c>
      <c r="H222" s="117">
        <v>32514</v>
      </c>
      <c r="I222" s="117">
        <v>-29</v>
      </c>
      <c r="J222" s="122"/>
      <c r="K222" s="20"/>
      <c r="L222" s="133"/>
      <c r="M222" s="69"/>
      <c r="N222" s="115"/>
      <c r="O222" s="121"/>
      <c r="P222" s="121"/>
      <c r="Q222" s="1"/>
      <c r="R222" s="4"/>
      <c r="S222" s="1"/>
      <c r="T222" s="121"/>
      <c r="U222" s="121"/>
      <c r="V222" s="1"/>
      <c r="W222" s="1"/>
      <c r="X222" s="1"/>
      <c r="Y222" s="1"/>
      <c r="Z222" s="1"/>
      <c r="AA222" s="1"/>
      <c r="AB222" s="1"/>
      <c r="AC222" s="1"/>
      <c r="AD222" s="1"/>
    </row>
    <row r="223" spans="1:30" s="14" customFormat="1" ht="12.75" customHeight="1" x14ac:dyDescent="0.25">
      <c r="A223" s="110">
        <v>43070</v>
      </c>
      <c r="B223" s="117">
        <v>8398</v>
      </c>
      <c r="C223" s="117">
        <v>15522</v>
      </c>
      <c r="D223" s="117">
        <v>23920</v>
      </c>
      <c r="E223" s="117">
        <v>832</v>
      </c>
      <c r="F223" s="117">
        <v>24752</v>
      </c>
      <c r="G223" s="117">
        <v>4391</v>
      </c>
      <c r="H223" s="117">
        <v>29143</v>
      </c>
      <c r="I223" s="117">
        <v>68</v>
      </c>
      <c r="J223" s="122"/>
      <c r="K223" s="20"/>
      <c r="L223" s="133"/>
      <c r="M223" s="69"/>
      <c r="N223" s="115"/>
      <c r="O223" s="121"/>
      <c r="P223" s="121"/>
      <c r="Q223" s="1"/>
      <c r="R223" s="4"/>
      <c r="S223" s="1"/>
      <c r="T223" s="121"/>
      <c r="U223" s="121"/>
      <c r="V223" s="1"/>
      <c r="W223" s="1"/>
      <c r="X223" s="1"/>
      <c r="Y223" s="1"/>
      <c r="Z223" s="1"/>
      <c r="AA223" s="1"/>
      <c r="AB223" s="1"/>
      <c r="AC223" s="1"/>
      <c r="AD223" s="1"/>
    </row>
    <row r="224" spans="1:30" s="14" customFormat="1" ht="12.75" customHeight="1" x14ac:dyDescent="0.25">
      <c r="A224" s="110">
        <v>43101</v>
      </c>
      <c r="B224" s="117">
        <v>10817</v>
      </c>
      <c r="C224" s="117">
        <v>12145</v>
      </c>
      <c r="D224" s="117">
        <v>22962</v>
      </c>
      <c r="E224" s="117">
        <v>1999</v>
      </c>
      <c r="F224" s="117">
        <v>24961</v>
      </c>
      <c r="G224" s="117">
        <v>4298</v>
      </c>
      <c r="H224" s="117">
        <v>29259</v>
      </c>
      <c r="I224" s="117">
        <v>249</v>
      </c>
      <c r="J224" s="122"/>
      <c r="K224" s="20"/>
      <c r="L224" s="133"/>
      <c r="M224" s="69"/>
      <c r="N224" s="115"/>
      <c r="O224" s="121"/>
      <c r="P224" s="121"/>
      <c r="Q224" s="1"/>
      <c r="R224" s="4"/>
      <c r="S224" s="1"/>
      <c r="T224" s="121"/>
      <c r="U224" s="121"/>
      <c r="V224" s="1"/>
      <c r="W224" s="1"/>
      <c r="X224" s="1"/>
      <c r="Y224" s="1"/>
      <c r="Z224" s="1"/>
      <c r="AA224" s="1"/>
      <c r="AB224" s="1"/>
      <c r="AC224" s="1"/>
      <c r="AD224" s="1"/>
    </row>
    <row r="225" spans="1:30" s="14" customFormat="1" ht="12.75" customHeight="1" x14ac:dyDescent="0.25">
      <c r="A225" s="110">
        <v>43132</v>
      </c>
      <c r="B225" s="117">
        <v>11110</v>
      </c>
      <c r="C225" s="117">
        <v>11950</v>
      </c>
      <c r="D225" s="117">
        <v>23060</v>
      </c>
      <c r="E225" s="117">
        <v>1235</v>
      </c>
      <c r="F225" s="117">
        <v>24295</v>
      </c>
      <c r="G225" s="117">
        <v>4355</v>
      </c>
      <c r="H225" s="117">
        <v>28650</v>
      </c>
      <c r="I225" s="117">
        <v>107</v>
      </c>
      <c r="J225" s="122"/>
      <c r="K225" s="20"/>
      <c r="L225" s="133"/>
      <c r="M225" s="69"/>
      <c r="N225" s="115"/>
      <c r="O225" s="121"/>
      <c r="P225" s="121"/>
      <c r="Q225" s="1"/>
      <c r="R225" s="4"/>
      <c r="S225" s="1"/>
      <c r="T225" s="121"/>
      <c r="U225" s="121"/>
      <c r="V225" s="1"/>
      <c r="W225" s="1"/>
      <c r="X225" s="1"/>
      <c r="Y225" s="1"/>
      <c r="Z225" s="1"/>
      <c r="AA225" s="1"/>
      <c r="AB225" s="1"/>
      <c r="AC225" s="1"/>
      <c r="AD225" s="1"/>
    </row>
    <row r="226" spans="1:30" s="14" customFormat="1" ht="12.75" customHeight="1" x14ac:dyDescent="0.25">
      <c r="A226" s="110">
        <v>43160</v>
      </c>
      <c r="B226" s="117">
        <v>10739</v>
      </c>
      <c r="C226" s="117">
        <v>12784</v>
      </c>
      <c r="D226" s="117">
        <v>23523</v>
      </c>
      <c r="E226" s="117">
        <v>845</v>
      </c>
      <c r="F226" s="117">
        <v>24368</v>
      </c>
      <c r="G226" s="117">
        <v>5769</v>
      </c>
      <c r="H226" s="117">
        <v>30137</v>
      </c>
      <c r="I226" s="117">
        <v>79</v>
      </c>
      <c r="J226" s="122"/>
      <c r="K226" s="20"/>
      <c r="L226" s="133"/>
      <c r="M226" s="69"/>
      <c r="N226" s="115"/>
      <c r="O226" s="121"/>
      <c r="P226" s="121"/>
      <c r="Q226" s="1"/>
      <c r="R226" s="4"/>
      <c r="S226" s="1"/>
      <c r="T226" s="121"/>
      <c r="U226" s="121"/>
      <c r="V226" s="1"/>
      <c r="W226" s="1"/>
      <c r="X226" s="1"/>
      <c r="Y226" s="1"/>
      <c r="Z226" s="1"/>
      <c r="AA226" s="1"/>
      <c r="AB226" s="1"/>
      <c r="AC226" s="1"/>
      <c r="AD226" s="1"/>
    </row>
    <row r="227" spans="1:30" s="14" customFormat="1" ht="12.75" customHeight="1" x14ac:dyDescent="0.25">
      <c r="A227" s="110">
        <v>43191</v>
      </c>
      <c r="B227" s="117">
        <v>10380</v>
      </c>
      <c r="C227" s="117">
        <v>12435</v>
      </c>
      <c r="D227" s="117">
        <v>22815</v>
      </c>
      <c r="E227" s="117">
        <v>155</v>
      </c>
      <c r="F227" s="117">
        <v>22970</v>
      </c>
      <c r="G227" s="117">
        <v>6182</v>
      </c>
      <c r="H227" s="117">
        <v>29152</v>
      </c>
      <c r="I227" s="117">
        <v>89</v>
      </c>
      <c r="J227" s="122"/>
      <c r="K227" s="20"/>
      <c r="L227" s="133"/>
      <c r="M227" s="69"/>
      <c r="N227" s="115"/>
      <c r="O227" s="121"/>
      <c r="P227" s="121"/>
      <c r="Q227" s="1"/>
      <c r="R227" s="4"/>
      <c r="S227" s="1"/>
      <c r="T227" s="121"/>
      <c r="U227" s="121"/>
      <c r="V227" s="1"/>
      <c r="W227" s="1"/>
      <c r="X227" s="1"/>
      <c r="Y227" s="1"/>
      <c r="Z227" s="1"/>
      <c r="AA227" s="1"/>
      <c r="AB227" s="1"/>
      <c r="AC227" s="1"/>
      <c r="AD227" s="1"/>
    </row>
    <row r="228" spans="1:30" s="14" customFormat="1" ht="12.75" customHeight="1" x14ac:dyDescent="0.25">
      <c r="A228" s="110">
        <v>43221</v>
      </c>
      <c r="B228" s="117">
        <v>12105</v>
      </c>
      <c r="C228" s="117">
        <v>10839</v>
      </c>
      <c r="D228" s="117">
        <v>22944</v>
      </c>
      <c r="E228" s="117">
        <v>723</v>
      </c>
      <c r="F228" s="117">
        <v>23667</v>
      </c>
      <c r="G228" s="117">
        <v>7073</v>
      </c>
      <c r="H228" s="117">
        <v>30740</v>
      </c>
      <c r="I228" s="117">
        <v>149</v>
      </c>
      <c r="J228" s="122"/>
      <c r="K228" s="20"/>
      <c r="L228" s="133"/>
      <c r="M228" s="69"/>
      <c r="N228" s="115"/>
      <c r="O228" s="121"/>
      <c r="P228" s="121"/>
      <c r="Q228" s="1"/>
      <c r="R228" s="4"/>
      <c r="S228" s="1"/>
      <c r="T228" s="121"/>
      <c r="U228" s="121"/>
      <c r="V228" s="1"/>
      <c r="W228" s="1"/>
      <c r="X228" s="1"/>
      <c r="Y228" s="1"/>
      <c r="Z228" s="1"/>
      <c r="AA228" s="1"/>
      <c r="AB228" s="1"/>
      <c r="AC228" s="1"/>
      <c r="AD228" s="1"/>
    </row>
    <row r="229" spans="1:30" s="14" customFormat="1" ht="12.75" customHeight="1" x14ac:dyDescent="0.25">
      <c r="A229" s="110">
        <v>43252</v>
      </c>
      <c r="B229" s="117">
        <v>11872</v>
      </c>
      <c r="C229" s="117">
        <v>13250</v>
      </c>
      <c r="D229" s="117">
        <v>25122</v>
      </c>
      <c r="E229" s="117">
        <v>425</v>
      </c>
      <c r="F229" s="117">
        <v>25547</v>
      </c>
      <c r="G229" s="117">
        <v>6693</v>
      </c>
      <c r="H229" s="117">
        <v>32240</v>
      </c>
      <c r="I229" s="117">
        <v>34</v>
      </c>
      <c r="J229" s="122"/>
      <c r="K229" s="20"/>
      <c r="L229" s="133"/>
      <c r="M229" s="69"/>
      <c r="N229" s="115"/>
      <c r="O229" s="121"/>
      <c r="P229" s="121"/>
      <c r="Q229" s="1"/>
      <c r="R229" s="4"/>
      <c r="S229" s="1"/>
      <c r="T229" s="121"/>
      <c r="U229" s="121"/>
      <c r="V229" s="1"/>
      <c r="W229" s="1"/>
      <c r="X229" s="1"/>
      <c r="Y229" s="1"/>
      <c r="Z229" s="1"/>
      <c r="AA229" s="1"/>
      <c r="AB229" s="1"/>
      <c r="AC229" s="1"/>
      <c r="AD229" s="1"/>
    </row>
    <row r="230" spans="1:30" s="14" customFormat="1" ht="12.75" customHeight="1" x14ac:dyDescent="0.25">
      <c r="A230" s="110">
        <v>43282</v>
      </c>
      <c r="B230" s="117">
        <v>8097</v>
      </c>
      <c r="C230" s="117">
        <v>13979</v>
      </c>
      <c r="D230" s="117">
        <v>22076</v>
      </c>
      <c r="E230" s="117">
        <v>1245</v>
      </c>
      <c r="F230" s="117">
        <v>23321</v>
      </c>
      <c r="G230" s="117">
        <v>6534</v>
      </c>
      <c r="H230" s="117">
        <v>29855</v>
      </c>
      <c r="I230" s="117">
        <v>17</v>
      </c>
      <c r="J230" s="122"/>
      <c r="K230" s="20"/>
      <c r="L230" s="133"/>
      <c r="M230" s="69"/>
      <c r="N230" s="115"/>
      <c r="O230" s="121"/>
      <c r="P230" s="121"/>
      <c r="Q230" s="1"/>
      <c r="R230" s="4"/>
      <c r="S230" s="1"/>
      <c r="T230" s="121"/>
      <c r="U230" s="121"/>
      <c r="V230" s="1"/>
      <c r="W230" s="1"/>
      <c r="X230" s="1"/>
      <c r="Y230" s="1"/>
      <c r="Z230" s="1"/>
      <c r="AA230" s="1"/>
      <c r="AB230" s="1"/>
      <c r="AC230" s="1"/>
      <c r="AD230" s="1"/>
    </row>
    <row r="231" spans="1:30" s="14" customFormat="1" ht="12.75" customHeight="1" x14ac:dyDescent="0.25">
      <c r="A231" s="110">
        <v>43313</v>
      </c>
      <c r="B231" s="117">
        <v>7905</v>
      </c>
      <c r="C231" s="117">
        <v>15313</v>
      </c>
      <c r="D231" s="117">
        <v>23218</v>
      </c>
      <c r="E231" s="117">
        <v>767</v>
      </c>
      <c r="F231" s="117">
        <v>23985</v>
      </c>
      <c r="G231" s="117">
        <v>7477</v>
      </c>
      <c r="H231" s="117">
        <v>31462</v>
      </c>
      <c r="I231" s="117">
        <v>-71</v>
      </c>
      <c r="J231" s="122"/>
      <c r="K231" s="20"/>
      <c r="L231" s="133"/>
      <c r="M231" s="69"/>
      <c r="N231" s="115"/>
      <c r="O231" s="121"/>
      <c r="P231" s="121"/>
      <c r="Q231" s="1"/>
      <c r="R231" s="4"/>
      <c r="S231" s="1"/>
      <c r="T231" s="121"/>
      <c r="U231" s="121"/>
      <c r="V231" s="1"/>
      <c r="W231" s="1"/>
      <c r="X231" s="1"/>
      <c r="Y231" s="1"/>
      <c r="Z231" s="1"/>
      <c r="AA231" s="1"/>
      <c r="AB231" s="1"/>
      <c r="AC231" s="1"/>
      <c r="AD231" s="1"/>
    </row>
    <row r="232" spans="1:30" s="14" customFormat="1" ht="12.75" customHeight="1" x14ac:dyDescent="0.25">
      <c r="A232" s="110">
        <v>43344</v>
      </c>
      <c r="B232" s="117">
        <v>8584</v>
      </c>
      <c r="C232" s="117">
        <v>13749</v>
      </c>
      <c r="D232" s="117">
        <v>22333</v>
      </c>
      <c r="E232" s="117">
        <v>703</v>
      </c>
      <c r="F232" s="117">
        <v>23036</v>
      </c>
      <c r="G232" s="117">
        <v>7598</v>
      </c>
      <c r="H232" s="117">
        <v>30634</v>
      </c>
      <c r="I232" s="117">
        <v>-49</v>
      </c>
      <c r="J232" s="122"/>
      <c r="K232" s="20"/>
      <c r="L232" s="115"/>
      <c r="M232" s="69"/>
      <c r="N232" s="115"/>
      <c r="O232" s="121"/>
      <c r="P232" s="121"/>
      <c r="Q232" s="1"/>
      <c r="R232" s="4"/>
      <c r="S232" s="1"/>
      <c r="T232" s="121"/>
      <c r="U232" s="121"/>
      <c r="V232" s="1"/>
      <c r="W232" s="1"/>
      <c r="X232" s="1"/>
      <c r="Y232" s="1"/>
      <c r="Z232" s="1"/>
      <c r="AA232" s="1"/>
      <c r="AB232" s="1"/>
      <c r="AC232" s="1"/>
      <c r="AD232" s="1"/>
    </row>
    <row r="233" spans="1:30" s="14" customFormat="1" ht="12.75" customHeight="1" x14ac:dyDescent="0.25">
      <c r="A233" s="110">
        <v>43374</v>
      </c>
      <c r="B233" s="117">
        <v>8570</v>
      </c>
      <c r="C233" s="117">
        <v>11860</v>
      </c>
      <c r="D233" s="117">
        <v>20430</v>
      </c>
      <c r="E233" s="117">
        <v>317</v>
      </c>
      <c r="F233" s="117">
        <v>20747</v>
      </c>
      <c r="G233" s="117">
        <v>6898</v>
      </c>
      <c r="H233" s="117">
        <v>27645</v>
      </c>
      <c r="I233" s="117">
        <v>-17</v>
      </c>
      <c r="J233" s="122"/>
      <c r="K233" s="20"/>
      <c r="L233" s="115"/>
      <c r="M233" s="69"/>
      <c r="N233" s="115"/>
      <c r="O233" s="121"/>
      <c r="P233" s="121"/>
      <c r="Q233" s="1"/>
      <c r="R233" s="4"/>
      <c r="S233" s="1"/>
      <c r="T233" s="121"/>
      <c r="U233" s="121"/>
      <c r="V233" s="1"/>
      <c r="W233" s="1"/>
      <c r="X233" s="1"/>
      <c r="Y233" s="1"/>
      <c r="Z233" s="1"/>
      <c r="AA233" s="1"/>
      <c r="AB233" s="1"/>
      <c r="AC233" s="1"/>
      <c r="AD233" s="1"/>
    </row>
    <row r="234" spans="1:30" s="14" customFormat="1" ht="12.75" customHeight="1" x14ac:dyDescent="0.25">
      <c r="A234" s="110">
        <v>43405</v>
      </c>
      <c r="B234" s="117">
        <v>6830</v>
      </c>
      <c r="C234" s="117">
        <v>13451</v>
      </c>
      <c r="D234" s="117">
        <v>20281</v>
      </c>
      <c r="E234" s="117">
        <v>621</v>
      </c>
      <c r="F234" s="117">
        <v>20902</v>
      </c>
      <c r="G234" s="117">
        <v>5447</v>
      </c>
      <c r="H234" s="117">
        <v>26349</v>
      </c>
      <c r="I234" s="117">
        <v>182</v>
      </c>
      <c r="J234" s="122"/>
      <c r="K234" s="20"/>
      <c r="L234" s="115"/>
      <c r="M234" s="69"/>
      <c r="N234" s="115"/>
      <c r="O234" s="121"/>
      <c r="P234" s="121"/>
      <c r="Q234" s="1"/>
      <c r="R234" s="4"/>
      <c r="S234" s="1"/>
      <c r="T234" s="121"/>
      <c r="U234" s="121"/>
      <c r="V234" s="1"/>
      <c r="W234" s="1"/>
      <c r="X234" s="1"/>
      <c r="Y234" s="1"/>
      <c r="Z234" s="1"/>
      <c r="AA234" s="1"/>
      <c r="AB234" s="1"/>
      <c r="AC234" s="1"/>
      <c r="AD234" s="1"/>
    </row>
    <row r="235" spans="1:30" s="14" customFormat="1" ht="12.75" customHeight="1" x14ac:dyDescent="0.25">
      <c r="A235" s="110">
        <v>43435</v>
      </c>
      <c r="B235" s="117">
        <v>7698</v>
      </c>
      <c r="C235" s="117">
        <v>14136</v>
      </c>
      <c r="D235" s="117">
        <v>21834</v>
      </c>
      <c r="E235" s="117">
        <v>-361</v>
      </c>
      <c r="F235" s="117">
        <v>21473</v>
      </c>
      <c r="G235" s="117">
        <v>4827</v>
      </c>
      <c r="H235" s="117">
        <v>26300</v>
      </c>
      <c r="I235" s="117">
        <v>235</v>
      </c>
      <c r="J235" s="122"/>
      <c r="K235" s="20"/>
      <c r="L235" s="115"/>
      <c r="M235" s="69"/>
      <c r="N235" s="115"/>
      <c r="O235" s="121"/>
      <c r="P235" s="121"/>
      <c r="Q235" s="1"/>
      <c r="R235" s="4"/>
      <c r="S235" s="1"/>
      <c r="T235" s="121"/>
      <c r="U235" s="121"/>
      <c r="V235" s="1"/>
      <c r="W235" s="1"/>
      <c r="X235" s="1"/>
      <c r="Y235" s="1"/>
      <c r="Z235" s="1"/>
      <c r="AA235" s="1"/>
      <c r="AB235" s="1"/>
      <c r="AC235" s="1"/>
      <c r="AD235" s="1"/>
    </row>
    <row r="236" spans="1:30" s="14" customFormat="1" ht="12.75" customHeight="1" x14ac:dyDescent="0.25">
      <c r="A236" s="110">
        <v>43466</v>
      </c>
      <c r="B236" s="117">
        <v>9477</v>
      </c>
      <c r="C236" s="117">
        <v>14106</v>
      </c>
      <c r="D236" s="117">
        <v>23583</v>
      </c>
      <c r="E236" s="117">
        <v>1025</v>
      </c>
      <c r="F236" s="117">
        <v>24608</v>
      </c>
      <c r="G236" s="117">
        <v>4926</v>
      </c>
      <c r="H236" s="117">
        <v>29534</v>
      </c>
      <c r="I236" s="117">
        <v>144</v>
      </c>
      <c r="J236" s="122"/>
      <c r="K236" s="20"/>
      <c r="L236" s="115"/>
      <c r="M236" s="69"/>
      <c r="N236" s="115"/>
      <c r="O236" s="121"/>
      <c r="P236" s="121"/>
      <c r="Q236" s="1"/>
      <c r="R236" s="4"/>
      <c r="S236" s="1"/>
      <c r="T236" s="121"/>
      <c r="U236" s="121"/>
      <c r="V236" s="1"/>
      <c r="W236" s="1"/>
      <c r="X236" s="1"/>
      <c r="Y236" s="1"/>
      <c r="Z236" s="1"/>
      <c r="AA236" s="1"/>
      <c r="AB236" s="1"/>
      <c r="AC236" s="1"/>
      <c r="AD236" s="1"/>
    </row>
    <row r="237" spans="1:30" s="14" customFormat="1" ht="12.75" customHeight="1" x14ac:dyDescent="0.25">
      <c r="A237" s="110">
        <v>43497</v>
      </c>
      <c r="B237" s="117">
        <v>7622</v>
      </c>
      <c r="C237" s="117">
        <v>15156</v>
      </c>
      <c r="D237" s="117">
        <v>22778</v>
      </c>
      <c r="E237" s="117">
        <v>913</v>
      </c>
      <c r="F237" s="117">
        <v>23691</v>
      </c>
      <c r="G237" s="117">
        <v>5095</v>
      </c>
      <c r="H237" s="117">
        <v>28786</v>
      </c>
      <c r="I237" s="117">
        <v>-25</v>
      </c>
      <c r="J237" s="122"/>
      <c r="K237" s="20"/>
      <c r="L237" s="115"/>
      <c r="M237" s="69"/>
      <c r="N237" s="115"/>
      <c r="O237" s="121"/>
      <c r="P237" s="121"/>
      <c r="Q237" s="1"/>
      <c r="R237" s="4"/>
      <c r="S237" s="1"/>
      <c r="T237" s="121"/>
      <c r="U237" s="121"/>
      <c r="V237" s="1"/>
      <c r="W237" s="1"/>
      <c r="X237" s="1"/>
      <c r="Y237" s="1"/>
      <c r="Z237" s="1"/>
      <c r="AA237" s="1"/>
      <c r="AB237" s="1"/>
      <c r="AC237" s="1"/>
      <c r="AD237" s="1"/>
    </row>
    <row r="238" spans="1:30" s="14" customFormat="1" ht="12.75" customHeight="1" x14ac:dyDescent="0.25">
      <c r="A238" s="110">
        <v>43525</v>
      </c>
      <c r="B238" s="117">
        <v>7619</v>
      </c>
      <c r="C238" s="117">
        <v>13453</v>
      </c>
      <c r="D238" s="117">
        <v>21072</v>
      </c>
      <c r="E238" s="117">
        <v>509</v>
      </c>
      <c r="F238" s="117">
        <v>21581</v>
      </c>
      <c r="G238" s="117">
        <v>6135</v>
      </c>
      <c r="H238" s="117">
        <v>27716</v>
      </c>
      <c r="I238" s="117">
        <v>54</v>
      </c>
      <c r="J238" s="122"/>
      <c r="K238" s="20"/>
      <c r="L238" s="115"/>
      <c r="M238" s="69"/>
      <c r="N238" s="115"/>
      <c r="O238" s="121"/>
      <c r="P238" s="121"/>
      <c r="Q238" s="1"/>
      <c r="R238" s="4"/>
      <c r="S238" s="1"/>
      <c r="T238" s="121"/>
      <c r="U238" s="121"/>
      <c r="V238" s="1"/>
      <c r="W238" s="1"/>
      <c r="X238" s="1"/>
      <c r="Y238" s="1"/>
      <c r="Z238" s="1"/>
      <c r="AA238" s="1"/>
      <c r="AB238" s="1"/>
      <c r="AC238" s="1"/>
      <c r="AD238" s="1"/>
    </row>
    <row r="239" spans="1:30" s="14" customFormat="1" ht="12.75" customHeight="1" x14ac:dyDescent="0.25">
      <c r="A239" s="110">
        <v>43585</v>
      </c>
      <c r="B239" s="117">
        <v>7382</v>
      </c>
      <c r="C239" s="117">
        <v>12616</v>
      </c>
      <c r="D239" s="117">
        <v>19998</v>
      </c>
      <c r="E239" s="117">
        <v>1009</v>
      </c>
      <c r="F239" s="117">
        <v>21007</v>
      </c>
      <c r="G239" s="117">
        <v>6185</v>
      </c>
      <c r="H239" s="117">
        <v>27192</v>
      </c>
      <c r="I239" s="117">
        <v>134</v>
      </c>
      <c r="J239" s="122"/>
      <c r="K239" s="20"/>
      <c r="L239" s="115"/>
      <c r="M239" s="69"/>
      <c r="N239" s="115"/>
      <c r="O239" s="121"/>
      <c r="P239" s="121"/>
      <c r="Q239" s="1"/>
      <c r="R239" s="4"/>
      <c r="S239" s="1"/>
      <c r="T239" s="121"/>
      <c r="U239" s="121"/>
      <c r="V239" s="1"/>
      <c r="W239" s="1"/>
      <c r="X239" s="1"/>
      <c r="Y239" s="1"/>
      <c r="Z239" s="1"/>
      <c r="AA239" s="1"/>
      <c r="AB239" s="1"/>
      <c r="AC239" s="1"/>
      <c r="AD239" s="1"/>
    </row>
    <row r="240" spans="1:30" s="14" customFormat="1" ht="12.75" customHeight="1" x14ac:dyDescent="0.25">
      <c r="A240" s="110">
        <v>43616</v>
      </c>
      <c r="B240" s="117">
        <v>8038</v>
      </c>
      <c r="C240" s="117">
        <v>13239</v>
      </c>
      <c r="D240" s="117">
        <v>21277</v>
      </c>
      <c r="E240" s="117">
        <v>888</v>
      </c>
      <c r="F240" s="117">
        <v>22165</v>
      </c>
      <c r="G240" s="117">
        <v>7064</v>
      </c>
      <c r="H240" s="117">
        <v>29229</v>
      </c>
      <c r="I240" s="117">
        <v>136</v>
      </c>
      <c r="J240" s="122"/>
      <c r="K240" s="20"/>
      <c r="L240" s="115"/>
      <c r="M240" s="69"/>
      <c r="N240" s="115"/>
      <c r="O240" s="121"/>
      <c r="P240" s="121"/>
      <c r="Q240" s="1"/>
      <c r="R240" s="4"/>
      <c r="S240" s="1"/>
      <c r="T240" s="121"/>
      <c r="U240" s="121"/>
      <c r="V240" s="1"/>
      <c r="W240" s="1"/>
      <c r="X240" s="1"/>
      <c r="Y240" s="1"/>
      <c r="Z240" s="1"/>
      <c r="AA240" s="1"/>
      <c r="AB240" s="1"/>
      <c r="AC240" s="1"/>
      <c r="AD240" s="1"/>
    </row>
    <row r="241" spans="1:30" s="14" customFormat="1" ht="12.75" customHeight="1" x14ac:dyDescent="0.25">
      <c r="A241" s="110">
        <v>43646</v>
      </c>
      <c r="B241" s="117">
        <v>7256</v>
      </c>
      <c r="C241" s="117">
        <v>13590</v>
      </c>
      <c r="D241" s="117">
        <v>20846</v>
      </c>
      <c r="E241" s="117">
        <v>944</v>
      </c>
      <c r="F241" s="117">
        <v>21790</v>
      </c>
      <c r="G241" s="117">
        <v>7478</v>
      </c>
      <c r="H241" s="117">
        <v>29268</v>
      </c>
      <c r="I241" s="117">
        <v>197</v>
      </c>
      <c r="J241" s="122"/>
      <c r="K241" s="20"/>
      <c r="L241" s="115"/>
      <c r="M241" s="69"/>
      <c r="N241" s="115"/>
      <c r="O241" s="121"/>
      <c r="P241" s="121"/>
      <c r="Q241" s="1"/>
      <c r="R241" s="4"/>
      <c r="S241" s="1"/>
      <c r="T241" s="121"/>
      <c r="U241" s="121"/>
      <c r="V241" s="1"/>
      <c r="W241" s="1"/>
      <c r="X241" s="1"/>
      <c r="Y241" s="1"/>
      <c r="Z241" s="1"/>
      <c r="AA241" s="1"/>
      <c r="AB241" s="1"/>
      <c r="AC241" s="1"/>
      <c r="AD241" s="1"/>
    </row>
    <row r="242" spans="1:30" s="12" customFormat="1" ht="12.75" customHeight="1" x14ac:dyDescent="0.25">
      <c r="A242" s="110">
        <v>43677</v>
      </c>
      <c r="B242" s="117">
        <v>6349</v>
      </c>
      <c r="C242" s="117">
        <v>12590</v>
      </c>
      <c r="D242" s="117">
        <v>18939</v>
      </c>
      <c r="E242" s="117">
        <v>898</v>
      </c>
      <c r="F242" s="117">
        <v>19837</v>
      </c>
      <c r="G242" s="117">
        <v>7091</v>
      </c>
      <c r="H242" s="117">
        <v>26928</v>
      </c>
      <c r="I242" s="117">
        <v>-4</v>
      </c>
      <c r="J242" s="122"/>
      <c r="K242" s="107"/>
      <c r="L242" s="133"/>
      <c r="M242" s="69"/>
      <c r="N242" s="115"/>
      <c r="O242" s="121"/>
      <c r="P242" s="121"/>
      <c r="Q242" s="13"/>
      <c r="R242" s="4"/>
      <c r="S242" s="13"/>
      <c r="T242" s="121"/>
      <c r="U242" s="121"/>
      <c r="V242" s="13"/>
      <c r="W242" s="13"/>
      <c r="X242" s="13"/>
      <c r="Y242" s="13"/>
      <c r="Z242" s="13"/>
      <c r="AA242" s="13"/>
      <c r="AB242" s="13"/>
      <c r="AC242" s="13"/>
      <c r="AD242" s="13"/>
    </row>
    <row r="243" spans="1:30" s="12" customFormat="1" ht="12.75" customHeight="1" x14ac:dyDescent="0.25">
      <c r="A243" s="110">
        <v>43708</v>
      </c>
      <c r="B243" s="117">
        <v>6786</v>
      </c>
      <c r="C243" s="117">
        <v>11469</v>
      </c>
      <c r="D243" s="117">
        <v>18255</v>
      </c>
      <c r="E243" s="117">
        <v>1480</v>
      </c>
      <c r="F243" s="117">
        <v>19735</v>
      </c>
      <c r="G243" s="117">
        <v>7873</v>
      </c>
      <c r="H243" s="117">
        <v>27608</v>
      </c>
      <c r="I243" s="117">
        <v>220</v>
      </c>
      <c r="J243" s="122"/>
      <c r="K243" s="107"/>
      <c r="L243" s="133"/>
      <c r="M243" s="69"/>
      <c r="N243" s="115"/>
      <c r="O243" s="121"/>
      <c r="P243" s="121"/>
      <c r="Q243" s="13"/>
      <c r="R243" s="4"/>
      <c r="S243" s="13"/>
      <c r="T243" s="121"/>
      <c r="U243" s="121"/>
      <c r="V243" s="13"/>
      <c r="W243" s="13"/>
      <c r="X243" s="13"/>
      <c r="Y243" s="13"/>
      <c r="Z243" s="13"/>
      <c r="AA243" s="13"/>
      <c r="AB243" s="13"/>
      <c r="AC243" s="13"/>
      <c r="AD243" s="13"/>
    </row>
    <row r="244" spans="1:30" s="14" customFormat="1" ht="12.75" customHeight="1" x14ac:dyDescent="0.25">
      <c r="A244" s="110">
        <v>43738</v>
      </c>
      <c r="B244" s="117">
        <v>7031</v>
      </c>
      <c r="C244" s="117">
        <v>13255</v>
      </c>
      <c r="D244" s="117">
        <v>20286</v>
      </c>
      <c r="E244" s="117">
        <v>448</v>
      </c>
      <c r="F244" s="117">
        <v>20734</v>
      </c>
      <c r="G244" s="117">
        <v>8588</v>
      </c>
      <c r="H244" s="117">
        <v>29322</v>
      </c>
      <c r="I244" s="117">
        <v>-5</v>
      </c>
      <c r="J244" s="122"/>
      <c r="K244" s="20"/>
      <c r="L244" s="115"/>
      <c r="M244" s="69"/>
      <c r="N244" s="115"/>
      <c r="O244" s="121"/>
      <c r="P244" s="121"/>
      <c r="Q244" s="1"/>
      <c r="R244" s="4"/>
      <c r="S244" s="1"/>
      <c r="T244" s="121"/>
      <c r="U244" s="121"/>
      <c r="V244" s="1"/>
      <c r="W244" s="1"/>
      <c r="X244" s="1"/>
      <c r="Y244" s="1"/>
      <c r="Z244" s="1"/>
      <c r="AA244" s="1"/>
      <c r="AB244" s="1"/>
      <c r="AC244" s="1"/>
      <c r="AD244" s="1"/>
    </row>
    <row r="245" spans="1:30" s="14" customFormat="1" ht="12.75" customHeight="1" x14ac:dyDescent="0.25">
      <c r="A245" s="110">
        <v>43769</v>
      </c>
      <c r="B245" s="117">
        <v>7219</v>
      </c>
      <c r="C245" s="117">
        <v>10870</v>
      </c>
      <c r="D245" s="117">
        <v>18089</v>
      </c>
      <c r="E245" s="117">
        <v>313</v>
      </c>
      <c r="F245" s="117">
        <v>18402</v>
      </c>
      <c r="G245" s="117">
        <v>9012</v>
      </c>
      <c r="H245" s="117">
        <v>27414</v>
      </c>
      <c r="I245" s="117">
        <v>80</v>
      </c>
      <c r="J245" s="122"/>
      <c r="K245" s="20"/>
      <c r="L245" s="115"/>
      <c r="M245" s="69"/>
      <c r="N245" s="115"/>
      <c r="O245" s="121"/>
      <c r="P245" s="121"/>
      <c r="Q245" s="1"/>
      <c r="R245" s="4"/>
      <c r="S245" s="1"/>
      <c r="T245" s="121"/>
      <c r="U245" s="121"/>
      <c r="V245" s="1"/>
      <c r="W245" s="1"/>
      <c r="X245" s="1"/>
      <c r="Y245" s="1"/>
      <c r="Z245" s="1"/>
      <c r="AA245" s="1"/>
      <c r="AB245" s="1"/>
      <c r="AC245" s="1"/>
      <c r="AD245" s="1"/>
    </row>
    <row r="246" spans="1:30" s="14" customFormat="1" ht="12.75" customHeight="1" x14ac:dyDescent="0.25">
      <c r="A246" s="110">
        <v>43799</v>
      </c>
      <c r="B246" s="117">
        <v>8543</v>
      </c>
      <c r="C246" s="117">
        <v>10604</v>
      </c>
      <c r="D246" s="117">
        <v>19147</v>
      </c>
      <c r="E246" s="117">
        <v>1219</v>
      </c>
      <c r="F246" s="117">
        <v>20366</v>
      </c>
      <c r="G246" s="117">
        <v>8236</v>
      </c>
      <c r="H246" s="117">
        <v>28602</v>
      </c>
      <c r="I246" s="117">
        <v>86</v>
      </c>
      <c r="J246" s="122"/>
      <c r="K246" s="20"/>
      <c r="L246" s="115"/>
      <c r="M246" s="69"/>
      <c r="N246" s="115"/>
      <c r="O246" s="121"/>
      <c r="P246" s="121"/>
      <c r="Q246" s="1"/>
      <c r="R246" s="4"/>
      <c r="S246" s="1"/>
      <c r="T246" s="121"/>
      <c r="U246" s="121"/>
      <c r="V246" s="1"/>
      <c r="W246" s="1"/>
      <c r="X246" s="1"/>
      <c r="Y246" s="1"/>
      <c r="Z246" s="1"/>
      <c r="AA246" s="1"/>
      <c r="AB246" s="1"/>
      <c r="AC246" s="1"/>
      <c r="AD246" s="1"/>
    </row>
    <row r="247" spans="1:30" s="14" customFormat="1" ht="12.75" customHeight="1" x14ac:dyDescent="0.25">
      <c r="A247" s="110">
        <v>43830</v>
      </c>
      <c r="B247" s="117">
        <v>8281</v>
      </c>
      <c r="C247" s="117">
        <v>10283</v>
      </c>
      <c r="D247" s="117">
        <v>18564</v>
      </c>
      <c r="E247" s="117">
        <v>442</v>
      </c>
      <c r="F247" s="117">
        <v>19006</v>
      </c>
      <c r="G247" s="117">
        <v>7452</v>
      </c>
      <c r="H247" s="117">
        <v>26458</v>
      </c>
      <c r="I247" s="117">
        <v>205</v>
      </c>
      <c r="J247" s="122"/>
      <c r="K247" s="20"/>
      <c r="L247" s="115"/>
      <c r="M247" s="69"/>
      <c r="N247" s="115"/>
      <c r="O247" s="121"/>
      <c r="P247" s="121"/>
      <c r="Q247" s="1"/>
      <c r="R247" s="4"/>
      <c r="S247" s="1"/>
      <c r="T247" s="121"/>
      <c r="U247" s="121"/>
      <c r="V247" s="1"/>
      <c r="W247" s="1"/>
      <c r="X247" s="1"/>
      <c r="Y247" s="1"/>
      <c r="Z247" s="1"/>
      <c r="AA247" s="1"/>
      <c r="AB247" s="1"/>
      <c r="AC247" s="1"/>
      <c r="AD247" s="1"/>
    </row>
    <row r="248" spans="1:30" s="14" customFormat="1" ht="12.75" customHeight="1" x14ac:dyDescent="0.25">
      <c r="A248" s="110">
        <v>43861</v>
      </c>
      <c r="B248" s="117">
        <v>13151</v>
      </c>
      <c r="C248" s="117">
        <v>9352</v>
      </c>
      <c r="D248" s="117">
        <v>22503</v>
      </c>
      <c r="E248" s="117">
        <v>398</v>
      </c>
      <c r="F248" s="117">
        <v>22901</v>
      </c>
      <c r="G248" s="117">
        <v>7141</v>
      </c>
      <c r="H248" s="117">
        <v>30042</v>
      </c>
      <c r="I248" s="117">
        <v>61</v>
      </c>
      <c r="J248" s="122"/>
      <c r="K248" s="20"/>
      <c r="L248" s="115"/>
      <c r="M248" s="69"/>
      <c r="N248" s="115"/>
      <c r="O248" s="121"/>
      <c r="P248" s="121"/>
      <c r="Q248" s="1"/>
      <c r="R248" s="4"/>
      <c r="S248" s="1"/>
      <c r="T248" s="121"/>
      <c r="U248" s="121"/>
      <c r="V248" s="1"/>
      <c r="W248" s="1"/>
      <c r="X248" s="1"/>
      <c r="Y248" s="1"/>
      <c r="Z248" s="1"/>
      <c r="AA248" s="1"/>
      <c r="AB248" s="1"/>
      <c r="AC248" s="1"/>
      <c r="AD248" s="1"/>
    </row>
    <row r="249" spans="1:30" s="14" customFormat="1" ht="12.75" customHeight="1" x14ac:dyDescent="0.25">
      <c r="A249" s="110">
        <v>43889</v>
      </c>
      <c r="B249" s="117">
        <v>12728</v>
      </c>
      <c r="C249" s="117">
        <v>10005</v>
      </c>
      <c r="D249" s="117">
        <v>22733</v>
      </c>
      <c r="E249" s="117">
        <v>261</v>
      </c>
      <c r="F249" s="117">
        <v>22994</v>
      </c>
      <c r="G249" s="117">
        <v>8112</v>
      </c>
      <c r="H249" s="117">
        <v>31106</v>
      </c>
      <c r="I249" s="117">
        <v>181</v>
      </c>
      <c r="J249" s="122"/>
      <c r="K249" s="20"/>
      <c r="L249" s="115"/>
      <c r="M249" s="69"/>
      <c r="N249" s="115"/>
      <c r="O249" s="121"/>
      <c r="P249" s="121"/>
      <c r="Q249" s="1"/>
      <c r="R249" s="4"/>
      <c r="S249" s="1"/>
      <c r="T249" s="121"/>
      <c r="U249" s="121"/>
      <c r="V249" s="1"/>
      <c r="W249" s="1"/>
      <c r="X249" s="1"/>
      <c r="Y249" s="1"/>
      <c r="Z249" s="1"/>
      <c r="AA249" s="1"/>
      <c r="AB249" s="1"/>
      <c r="AC249" s="1"/>
      <c r="AD249" s="1"/>
    </row>
    <row r="250" spans="1:30" s="14" customFormat="1" ht="12.75" customHeight="1" x14ac:dyDescent="0.25">
      <c r="A250" s="110">
        <v>43921</v>
      </c>
      <c r="B250" s="117">
        <v>11860</v>
      </c>
      <c r="C250" s="117">
        <v>20156</v>
      </c>
      <c r="D250" s="117">
        <v>32016</v>
      </c>
      <c r="E250" s="117">
        <v>-627</v>
      </c>
      <c r="F250" s="117">
        <v>31389</v>
      </c>
      <c r="G250" s="117">
        <v>7777</v>
      </c>
      <c r="H250" s="117">
        <v>39166</v>
      </c>
      <c r="I250" s="117">
        <v>-39</v>
      </c>
      <c r="J250" s="122"/>
      <c r="K250" s="20"/>
      <c r="L250" s="115"/>
      <c r="M250" s="69"/>
      <c r="N250" s="115"/>
      <c r="O250" s="121"/>
      <c r="P250" s="121"/>
      <c r="Q250" s="1"/>
      <c r="R250" s="4"/>
      <c r="S250" s="1"/>
      <c r="T250" s="121"/>
      <c r="U250" s="121"/>
      <c r="V250" s="1"/>
      <c r="W250" s="1"/>
      <c r="X250" s="1"/>
      <c r="Y250" s="1"/>
      <c r="Z250" s="1"/>
      <c r="AA250" s="1"/>
      <c r="AB250" s="1"/>
      <c r="AC250" s="1"/>
      <c r="AD250" s="1"/>
    </row>
    <row r="251" spans="1:30" s="14" customFormat="1" ht="12.75" customHeight="1" x14ac:dyDescent="0.25">
      <c r="A251" s="110">
        <v>43951</v>
      </c>
      <c r="B251" s="117">
        <v>13976</v>
      </c>
      <c r="C251" s="117">
        <v>14329</v>
      </c>
      <c r="D251" s="117">
        <v>28305</v>
      </c>
      <c r="E251" s="117">
        <v>-119</v>
      </c>
      <c r="F251" s="117">
        <v>28186</v>
      </c>
      <c r="G251" s="117">
        <v>5086</v>
      </c>
      <c r="H251" s="117">
        <v>33272</v>
      </c>
      <c r="I251" s="117">
        <v>67</v>
      </c>
      <c r="J251" s="122"/>
      <c r="K251" s="20"/>
      <c r="L251" s="115"/>
      <c r="M251" s="69"/>
      <c r="N251" s="115"/>
      <c r="O251" s="121"/>
      <c r="P251" s="121"/>
      <c r="Q251" s="1"/>
      <c r="R251" s="4"/>
      <c r="S251" s="1"/>
      <c r="T251" s="121"/>
      <c r="U251" s="121"/>
      <c r="V251" s="1"/>
      <c r="W251" s="1"/>
      <c r="X251" s="1"/>
      <c r="Y251" s="1"/>
      <c r="Z251" s="1"/>
      <c r="AA251" s="1"/>
      <c r="AB251" s="1"/>
      <c r="AC251" s="1"/>
      <c r="AD251" s="1"/>
    </row>
    <row r="252" spans="1:30" s="14" customFormat="1" ht="12.75" customHeight="1" x14ac:dyDescent="0.25">
      <c r="A252" s="110">
        <v>43982</v>
      </c>
      <c r="B252" s="117">
        <v>12891</v>
      </c>
      <c r="C252" s="117">
        <v>11683</v>
      </c>
      <c r="D252" s="117">
        <v>24574</v>
      </c>
      <c r="E252" s="117">
        <v>256</v>
      </c>
      <c r="F252" s="117">
        <v>24830</v>
      </c>
      <c r="G252" s="117">
        <v>6362</v>
      </c>
      <c r="H252" s="117">
        <v>31192</v>
      </c>
      <c r="I252" s="117">
        <v>61</v>
      </c>
      <c r="J252" s="122"/>
      <c r="K252" s="20"/>
      <c r="L252" s="115"/>
      <c r="M252" s="69"/>
      <c r="N252" s="115"/>
      <c r="O252" s="121"/>
      <c r="P252" s="121"/>
      <c r="Q252" s="1"/>
      <c r="R252" s="4"/>
      <c r="S252" s="1"/>
      <c r="T252" s="121"/>
      <c r="U252" s="121"/>
      <c r="V252" s="1"/>
      <c r="W252" s="1"/>
      <c r="X252" s="1"/>
      <c r="Y252" s="1"/>
      <c r="Z252" s="1"/>
      <c r="AA252" s="1"/>
      <c r="AB252" s="1"/>
      <c r="AC252" s="1"/>
      <c r="AD252" s="1"/>
    </row>
    <row r="253" spans="1:30" s="14" customFormat="1" ht="12.75" customHeight="1" x14ac:dyDescent="0.25">
      <c r="A253" s="110">
        <v>44012</v>
      </c>
      <c r="B253" s="117">
        <v>15037</v>
      </c>
      <c r="C253" s="117">
        <v>9491</v>
      </c>
      <c r="D253" s="117">
        <v>24528</v>
      </c>
      <c r="E253" s="117">
        <v>346</v>
      </c>
      <c r="F253" s="117">
        <v>24874</v>
      </c>
      <c r="G253" s="117">
        <v>8074</v>
      </c>
      <c r="H253" s="117">
        <v>32948</v>
      </c>
      <c r="I253" s="117">
        <v>-14</v>
      </c>
      <c r="J253" s="122"/>
      <c r="K253" s="20"/>
      <c r="L253" s="115"/>
      <c r="M253" s="69"/>
      <c r="N253" s="115"/>
      <c r="O253" s="121"/>
      <c r="P253" s="121"/>
      <c r="Q253" s="1"/>
      <c r="R253" s="4"/>
      <c r="S253" s="1"/>
      <c r="T253" s="121"/>
      <c r="U253" s="121"/>
      <c r="V253" s="1"/>
      <c r="W253" s="1"/>
      <c r="X253" s="1"/>
      <c r="Y253" s="1"/>
      <c r="Z253" s="1"/>
      <c r="AA253" s="1"/>
      <c r="AB253" s="1"/>
      <c r="AC253" s="1"/>
      <c r="AD253" s="1"/>
    </row>
    <row r="254" spans="1:30" s="14" customFormat="1" ht="13.5" customHeight="1" x14ac:dyDescent="0.25">
      <c r="A254" s="110">
        <v>44043</v>
      </c>
      <c r="B254" s="117">
        <v>11989</v>
      </c>
      <c r="C254" s="117">
        <v>8571</v>
      </c>
      <c r="D254" s="117">
        <v>20560</v>
      </c>
      <c r="E254" s="117">
        <v>218</v>
      </c>
      <c r="F254" s="117">
        <v>20778</v>
      </c>
      <c r="G254" s="117">
        <v>7842</v>
      </c>
      <c r="H254" s="117">
        <v>28620</v>
      </c>
      <c r="I254" s="117">
        <v>167</v>
      </c>
      <c r="J254" s="122"/>
      <c r="K254" s="20"/>
      <c r="L254" s="115"/>
      <c r="M254" s="69"/>
      <c r="N254" s="115"/>
      <c r="O254" s="121"/>
      <c r="P254" s="121"/>
      <c r="Q254" s="1"/>
      <c r="R254" s="4"/>
      <c r="S254" s="1"/>
      <c r="T254" s="121"/>
      <c r="U254" s="121"/>
      <c r="V254" s="1"/>
      <c r="W254" s="1"/>
      <c r="X254" s="1"/>
      <c r="Y254" s="1"/>
      <c r="Z254" s="1"/>
      <c r="AA254" s="1"/>
      <c r="AB254" s="1"/>
      <c r="AC254" s="1"/>
      <c r="AD254" s="1"/>
    </row>
    <row r="255" spans="1:30" s="14" customFormat="1" ht="13.5" customHeight="1" x14ac:dyDescent="0.25">
      <c r="A255" s="110">
        <v>44074</v>
      </c>
      <c r="B255" s="117">
        <v>10048</v>
      </c>
      <c r="C255" s="117">
        <v>4851</v>
      </c>
      <c r="D255" s="117">
        <v>14899</v>
      </c>
      <c r="E255" s="117">
        <v>961</v>
      </c>
      <c r="F255" s="117">
        <v>15860</v>
      </c>
      <c r="G255" s="117">
        <v>8543</v>
      </c>
      <c r="H255" s="117">
        <v>24403</v>
      </c>
      <c r="I255" s="117">
        <v>283</v>
      </c>
      <c r="J255" s="122"/>
      <c r="K255" s="20"/>
      <c r="L255" s="115"/>
      <c r="M255" s="69"/>
      <c r="N255" s="115"/>
      <c r="O255" s="121"/>
      <c r="P255" s="121"/>
      <c r="Q255" s="1"/>
      <c r="R255" s="4"/>
      <c r="S255" s="1"/>
      <c r="T255" s="121"/>
      <c r="U255" s="121"/>
      <c r="V255" s="1"/>
      <c r="W255" s="1"/>
      <c r="X255" s="1"/>
      <c r="Y255" s="1"/>
      <c r="Z255" s="1"/>
      <c r="AA255" s="1"/>
      <c r="AB255" s="1"/>
      <c r="AC255" s="1"/>
      <c r="AD255" s="1"/>
    </row>
    <row r="256" spans="1:30" s="14" customFormat="1" ht="13.5" customHeight="1" x14ac:dyDescent="0.25">
      <c r="A256" s="110">
        <v>44104</v>
      </c>
      <c r="B256" s="117">
        <v>9553</v>
      </c>
      <c r="C256" s="117">
        <v>2090</v>
      </c>
      <c r="D256" s="117">
        <v>11643</v>
      </c>
      <c r="E256" s="117">
        <v>214</v>
      </c>
      <c r="F256" s="117">
        <v>11857</v>
      </c>
      <c r="G256" s="117">
        <v>9807</v>
      </c>
      <c r="H256" s="117">
        <v>21664</v>
      </c>
      <c r="I256" s="117">
        <v>179</v>
      </c>
      <c r="J256" s="122"/>
      <c r="K256" s="20"/>
      <c r="L256" s="115"/>
      <c r="M256" s="69"/>
      <c r="N256" s="115"/>
      <c r="O256" s="121"/>
      <c r="P256" s="121"/>
      <c r="Q256" s="1"/>
      <c r="R256" s="4"/>
      <c r="S256" s="1"/>
      <c r="T256" s="121"/>
      <c r="U256" s="121"/>
      <c r="V256" s="1"/>
      <c r="W256" s="1"/>
      <c r="X256" s="1"/>
      <c r="Y256" s="1"/>
      <c r="Z256" s="1"/>
      <c r="AA256" s="1"/>
      <c r="AB256" s="1"/>
      <c r="AC256" s="1"/>
      <c r="AD256" s="1"/>
    </row>
    <row r="257" spans="1:30" s="14" customFormat="1" ht="12.75" customHeight="1" x14ac:dyDescent="0.25">
      <c r="A257" s="110">
        <v>44135</v>
      </c>
      <c r="B257" s="117">
        <v>8350</v>
      </c>
      <c r="C257" s="117">
        <v>1340</v>
      </c>
      <c r="D257" s="117">
        <v>9690</v>
      </c>
      <c r="E257" s="117">
        <v>1968</v>
      </c>
      <c r="F257" s="117">
        <v>11658</v>
      </c>
      <c r="G257" s="117">
        <v>8439</v>
      </c>
      <c r="H257" s="117">
        <v>20097</v>
      </c>
      <c r="I257" s="117">
        <v>109</v>
      </c>
      <c r="J257" s="122"/>
      <c r="K257" s="20"/>
      <c r="L257" s="115"/>
      <c r="M257" s="69"/>
      <c r="N257" s="115"/>
      <c r="O257" s="121"/>
      <c r="P257" s="121"/>
      <c r="Q257" s="1"/>
      <c r="R257" s="4"/>
      <c r="S257" s="1"/>
      <c r="T257" s="121"/>
      <c r="U257" s="121"/>
      <c r="V257" s="1"/>
      <c r="W257" s="1"/>
      <c r="X257" s="1"/>
      <c r="Y257" s="1"/>
      <c r="Z257" s="1"/>
      <c r="AA257" s="1"/>
      <c r="AB257" s="1"/>
      <c r="AC257" s="1"/>
      <c r="AD257" s="1"/>
    </row>
    <row r="258" spans="1:30" s="14" customFormat="1" ht="12.75" customHeight="1" x14ac:dyDescent="0.25">
      <c r="A258" s="110">
        <v>44165</v>
      </c>
      <c r="B258" s="117">
        <v>8033</v>
      </c>
      <c r="C258" s="117">
        <v>1371</v>
      </c>
      <c r="D258" s="117">
        <v>9404</v>
      </c>
      <c r="E258" s="117">
        <v>2020</v>
      </c>
      <c r="F258" s="117">
        <v>11424</v>
      </c>
      <c r="G258" s="117">
        <v>8436</v>
      </c>
      <c r="H258" s="117">
        <v>19860</v>
      </c>
      <c r="I258" s="117">
        <v>318</v>
      </c>
      <c r="J258" s="122"/>
      <c r="K258" s="20"/>
      <c r="L258" s="115"/>
      <c r="M258" s="69"/>
      <c r="N258" s="115"/>
      <c r="O258" s="121"/>
      <c r="P258" s="121"/>
      <c r="Q258" s="1"/>
      <c r="R258" s="4"/>
      <c r="S258" s="1"/>
      <c r="T258" s="121"/>
      <c r="U258" s="121"/>
      <c r="V258" s="1"/>
      <c r="W258" s="1"/>
      <c r="X258" s="1"/>
      <c r="Y258" s="1"/>
      <c r="Z258" s="1"/>
      <c r="AA258" s="1"/>
      <c r="AB258" s="1"/>
      <c r="AC258" s="1"/>
      <c r="AD258" s="1"/>
    </row>
    <row r="259" spans="1:30" s="12" customFormat="1" ht="12.75" customHeight="1" x14ac:dyDescent="0.25">
      <c r="A259" s="110">
        <v>44196</v>
      </c>
      <c r="B259" s="117">
        <v>6779</v>
      </c>
      <c r="C259" s="117">
        <v>4000</v>
      </c>
      <c r="D259" s="117">
        <v>10779</v>
      </c>
      <c r="E259" s="117">
        <v>576</v>
      </c>
      <c r="F259" s="117">
        <v>11355</v>
      </c>
      <c r="G259" s="117">
        <v>7666</v>
      </c>
      <c r="H259" s="117">
        <v>19021</v>
      </c>
      <c r="I259" s="117">
        <v>347</v>
      </c>
      <c r="J259" s="129"/>
      <c r="K259" s="107"/>
      <c r="L259" s="133"/>
      <c r="M259" s="135"/>
      <c r="N259" s="133"/>
      <c r="O259" s="136"/>
      <c r="P259" s="136"/>
      <c r="Q259" s="13"/>
      <c r="R259" s="137"/>
      <c r="S259" s="13"/>
      <c r="T259" s="136"/>
      <c r="U259" s="136"/>
      <c r="V259" s="13"/>
      <c r="W259" s="13"/>
      <c r="X259" s="13"/>
      <c r="Y259" s="13"/>
      <c r="Z259" s="13"/>
      <c r="AA259" s="13"/>
      <c r="AB259" s="13"/>
      <c r="AC259" s="13"/>
      <c r="AD259" s="13"/>
    </row>
    <row r="260" spans="1:30" s="12" customFormat="1" ht="12.75" customHeight="1" x14ac:dyDescent="0.25">
      <c r="A260" s="110">
        <v>44227</v>
      </c>
      <c r="B260" s="117">
        <v>7561</v>
      </c>
      <c r="C260" s="117">
        <v>2263</v>
      </c>
      <c r="D260" s="117">
        <v>9824</v>
      </c>
      <c r="E260" s="117">
        <v>1588</v>
      </c>
      <c r="F260" s="117">
        <v>11412</v>
      </c>
      <c r="G260" s="117">
        <v>7303</v>
      </c>
      <c r="H260" s="117">
        <v>18715</v>
      </c>
      <c r="I260" s="117">
        <v>271</v>
      </c>
      <c r="J260" s="129"/>
      <c r="K260" s="107"/>
      <c r="L260" s="133"/>
      <c r="M260" s="135"/>
      <c r="N260" s="133"/>
      <c r="O260" s="136"/>
      <c r="P260" s="136"/>
      <c r="Q260" s="13"/>
      <c r="R260" s="137"/>
      <c r="S260" s="13"/>
      <c r="T260" s="136"/>
      <c r="U260" s="136"/>
      <c r="V260" s="13"/>
      <c r="W260" s="13"/>
      <c r="X260" s="13"/>
      <c r="Y260" s="13"/>
      <c r="Z260" s="13"/>
      <c r="AA260" s="13"/>
      <c r="AB260" s="13"/>
      <c r="AC260" s="13"/>
      <c r="AD260" s="13"/>
    </row>
    <row r="261" spans="1:30" s="12" customFormat="1" ht="12.75" customHeight="1" x14ac:dyDescent="0.25">
      <c r="A261" s="110">
        <v>44255</v>
      </c>
      <c r="B261" s="117">
        <v>7272</v>
      </c>
      <c r="C261" s="117">
        <v>2093</v>
      </c>
      <c r="D261" s="117">
        <v>9365</v>
      </c>
      <c r="E261" s="117">
        <v>2220</v>
      </c>
      <c r="F261" s="117">
        <v>11585</v>
      </c>
      <c r="G261" s="117">
        <v>6471</v>
      </c>
      <c r="H261" s="117">
        <v>18056</v>
      </c>
      <c r="I261" s="117">
        <v>191</v>
      </c>
      <c r="J261" s="129"/>
      <c r="K261" s="107"/>
      <c r="L261" s="133"/>
      <c r="M261" s="135"/>
      <c r="N261" s="133"/>
      <c r="O261" s="136"/>
      <c r="P261" s="136"/>
      <c r="Q261" s="13"/>
      <c r="R261" s="137"/>
      <c r="S261" s="13"/>
      <c r="T261" s="136"/>
      <c r="U261" s="136"/>
      <c r="V261" s="13"/>
      <c r="W261" s="13"/>
      <c r="X261" s="13"/>
      <c r="Y261" s="13"/>
      <c r="Z261" s="13"/>
      <c r="AA261" s="13"/>
      <c r="AB261" s="13"/>
      <c r="AC261" s="13"/>
      <c r="AD261" s="13"/>
    </row>
    <row r="262" spans="1:30" s="12" customFormat="1" ht="12.75" customHeight="1" x14ac:dyDescent="0.25">
      <c r="A262" s="110">
        <v>44286</v>
      </c>
      <c r="B262" s="117">
        <v>8187</v>
      </c>
      <c r="C262" s="117">
        <v>2769</v>
      </c>
      <c r="D262" s="117">
        <v>10956</v>
      </c>
      <c r="E262" s="117">
        <v>966</v>
      </c>
      <c r="F262" s="117">
        <v>11922</v>
      </c>
      <c r="G262" s="117">
        <v>6568</v>
      </c>
      <c r="H262" s="117">
        <v>18490</v>
      </c>
      <c r="I262" s="117">
        <v>68</v>
      </c>
      <c r="J262" s="129"/>
      <c r="K262" s="107"/>
      <c r="L262" s="133"/>
      <c r="M262" s="135"/>
      <c r="N262" s="133"/>
      <c r="O262" s="136"/>
      <c r="P262" s="136"/>
      <c r="Q262" s="13"/>
      <c r="R262" s="137"/>
      <c r="S262" s="13"/>
      <c r="T262" s="136"/>
      <c r="U262" s="136"/>
      <c r="V262" s="13"/>
      <c r="W262" s="13"/>
      <c r="X262" s="13"/>
      <c r="Y262" s="13"/>
      <c r="Z262" s="13"/>
      <c r="AA262" s="13"/>
      <c r="AB262" s="13"/>
      <c r="AC262" s="13"/>
      <c r="AD262" s="13"/>
    </row>
    <row r="263" spans="1:30" s="12" customFormat="1" ht="12.75" customHeight="1" x14ac:dyDescent="0.25">
      <c r="A263" s="110">
        <v>44316</v>
      </c>
      <c r="B263" s="117">
        <v>8006</v>
      </c>
      <c r="C263" s="117">
        <v>3596</v>
      </c>
      <c r="D263" s="117">
        <v>11602</v>
      </c>
      <c r="E263" s="117">
        <v>1474</v>
      </c>
      <c r="F263" s="117">
        <v>13076</v>
      </c>
      <c r="G263" s="117">
        <v>7077</v>
      </c>
      <c r="H263" s="117">
        <v>20153</v>
      </c>
      <c r="I263" s="117">
        <v>98</v>
      </c>
      <c r="J263" s="129"/>
      <c r="K263" s="107"/>
      <c r="L263" s="133"/>
      <c r="M263" s="135"/>
      <c r="N263" s="133"/>
      <c r="O263" s="136"/>
      <c r="P263" s="136"/>
      <c r="Q263" s="13"/>
      <c r="R263" s="137"/>
      <c r="S263" s="13"/>
      <c r="T263" s="136"/>
      <c r="U263" s="136"/>
      <c r="V263" s="13"/>
      <c r="W263" s="13"/>
      <c r="X263" s="13"/>
      <c r="Y263" s="13"/>
      <c r="Z263" s="13"/>
      <c r="AA263" s="13"/>
      <c r="AB263" s="13"/>
      <c r="AC263" s="13"/>
      <c r="AD263" s="13"/>
    </row>
    <row r="264" spans="1:30" s="12" customFormat="1" ht="12.75" customHeight="1" x14ac:dyDescent="0.25">
      <c r="A264" s="110">
        <v>44347</v>
      </c>
      <c r="B264" s="117">
        <v>8034</v>
      </c>
      <c r="C264" s="117">
        <v>2825</v>
      </c>
      <c r="D264" s="117">
        <v>10859</v>
      </c>
      <c r="E264" s="117">
        <v>1415</v>
      </c>
      <c r="F264" s="117">
        <v>12274</v>
      </c>
      <c r="G264" s="117">
        <v>6521</v>
      </c>
      <c r="H264" s="117">
        <v>18795</v>
      </c>
      <c r="I264" s="117">
        <v>198</v>
      </c>
      <c r="J264" s="129"/>
      <c r="K264" s="107"/>
      <c r="L264" s="133"/>
      <c r="M264" s="135"/>
      <c r="N264" s="133"/>
      <c r="O264" s="136"/>
      <c r="P264" s="136"/>
      <c r="Q264" s="13"/>
      <c r="R264" s="137"/>
      <c r="S264" s="13"/>
      <c r="T264" s="136"/>
      <c r="U264" s="136"/>
      <c r="V264" s="13"/>
      <c r="W264" s="13"/>
      <c r="X264" s="13"/>
      <c r="Y264" s="13"/>
      <c r="Z264" s="13"/>
      <c r="AA264" s="13"/>
      <c r="AB264" s="13"/>
      <c r="AC264" s="13"/>
      <c r="AD264" s="13"/>
    </row>
    <row r="265" spans="1:30" s="12" customFormat="1" ht="12.75" customHeight="1" x14ac:dyDescent="0.25">
      <c r="A265" s="110">
        <v>44377</v>
      </c>
      <c r="B265" s="117">
        <v>7404</v>
      </c>
      <c r="C265" s="117">
        <v>4536</v>
      </c>
      <c r="D265" s="117">
        <v>11940</v>
      </c>
      <c r="E265" s="117">
        <v>1267</v>
      </c>
      <c r="F265" s="117">
        <v>13207</v>
      </c>
      <c r="G265" s="117">
        <v>6770</v>
      </c>
      <c r="H265" s="117">
        <v>19977</v>
      </c>
      <c r="I265" s="117">
        <v>69</v>
      </c>
      <c r="J265" s="129"/>
      <c r="K265" s="107"/>
      <c r="L265" s="133"/>
      <c r="M265" s="135"/>
      <c r="N265" s="133"/>
      <c r="O265" s="136"/>
      <c r="P265" s="136"/>
      <c r="Q265" s="13"/>
      <c r="R265" s="137"/>
      <c r="S265" s="13"/>
      <c r="T265" s="136"/>
      <c r="U265" s="136"/>
      <c r="V265" s="13"/>
      <c r="W265" s="13"/>
      <c r="X265" s="13"/>
      <c r="Y265" s="13"/>
      <c r="Z265" s="13"/>
      <c r="AA265" s="13"/>
      <c r="AB265" s="13"/>
      <c r="AC265" s="13"/>
      <c r="AD265" s="13"/>
    </row>
    <row r="266" spans="1:30" s="12" customFormat="1" ht="12.75" customHeight="1" x14ac:dyDescent="0.25">
      <c r="A266" s="110">
        <v>44408</v>
      </c>
      <c r="B266" s="117">
        <v>7719</v>
      </c>
      <c r="C266" s="117">
        <v>1760</v>
      </c>
      <c r="D266" s="117">
        <v>9479</v>
      </c>
      <c r="E266" s="117">
        <v>1289</v>
      </c>
      <c r="F266" s="117">
        <v>10768</v>
      </c>
      <c r="G266" s="117">
        <v>6831</v>
      </c>
      <c r="H266" s="117">
        <v>17599</v>
      </c>
      <c r="I266" s="117">
        <v>42</v>
      </c>
      <c r="J266" s="129"/>
      <c r="K266" s="107"/>
      <c r="L266" s="133"/>
      <c r="M266" s="135"/>
      <c r="N266" s="133"/>
      <c r="O266" s="136"/>
      <c r="P266" s="136"/>
      <c r="Q266" s="13"/>
      <c r="R266" s="137"/>
      <c r="S266" s="13"/>
      <c r="T266" s="136"/>
      <c r="U266" s="136"/>
      <c r="V266" s="13"/>
      <c r="W266" s="13"/>
      <c r="X266" s="13"/>
      <c r="Y266" s="13"/>
      <c r="Z266" s="13"/>
      <c r="AA266" s="13"/>
      <c r="AB266" s="13"/>
      <c r="AC266" s="13"/>
      <c r="AD266" s="13"/>
    </row>
    <row r="267" spans="1:30" s="12" customFormat="1" ht="12.75" customHeight="1" x14ac:dyDescent="0.25">
      <c r="A267" s="110">
        <v>44439</v>
      </c>
      <c r="B267" s="117">
        <v>6782</v>
      </c>
      <c r="C267" s="117">
        <v>5029</v>
      </c>
      <c r="D267" s="117">
        <v>11811</v>
      </c>
      <c r="E267" s="117">
        <v>2091</v>
      </c>
      <c r="F267" s="117">
        <v>13902</v>
      </c>
      <c r="G267" s="117">
        <v>8720</v>
      </c>
      <c r="H267" s="117">
        <v>22622</v>
      </c>
      <c r="I267" s="117">
        <v>100</v>
      </c>
      <c r="J267" s="129"/>
      <c r="K267" s="107"/>
      <c r="L267" s="133"/>
      <c r="M267" s="135"/>
      <c r="N267" s="133"/>
      <c r="O267" s="136"/>
      <c r="P267" s="136"/>
      <c r="Q267" s="13"/>
      <c r="R267" s="137"/>
      <c r="S267" s="13"/>
      <c r="T267" s="136"/>
      <c r="U267" s="136"/>
      <c r="V267" s="13"/>
      <c r="W267" s="13"/>
      <c r="X267" s="13"/>
      <c r="Y267" s="13"/>
      <c r="Z267" s="13"/>
      <c r="AA267" s="13"/>
      <c r="AB267" s="13"/>
      <c r="AC267" s="13"/>
      <c r="AD267" s="13"/>
    </row>
    <row r="268" spans="1:30" s="14" customFormat="1" ht="12.75" customHeight="1" x14ac:dyDescent="0.2">
      <c r="A268" s="110">
        <v>44469</v>
      </c>
      <c r="B268" s="117">
        <v>6794</v>
      </c>
      <c r="C268" s="117">
        <v>6619</v>
      </c>
      <c r="D268" s="117">
        <v>13413</v>
      </c>
      <c r="E268" s="117">
        <v>482</v>
      </c>
      <c r="F268" s="117">
        <v>13895</v>
      </c>
      <c r="G268" s="117">
        <v>8745</v>
      </c>
      <c r="H268" s="117">
        <v>22640</v>
      </c>
      <c r="I268" s="117">
        <v>118</v>
      </c>
      <c r="J268" s="81"/>
      <c r="K268" s="20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</row>
    <row r="269" spans="1:30" s="14" customFormat="1" ht="12.75" customHeight="1" x14ac:dyDescent="0.2">
      <c r="A269" s="110">
        <v>44500</v>
      </c>
      <c r="B269" s="117">
        <v>6002</v>
      </c>
      <c r="C269" s="117">
        <v>6383</v>
      </c>
      <c r="D269" s="117">
        <v>12385</v>
      </c>
      <c r="E269" s="117">
        <v>2188</v>
      </c>
      <c r="F269" s="117">
        <v>14573</v>
      </c>
      <c r="G269" s="117">
        <v>8853</v>
      </c>
      <c r="H269" s="117">
        <v>23426</v>
      </c>
      <c r="I269" s="117">
        <v>399</v>
      </c>
      <c r="J269" s="81"/>
      <c r="K269" s="20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</row>
    <row r="270" spans="1:30" s="14" customFormat="1" ht="12.75" customHeight="1" x14ac:dyDescent="0.2">
      <c r="A270" s="110">
        <v>44530</v>
      </c>
      <c r="B270" s="117">
        <v>6279</v>
      </c>
      <c r="C270" s="117">
        <v>5023</v>
      </c>
      <c r="D270" s="117">
        <v>11302</v>
      </c>
      <c r="E270" s="117">
        <v>1167</v>
      </c>
      <c r="F270" s="117">
        <v>12469</v>
      </c>
      <c r="G270" s="117">
        <v>9354</v>
      </c>
      <c r="H270" s="117">
        <v>21823</v>
      </c>
      <c r="I270" s="117">
        <v>292</v>
      </c>
      <c r="J270" s="81"/>
      <c r="K270" s="20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</row>
    <row r="271" spans="1:30" s="14" customFormat="1" ht="12.75" customHeight="1" x14ac:dyDescent="0.2">
      <c r="A271" s="110">
        <v>44561</v>
      </c>
      <c r="B271" s="117">
        <v>6225</v>
      </c>
      <c r="C271" s="117">
        <v>7552</v>
      </c>
      <c r="D271" s="117">
        <v>13777</v>
      </c>
      <c r="E271" s="117">
        <v>497</v>
      </c>
      <c r="F271" s="117">
        <v>14274</v>
      </c>
      <c r="G271" s="117">
        <v>9311</v>
      </c>
      <c r="H271" s="117">
        <v>23585</v>
      </c>
      <c r="I271" s="117">
        <v>231</v>
      </c>
      <c r="J271" s="81"/>
      <c r="K271" s="20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</row>
    <row r="272" spans="1:30" s="14" customFormat="1" ht="12.75" customHeight="1" x14ac:dyDescent="0.2">
      <c r="A272" s="110">
        <v>44592</v>
      </c>
      <c r="B272" s="117">
        <v>5636</v>
      </c>
      <c r="C272" s="117">
        <v>7062</v>
      </c>
      <c r="D272" s="117">
        <v>12698</v>
      </c>
      <c r="E272" s="117">
        <v>192</v>
      </c>
      <c r="F272" s="117">
        <v>12890</v>
      </c>
      <c r="G272" s="117">
        <v>9344</v>
      </c>
      <c r="H272" s="117">
        <v>22234</v>
      </c>
      <c r="I272" s="117">
        <v>277</v>
      </c>
      <c r="J272" s="81"/>
      <c r="K272" s="20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</row>
    <row r="273" spans="1:30" s="14" customFormat="1" ht="12.75" customHeight="1" x14ac:dyDescent="0.2">
      <c r="A273" s="110">
        <v>44620</v>
      </c>
      <c r="B273" s="117">
        <v>5589</v>
      </c>
      <c r="C273" s="117">
        <v>6724</v>
      </c>
      <c r="D273" s="117">
        <v>12313</v>
      </c>
      <c r="E273" s="117">
        <v>376</v>
      </c>
      <c r="F273" s="117">
        <v>12689</v>
      </c>
      <c r="G273" s="117">
        <v>8905</v>
      </c>
      <c r="H273" s="117">
        <v>21594</v>
      </c>
      <c r="I273" s="117">
        <v>444</v>
      </c>
      <c r="J273" s="81"/>
      <c r="K273" s="20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</row>
    <row r="274" spans="1:30" s="14" customFormat="1" ht="12.75" customHeight="1" x14ac:dyDescent="0.2">
      <c r="A274" s="110">
        <v>44651</v>
      </c>
      <c r="B274" s="117">
        <v>5201</v>
      </c>
      <c r="C274" s="117">
        <v>8271</v>
      </c>
      <c r="D274" s="117">
        <v>13472</v>
      </c>
      <c r="E274" s="117">
        <v>651</v>
      </c>
      <c r="F274" s="117">
        <v>14123</v>
      </c>
      <c r="G274" s="117">
        <v>9136</v>
      </c>
      <c r="H274" s="117">
        <v>23259</v>
      </c>
      <c r="I274" s="117">
        <v>646</v>
      </c>
      <c r="J274" s="81"/>
      <c r="K274" s="20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</row>
    <row r="275" spans="1:30" s="14" customFormat="1" ht="12.75" customHeight="1" x14ac:dyDescent="0.2">
      <c r="A275" s="110">
        <v>44681</v>
      </c>
      <c r="B275" s="117">
        <v>5296</v>
      </c>
      <c r="C275" s="117">
        <v>3303</v>
      </c>
      <c r="D275" s="117">
        <v>8599</v>
      </c>
      <c r="E275" s="117">
        <v>337</v>
      </c>
      <c r="F275" s="117">
        <v>8936</v>
      </c>
      <c r="G275" s="117">
        <v>9301</v>
      </c>
      <c r="H275" s="117">
        <v>18237</v>
      </c>
      <c r="I275" s="117">
        <v>702</v>
      </c>
      <c r="J275" s="81"/>
      <c r="K275" s="20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</row>
    <row r="276" spans="1:30" s="14" customFormat="1" ht="12.75" customHeight="1" x14ac:dyDescent="0.2">
      <c r="A276" s="110">
        <v>44712</v>
      </c>
      <c r="B276" s="117">
        <v>5032</v>
      </c>
      <c r="C276" s="117">
        <v>7952</v>
      </c>
      <c r="D276" s="117">
        <v>12984</v>
      </c>
      <c r="E276" s="117">
        <v>219</v>
      </c>
      <c r="F276" s="117">
        <v>13203</v>
      </c>
      <c r="G276" s="117">
        <v>8892</v>
      </c>
      <c r="H276" s="117">
        <v>22095</v>
      </c>
      <c r="I276" s="117">
        <v>732</v>
      </c>
      <c r="J276" s="81"/>
      <c r="K276" s="20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</row>
    <row r="277" spans="1:30" s="14" customFormat="1" ht="12.75" customHeight="1" x14ac:dyDescent="0.2">
      <c r="A277" s="110">
        <v>44742</v>
      </c>
      <c r="B277" s="117">
        <v>5163</v>
      </c>
      <c r="C277" s="117">
        <v>5834</v>
      </c>
      <c r="D277" s="117">
        <v>10997</v>
      </c>
      <c r="E277" s="117">
        <v>-86</v>
      </c>
      <c r="F277" s="117">
        <v>10911</v>
      </c>
      <c r="G277" s="117">
        <v>9093</v>
      </c>
      <c r="H277" s="117">
        <v>20004</v>
      </c>
      <c r="I277" s="117">
        <v>764</v>
      </c>
      <c r="J277" s="81"/>
      <c r="K277" s="20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</row>
    <row r="278" spans="1:30" s="14" customFormat="1" ht="12.75" customHeight="1" x14ac:dyDescent="0.2">
      <c r="A278" s="110">
        <v>44773</v>
      </c>
      <c r="B278" s="117">
        <v>5210</v>
      </c>
      <c r="C278" s="117">
        <v>7052</v>
      </c>
      <c r="D278" s="117">
        <v>12262</v>
      </c>
      <c r="E278" s="117">
        <v>-103</v>
      </c>
      <c r="F278" s="117">
        <v>12159</v>
      </c>
      <c r="G278" s="117">
        <v>9002</v>
      </c>
      <c r="H278" s="117">
        <v>21161</v>
      </c>
      <c r="I278" s="117">
        <v>580</v>
      </c>
      <c r="J278" s="81"/>
      <c r="K278" s="20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 spans="1:30" s="14" customFormat="1" ht="12.75" customHeight="1" x14ac:dyDescent="0.2">
      <c r="A279" s="110">
        <v>44804</v>
      </c>
      <c r="B279" s="117">
        <v>6852</v>
      </c>
      <c r="C279" s="117">
        <v>3972</v>
      </c>
      <c r="D279" s="117">
        <v>10824</v>
      </c>
      <c r="E279" s="117">
        <v>-200</v>
      </c>
      <c r="F279" s="117">
        <v>10624</v>
      </c>
      <c r="G279" s="117">
        <v>8824</v>
      </c>
      <c r="H279" s="117">
        <v>19448</v>
      </c>
      <c r="I279" s="117">
        <v>718</v>
      </c>
      <c r="J279" s="81"/>
      <c r="K279" s="20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</row>
    <row r="280" spans="1:30" s="14" customFormat="1" ht="12.75" customHeight="1" x14ac:dyDescent="0.2">
      <c r="A280" s="110">
        <v>44834</v>
      </c>
      <c r="B280" s="117">
        <v>7427</v>
      </c>
      <c r="C280" s="117">
        <v>4365</v>
      </c>
      <c r="D280" s="117">
        <v>11792</v>
      </c>
      <c r="E280" s="117">
        <v>-570</v>
      </c>
      <c r="F280" s="117">
        <v>11222</v>
      </c>
      <c r="G280" s="117">
        <v>8723</v>
      </c>
      <c r="H280" s="117">
        <v>19945</v>
      </c>
      <c r="I280" s="117">
        <v>641</v>
      </c>
      <c r="J280" s="81"/>
      <c r="K280" s="20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</row>
    <row r="281" spans="1:30" s="14" customFormat="1" ht="12.75" customHeight="1" x14ac:dyDescent="0.2">
      <c r="A281" s="110">
        <v>44865</v>
      </c>
      <c r="B281" s="117">
        <v>6726</v>
      </c>
      <c r="C281" s="117">
        <v>2645</v>
      </c>
      <c r="D281" s="117">
        <v>9371</v>
      </c>
      <c r="E281" s="117">
        <v>-375</v>
      </c>
      <c r="F281" s="117">
        <v>8996</v>
      </c>
      <c r="G281" s="117">
        <v>8105</v>
      </c>
      <c r="H281" s="117">
        <v>17101</v>
      </c>
      <c r="I281" s="117">
        <v>988</v>
      </c>
      <c r="J281" s="81"/>
      <c r="K281" s="20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</row>
    <row r="282" spans="1:30" s="14" customFormat="1" ht="12.75" customHeight="1" x14ac:dyDescent="0.2">
      <c r="A282" s="110">
        <v>44895</v>
      </c>
      <c r="B282" s="117">
        <v>5900</v>
      </c>
      <c r="C282" s="117">
        <v>9729</v>
      </c>
      <c r="D282" s="117">
        <v>15629</v>
      </c>
      <c r="E282" s="117">
        <v>122</v>
      </c>
      <c r="F282" s="117">
        <v>15751</v>
      </c>
      <c r="G282" s="117">
        <v>7872</v>
      </c>
      <c r="H282" s="117">
        <v>23623</v>
      </c>
      <c r="I282" s="117">
        <v>1257</v>
      </c>
      <c r="J282" s="81"/>
      <c r="K282" s="20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</row>
    <row r="283" spans="1:30" s="14" customFormat="1" ht="12.75" customHeight="1" x14ac:dyDescent="0.2">
      <c r="A283" s="110">
        <v>44926</v>
      </c>
      <c r="B283" s="117">
        <v>6394</v>
      </c>
      <c r="C283" s="117">
        <v>9523</v>
      </c>
      <c r="D283" s="117">
        <v>15917</v>
      </c>
      <c r="E283" s="117">
        <v>-340</v>
      </c>
      <c r="F283" s="117">
        <v>15577</v>
      </c>
      <c r="G283" s="117">
        <v>7177</v>
      </c>
      <c r="H283" s="117">
        <v>22754</v>
      </c>
      <c r="I283" s="117">
        <v>1391</v>
      </c>
      <c r="J283" s="81"/>
      <c r="K283" s="20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</row>
    <row r="284" spans="1:30" s="14" customFormat="1" ht="12.75" customHeight="1" x14ac:dyDescent="0.2">
      <c r="A284" s="110">
        <v>44957</v>
      </c>
      <c r="B284" s="117">
        <v>4571</v>
      </c>
      <c r="C284" s="117">
        <v>11301</v>
      </c>
      <c r="D284" s="117">
        <v>15872</v>
      </c>
      <c r="E284" s="117">
        <v>15</v>
      </c>
      <c r="F284" s="117">
        <v>15887</v>
      </c>
      <c r="G284" s="117">
        <v>7044</v>
      </c>
      <c r="H284" s="117">
        <v>22931</v>
      </c>
      <c r="I284" s="117">
        <v>1260</v>
      </c>
      <c r="J284" s="81"/>
      <c r="K284" s="20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</row>
    <row r="285" spans="1:30" s="14" customFormat="1" ht="12.75" customHeight="1" x14ac:dyDescent="0.2">
      <c r="A285" s="110">
        <v>44985</v>
      </c>
      <c r="B285" s="117">
        <v>4422</v>
      </c>
      <c r="C285" s="117">
        <v>15366</v>
      </c>
      <c r="D285" s="117">
        <v>19788</v>
      </c>
      <c r="E285" s="117">
        <v>-148</v>
      </c>
      <c r="F285" s="117">
        <v>19640</v>
      </c>
      <c r="G285" s="117">
        <v>7612</v>
      </c>
      <c r="H285" s="117">
        <v>27252</v>
      </c>
      <c r="I285" s="117">
        <v>1080</v>
      </c>
      <c r="J285" s="81"/>
      <c r="K285" s="20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</row>
    <row r="286" spans="1:30" s="14" customFormat="1" ht="12.75" customHeight="1" x14ac:dyDescent="0.2">
      <c r="A286" s="110">
        <v>45016</v>
      </c>
      <c r="B286" s="117">
        <v>4103</v>
      </c>
      <c r="C286" s="117">
        <v>12448</v>
      </c>
      <c r="D286" s="117">
        <v>16551</v>
      </c>
      <c r="E286" s="117">
        <v>184</v>
      </c>
      <c r="F286" s="117">
        <v>16735</v>
      </c>
      <c r="G286" s="117">
        <v>6797</v>
      </c>
      <c r="H286" s="117">
        <v>23532</v>
      </c>
      <c r="I286" s="117">
        <v>978</v>
      </c>
      <c r="J286" s="81"/>
      <c r="K286" s="20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</row>
    <row r="287" spans="1:30" s="14" customFormat="1" ht="12.75" customHeight="1" x14ac:dyDescent="0.2">
      <c r="A287" s="110">
        <v>45046</v>
      </c>
      <c r="B287" s="117">
        <v>4365</v>
      </c>
      <c r="C287" s="117">
        <v>13810</v>
      </c>
      <c r="D287" s="117">
        <v>18175</v>
      </c>
      <c r="E287" s="117">
        <v>279</v>
      </c>
      <c r="F287" s="117">
        <v>18454</v>
      </c>
      <c r="G287" s="117">
        <v>7433</v>
      </c>
      <c r="H287" s="117">
        <v>25887</v>
      </c>
      <c r="I287" s="117">
        <v>953</v>
      </c>
      <c r="J287" s="81"/>
      <c r="K287" s="20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</row>
    <row r="288" spans="1:30" s="14" customFormat="1" ht="12.75" customHeight="1" x14ac:dyDescent="0.2">
      <c r="A288" s="110">
        <v>45077</v>
      </c>
      <c r="B288" s="117">
        <v>6412</v>
      </c>
      <c r="C288" s="117">
        <v>12690</v>
      </c>
      <c r="D288" s="117">
        <v>19102</v>
      </c>
      <c r="E288" s="117">
        <v>-69</v>
      </c>
      <c r="F288" s="117">
        <v>19033</v>
      </c>
      <c r="G288" s="117">
        <v>7436</v>
      </c>
      <c r="H288" s="117">
        <v>26469</v>
      </c>
      <c r="I288" s="117">
        <v>972</v>
      </c>
      <c r="J288" s="81"/>
      <c r="K288" s="20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</row>
    <row r="289" spans="1:30" s="14" customFormat="1" ht="12.75" customHeight="1" x14ac:dyDescent="0.2">
      <c r="A289" s="110">
        <v>45107</v>
      </c>
      <c r="B289" s="117">
        <v>5926</v>
      </c>
      <c r="C289" s="117">
        <v>8270</v>
      </c>
      <c r="D289" s="117">
        <v>14196</v>
      </c>
      <c r="E289" s="117">
        <v>591</v>
      </c>
      <c r="F289" s="117">
        <v>14787</v>
      </c>
      <c r="G289" s="117">
        <v>7138</v>
      </c>
      <c r="H289" s="117">
        <v>21925</v>
      </c>
      <c r="I289" s="117">
        <v>1047</v>
      </c>
      <c r="J289" s="81"/>
      <c r="K289" s="20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</row>
    <row r="290" spans="1:30" s="14" customFormat="1" ht="12.75" customHeight="1" x14ac:dyDescent="0.2">
      <c r="A290" s="110">
        <v>45138</v>
      </c>
      <c r="B290" s="117">
        <v>7686</v>
      </c>
      <c r="C290" s="117">
        <v>13088</v>
      </c>
      <c r="D290" s="117">
        <v>20774</v>
      </c>
      <c r="E290" s="117">
        <v>-147</v>
      </c>
      <c r="F290" s="117">
        <v>20627</v>
      </c>
      <c r="G290" s="117">
        <v>6982</v>
      </c>
      <c r="H290" s="117">
        <v>27609</v>
      </c>
      <c r="I290" s="117">
        <v>1130</v>
      </c>
      <c r="J290" s="81"/>
      <c r="K290" s="20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</row>
    <row r="291" spans="1:30" s="14" customFormat="1" ht="12.75" customHeight="1" x14ac:dyDescent="0.2">
      <c r="A291" s="110">
        <v>45169</v>
      </c>
      <c r="B291" s="117">
        <v>8735</v>
      </c>
      <c r="C291" s="117">
        <v>11024</v>
      </c>
      <c r="D291" s="117">
        <v>19759</v>
      </c>
      <c r="E291" s="117">
        <v>585</v>
      </c>
      <c r="F291" s="117">
        <v>20344</v>
      </c>
      <c r="G291" s="117">
        <v>7023</v>
      </c>
      <c r="H291" s="117">
        <v>27367</v>
      </c>
      <c r="I291" s="117">
        <v>978</v>
      </c>
      <c r="J291" s="81"/>
      <c r="K291" s="20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</row>
    <row r="292" spans="1:30" s="14" customFormat="1" ht="12.75" customHeight="1" x14ac:dyDescent="0.2">
      <c r="A292" s="110">
        <v>45199</v>
      </c>
      <c r="B292" s="117">
        <v>8413</v>
      </c>
      <c r="C292" s="117">
        <v>11137</v>
      </c>
      <c r="D292" s="117">
        <v>19550</v>
      </c>
      <c r="E292" s="117">
        <v>2114</v>
      </c>
      <c r="F292" s="117">
        <v>21664</v>
      </c>
      <c r="G292" s="117">
        <v>6955</v>
      </c>
      <c r="H292" s="117">
        <v>28619</v>
      </c>
      <c r="I292" s="117">
        <v>1032</v>
      </c>
      <c r="J292" s="81"/>
      <c r="K292" s="20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</row>
    <row r="293" spans="1:30" s="14" customFormat="1" ht="12.75" customHeight="1" x14ac:dyDescent="0.2">
      <c r="A293" s="110">
        <v>45230</v>
      </c>
      <c r="B293" s="117">
        <v>8385</v>
      </c>
      <c r="C293" s="117">
        <v>7940</v>
      </c>
      <c r="D293" s="117">
        <v>16325</v>
      </c>
      <c r="E293" s="117">
        <v>3474</v>
      </c>
      <c r="F293" s="117">
        <v>19799</v>
      </c>
      <c r="G293" s="117">
        <v>7480</v>
      </c>
      <c r="H293" s="117">
        <v>27279</v>
      </c>
      <c r="I293" s="117">
        <v>1053</v>
      </c>
      <c r="J293" s="81"/>
      <c r="K293" s="20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</row>
    <row r="294" spans="1:30" s="14" customFormat="1" ht="12.75" customHeight="1" x14ac:dyDescent="0.2">
      <c r="A294" s="110">
        <v>45260</v>
      </c>
      <c r="B294" s="117">
        <v>10769</v>
      </c>
      <c r="C294" s="117">
        <v>10659</v>
      </c>
      <c r="D294" s="117">
        <v>21428</v>
      </c>
      <c r="E294" s="117">
        <v>2722</v>
      </c>
      <c r="F294" s="117">
        <v>24150</v>
      </c>
      <c r="G294" s="117">
        <v>7221</v>
      </c>
      <c r="H294" s="117">
        <v>31371</v>
      </c>
      <c r="I294" s="117">
        <v>1185</v>
      </c>
      <c r="J294" s="81"/>
      <c r="K294" s="20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</row>
    <row r="295" spans="1:30" s="14" customFormat="1" ht="12.75" customHeight="1" x14ac:dyDescent="0.2">
      <c r="A295" s="110">
        <v>45291</v>
      </c>
      <c r="B295" s="117">
        <v>11529</v>
      </c>
      <c r="C295" s="117">
        <v>4742</v>
      </c>
      <c r="D295" s="117">
        <v>16271</v>
      </c>
      <c r="E295" s="117">
        <v>1094</v>
      </c>
      <c r="F295" s="117">
        <v>17365</v>
      </c>
      <c r="G295" s="117">
        <v>7113</v>
      </c>
      <c r="H295" s="117">
        <v>24478</v>
      </c>
      <c r="I295" s="117">
        <v>1251</v>
      </c>
      <c r="J295" s="81"/>
      <c r="K295" s="20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</row>
    <row r="296" spans="1:30" s="14" customFormat="1" ht="12.75" customHeight="1" x14ac:dyDescent="0.2">
      <c r="A296" s="110">
        <v>45322</v>
      </c>
      <c r="B296" s="117">
        <v>9982</v>
      </c>
      <c r="C296" s="117">
        <v>8840</v>
      </c>
      <c r="D296" s="117">
        <v>18822</v>
      </c>
      <c r="E296" s="117">
        <v>3904</v>
      </c>
      <c r="F296" s="117">
        <v>22726</v>
      </c>
      <c r="G296" s="117">
        <v>7070</v>
      </c>
      <c r="H296" s="117">
        <v>29796</v>
      </c>
      <c r="I296" s="117">
        <v>1048</v>
      </c>
      <c r="J296" s="81"/>
      <c r="K296" s="20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</row>
    <row r="297" spans="1:30" s="14" customFormat="1" ht="12.75" customHeight="1" x14ac:dyDescent="0.2">
      <c r="A297" s="110">
        <v>45351</v>
      </c>
      <c r="B297" s="117">
        <v>12132</v>
      </c>
      <c r="C297" s="117">
        <v>8839</v>
      </c>
      <c r="D297" s="117">
        <v>20971</v>
      </c>
      <c r="E297" s="117">
        <v>3343</v>
      </c>
      <c r="F297" s="117">
        <v>24314</v>
      </c>
      <c r="G297" s="117">
        <v>7398</v>
      </c>
      <c r="H297" s="117">
        <v>31712</v>
      </c>
      <c r="I297" s="117">
        <v>1039</v>
      </c>
      <c r="J297" s="81"/>
      <c r="K297" s="20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</row>
    <row r="298" spans="1:30" s="14" customFormat="1" ht="12.75" customHeight="1" x14ac:dyDescent="0.2">
      <c r="A298" s="110">
        <v>45382</v>
      </c>
      <c r="B298" s="117">
        <v>12410</v>
      </c>
      <c r="C298" s="117">
        <v>3567</v>
      </c>
      <c r="D298" s="117">
        <v>15977</v>
      </c>
      <c r="E298" s="117">
        <v>4258</v>
      </c>
      <c r="F298" s="117">
        <v>20235</v>
      </c>
      <c r="G298" s="117">
        <v>6883</v>
      </c>
      <c r="H298" s="117">
        <v>27118</v>
      </c>
      <c r="I298" s="117">
        <v>858</v>
      </c>
      <c r="J298" s="81"/>
      <c r="K298" s="20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</row>
    <row r="299" spans="1:30" s="14" customFormat="1" ht="12.75" customHeight="1" x14ac:dyDescent="0.2">
      <c r="A299" s="110">
        <v>45412</v>
      </c>
      <c r="B299" s="117">
        <v>12602</v>
      </c>
      <c r="C299" s="117">
        <v>8340</v>
      </c>
      <c r="D299" s="117">
        <v>20942</v>
      </c>
      <c r="E299" s="117">
        <v>4536</v>
      </c>
      <c r="F299" s="117">
        <v>25478</v>
      </c>
      <c r="G299" s="117">
        <v>6460</v>
      </c>
      <c r="H299" s="117">
        <v>31938</v>
      </c>
      <c r="I299" s="117">
        <v>827</v>
      </c>
      <c r="J299" s="81"/>
      <c r="K299" s="20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</row>
    <row r="300" spans="1:30" s="14" customFormat="1" ht="12.75" customHeight="1" x14ac:dyDescent="0.2">
      <c r="A300" s="110">
        <v>45443</v>
      </c>
      <c r="B300" s="117">
        <v>11543</v>
      </c>
      <c r="C300" s="117">
        <v>5633</v>
      </c>
      <c r="D300" s="117">
        <v>17176</v>
      </c>
      <c r="E300" s="117">
        <v>5999</v>
      </c>
      <c r="F300" s="117">
        <v>23175</v>
      </c>
      <c r="G300" s="117">
        <v>6240</v>
      </c>
      <c r="H300" s="117">
        <v>29415</v>
      </c>
      <c r="I300" s="117">
        <v>1152</v>
      </c>
      <c r="J300" s="81"/>
      <c r="K300" s="20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</row>
    <row r="301" spans="1:30" s="14" customFormat="1" ht="12.75" customHeight="1" x14ac:dyDescent="0.2">
      <c r="A301" s="110">
        <v>45473</v>
      </c>
      <c r="B301" s="117">
        <v>11086</v>
      </c>
      <c r="C301" s="117">
        <v>6203</v>
      </c>
      <c r="D301" s="117">
        <v>17289</v>
      </c>
      <c r="E301" s="117">
        <v>5925</v>
      </c>
      <c r="F301" s="117">
        <v>23214</v>
      </c>
      <c r="G301" s="117">
        <v>6123</v>
      </c>
      <c r="H301" s="117">
        <v>29337</v>
      </c>
      <c r="I301" s="117">
        <v>1013</v>
      </c>
      <c r="J301" s="81"/>
      <c r="K301" s="20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</row>
    <row r="302" spans="1:30" s="14" customFormat="1" ht="12.75" customHeight="1" x14ac:dyDescent="0.2">
      <c r="A302" s="110">
        <v>45504</v>
      </c>
      <c r="B302" s="117">
        <v>13687</v>
      </c>
      <c r="C302" s="117">
        <v>9472</v>
      </c>
      <c r="D302" s="117">
        <v>23159</v>
      </c>
      <c r="E302" s="117">
        <v>5183</v>
      </c>
      <c r="F302" s="117">
        <v>28342</v>
      </c>
      <c r="G302" s="117">
        <v>7307</v>
      </c>
      <c r="H302" s="117">
        <v>35649</v>
      </c>
      <c r="I302" s="117">
        <v>855</v>
      </c>
      <c r="J302" s="81"/>
      <c r="K302" s="20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</row>
    <row r="303" spans="1:30" s="14" customFormat="1" ht="12.75" customHeight="1" x14ac:dyDescent="0.2">
      <c r="A303" s="110">
        <v>45535</v>
      </c>
      <c r="B303" s="117">
        <v>10744</v>
      </c>
      <c r="C303" s="117">
        <v>8324</v>
      </c>
      <c r="D303" s="117">
        <v>19068</v>
      </c>
      <c r="E303" s="117">
        <v>6109</v>
      </c>
      <c r="F303" s="117">
        <v>25177</v>
      </c>
      <c r="G303" s="117">
        <v>7397</v>
      </c>
      <c r="H303" s="117">
        <v>32574</v>
      </c>
      <c r="I303" s="117">
        <v>1025</v>
      </c>
      <c r="J303" s="81"/>
      <c r="K303" s="20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</row>
    <row r="304" spans="1:30" s="14" customFormat="1" ht="12.75" customHeight="1" x14ac:dyDescent="0.2">
      <c r="A304" s="110">
        <v>45565</v>
      </c>
      <c r="B304" s="117">
        <v>9613</v>
      </c>
      <c r="C304" s="117">
        <v>7024</v>
      </c>
      <c r="D304" s="117">
        <v>16637</v>
      </c>
      <c r="E304" s="117">
        <v>8065</v>
      </c>
      <c r="F304" s="117">
        <v>24702</v>
      </c>
      <c r="G304" s="117">
        <v>7836</v>
      </c>
      <c r="H304" s="117">
        <v>32538</v>
      </c>
      <c r="I304" s="117">
        <v>997</v>
      </c>
      <c r="J304" s="81"/>
      <c r="K304" s="20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</row>
    <row r="305" spans="1:30" s="14" customFormat="1" ht="12.75" customHeight="1" x14ac:dyDescent="0.2">
      <c r="A305" s="110">
        <v>45596</v>
      </c>
      <c r="B305" s="117">
        <v>11220</v>
      </c>
      <c r="C305" s="117">
        <v>11549</v>
      </c>
      <c r="D305" s="117">
        <v>22769</v>
      </c>
      <c r="E305" s="117">
        <v>8455</v>
      </c>
      <c r="F305" s="117">
        <v>31224</v>
      </c>
      <c r="G305" s="117">
        <v>8341</v>
      </c>
      <c r="H305" s="117">
        <v>39565</v>
      </c>
      <c r="I305" s="117">
        <v>344</v>
      </c>
      <c r="J305" s="81"/>
      <c r="K305" s="20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</row>
    <row r="306" spans="1:30" s="14" customFormat="1" ht="12.75" customHeight="1" x14ac:dyDescent="0.2">
      <c r="A306" s="110">
        <v>45626</v>
      </c>
      <c r="B306" s="117">
        <v>12302</v>
      </c>
      <c r="C306" s="117">
        <v>9984</v>
      </c>
      <c r="D306" s="117">
        <v>22286</v>
      </c>
      <c r="E306" s="117">
        <v>7400</v>
      </c>
      <c r="F306" s="117">
        <v>29686</v>
      </c>
      <c r="G306" s="117">
        <v>8373</v>
      </c>
      <c r="H306" s="117">
        <v>38059</v>
      </c>
      <c r="I306" s="117">
        <v>399</v>
      </c>
      <c r="J306" s="81"/>
      <c r="K306" s="20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</row>
    <row r="307" spans="1:30" s="14" customFormat="1" ht="12.75" customHeight="1" x14ac:dyDescent="0.2">
      <c r="A307" s="110">
        <v>45657</v>
      </c>
      <c r="B307" s="117">
        <v>15141</v>
      </c>
      <c r="C307" s="117">
        <v>7802</v>
      </c>
      <c r="D307" s="117">
        <v>22943</v>
      </c>
      <c r="E307" s="117">
        <v>7578</v>
      </c>
      <c r="F307" s="117">
        <v>30521</v>
      </c>
      <c r="G307" s="117">
        <v>8635</v>
      </c>
      <c r="H307" s="117">
        <v>39156</v>
      </c>
      <c r="I307" s="117">
        <v>-51</v>
      </c>
      <c r="J307" s="81"/>
      <c r="K307" s="20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</row>
    <row r="308" spans="1:30" s="14" customFormat="1" ht="12.75" customHeight="1" x14ac:dyDescent="0.2">
      <c r="A308" s="110">
        <v>45688</v>
      </c>
      <c r="B308" s="117">
        <v>16292</v>
      </c>
      <c r="C308" s="117">
        <v>14888</v>
      </c>
      <c r="D308" s="117">
        <v>31180</v>
      </c>
      <c r="E308" s="117">
        <v>7673</v>
      </c>
      <c r="F308" s="117">
        <v>38853</v>
      </c>
      <c r="G308" s="117">
        <v>8459</v>
      </c>
      <c r="H308" s="117">
        <v>47312</v>
      </c>
      <c r="I308" s="117">
        <v>32</v>
      </c>
      <c r="J308" s="81"/>
      <c r="K308" s="20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</row>
    <row r="309" spans="1:30" s="14" customFormat="1" ht="12.75" customHeight="1" x14ac:dyDescent="0.2">
      <c r="A309" s="110">
        <v>45716</v>
      </c>
      <c r="B309" s="117">
        <v>16367</v>
      </c>
      <c r="C309" s="117">
        <v>16968</v>
      </c>
      <c r="D309" s="117">
        <v>33335</v>
      </c>
      <c r="E309" s="117">
        <v>7960</v>
      </c>
      <c r="F309" s="117">
        <v>41295</v>
      </c>
      <c r="G309" s="117">
        <v>8830</v>
      </c>
      <c r="H309" s="117">
        <v>50125</v>
      </c>
      <c r="I309" s="117">
        <v>118</v>
      </c>
      <c r="J309" s="81"/>
      <c r="K309" s="20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</row>
    <row r="310" spans="1:30" s="14" customFormat="1" ht="12.75" customHeight="1" x14ac:dyDescent="0.2">
      <c r="A310" s="110">
        <v>45747</v>
      </c>
      <c r="B310" s="117">
        <v>13121</v>
      </c>
      <c r="C310" s="117">
        <v>14173</v>
      </c>
      <c r="D310" s="117">
        <v>27294</v>
      </c>
      <c r="E310" s="117">
        <v>8435</v>
      </c>
      <c r="F310" s="117">
        <v>35729</v>
      </c>
      <c r="G310" s="117">
        <v>9625</v>
      </c>
      <c r="H310" s="117">
        <v>45354</v>
      </c>
      <c r="I310" s="117">
        <v>62</v>
      </c>
      <c r="J310" s="81"/>
      <c r="K310" s="20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</row>
    <row r="311" spans="1:30" s="14" customFormat="1" ht="12.75" customHeight="1" x14ac:dyDescent="0.2">
      <c r="A311" s="110">
        <v>45777</v>
      </c>
      <c r="B311" s="117">
        <v>12556</v>
      </c>
      <c r="C311" s="117">
        <v>12807</v>
      </c>
      <c r="D311" s="117">
        <v>25363</v>
      </c>
      <c r="E311" s="117">
        <v>9911</v>
      </c>
      <c r="F311" s="117">
        <v>35274</v>
      </c>
      <c r="G311" s="117">
        <v>9957</v>
      </c>
      <c r="H311" s="117">
        <v>45231</v>
      </c>
      <c r="I311" s="117">
        <v>609</v>
      </c>
      <c r="J311" s="81"/>
      <c r="K311" s="20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</row>
    <row r="312" spans="1:30" s="14" customFormat="1" ht="12.75" customHeight="1" x14ac:dyDescent="0.2">
      <c r="A312" s="110">
        <v>45808</v>
      </c>
      <c r="B312" s="117">
        <v>12699</v>
      </c>
      <c r="C312" s="117">
        <v>14194</v>
      </c>
      <c r="D312" s="117">
        <v>26893</v>
      </c>
      <c r="E312" s="117">
        <v>9768</v>
      </c>
      <c r="F312" s="117">
        <v>36661</v>
      </c>
      <c r="G312" s="117">
        <v>10247</v>
      </c>
      <c r="H312" s="117">
        <v>46908</v>
      </c>
      <c r="I312" s="117">
        <v>581</v>
      </c>
      <c r="J312" s="81"/>
      <c r="K312" s="20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</row>
    <row r="313" spans="1:30" s="14" customFormat="1" ht="12.75" customHeight="1" x14ac:dyDescent="0.2">
      <c r="A313" s="110">
        <v>45838</v>
      </c>
      <c r="B313" s="117">
        <v>11756</v>
      </c>
      <c r="C313" s="117">
        <v>12801</v>
      </c>
      <c r="D313" s="117">
        <v>24557</v>
      </c>
      <c r="E313" s="117">
        <v>10213</v>
      </c>
      <c r="F313" s="117">
        <v>34770</v>
      </c>
      <c r="G313" s="117">
        <v>11021</v>
      </c>
      <c r="H313" s="117">
        <v>45791</v>
      </c>
      <c r="I313" s="117">
        <v>759</v>
      </c>
      <c r="J313" s="81"/>
      <c r="K313" s="20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</row>
    <row r="314" spans="1:30" s="14" customFormat="1" ht="12.75" customHeight="1" x14ac:dyDescent="0.2">
      <c r="A314" s="110">
        <v>45869</v>
      </c>
      <c r="B314" s="117">
        <v>10161</v>
      </c>
      <c r="C314" s="117">
        <v>17215</v>
      </c>
      <c r="D314" s="117">
        <v>27376</v>
      </c>
      <c r="E314" s="117">
        <v>10244</v>
      </c>
      <c r="F314" s="117">
        <v>37620</v>
      </c>
      <c r="G314" s="117">
        <v>10784</v>
      </c>
      <c r="H314" s="117">
        <v>48404</v>
      </c>
      <c r="I314" s="117">
        <v>256</v>
      </c>
      <c r="J314" s="81"/>
      <c r="K314" s="20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</row>
    <row r="315" spans="1:30" s="14" customFormat="1" ht="12.75" customHeight="1" x14ac:dyDescent="0.2">
      <c r="A315" s="110">
        <v>45900</v>
      </c>
      <c r="B315" s="117">
        <v>9819</v>
      </c>
      <c r="C315" s="117">
        <v>16219</v>
      </c>
      <c r="D315" s="117">
        <v>26038</v>
      </c>
      <c r="E315" s="117">
        <v>11227</v>
      </c>
      <c r="F315" s="117">
        <v>37265</v>
      </c>
      <c r="G315" s="117">
        <v>10747</v>
      </c>
      <c r="H315" s="117">
        <v>48012</v>
      </c>
      <c r="I315" s="117">
        <v>244</v>
      </c>
      <c r="J315" s="81"/>
      <c r="K315" s="20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</row>
    <row r="316" spans="1:30" s="14" customFormat="1" ht="12.75" customHeight="1" x14ac:dyDescent="0.2">
      <c r="A316" s="110">
        <v>45930</v>
      </c>
      <c r="B316" s="117">
        <v>9812</v>
      </c>
      <c r="C316" s="117">
        <v>16008</v>
      </c>
      <c r="D316" s="117">
        <v>25820</v>
      </c>
      <c r="E316" s="117">
        <v>11842</v>
      </c>
      <c r="F316" s="117">
        <v>37662</v>
      </c>
      <c r="G316" s="117">
        <v>9727</v>
      </c>
      <c r="H316" s="117">
        <v>47389</v>
      </c>
      <c r="I316" s="117">
        <v>-40</v>
      </c>
      <c r="J316" s="81"/>
      <c r="K316" s="20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</row>
    <row r="317" spans="1:30" s="14" customFormat="1" ht="12.75" customHeight="1" x14ac:dyDescent="0.2">
      <c r="A317" s="110">
        <v>45961</v>
      </c>
      <c r="B317" s="117">
        <v>9387</v>
      </c>
      <c r="C317" s="117">
        <v>16257</v>
      </c>
      <c r="D317" s="117">
        <v>25644</v>
      </c>
      <c r="E317" s="117">
        <v>12765</v>
      </c>
      <c r="F317" s="117">
        <v>38409</v>
      </c>
      <c r="G317" s="117">
        <v>9641</v>
      </c>
      <c r="H317" s="117">
        <v>48050</v>
      </c>
      <c r="I317" s="117">
        <v>-288</v>
      </c>
      <c r="J317" s="81"/>
      <c r="K317" s="20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</row>
    <row r="318" spans="1:30" s="14" customFormat="1" ht="12.75" customHeight="1" x14ac:dyDescent="0.2">
      <c r="A318" s="110">
        <v>45991</v>
      </c>
      <c r="B318" s="163">
        <v>11281</v>
      </c>
      <c r="C318" s="163">
        <v>22705</v>
      </c>
      <c r="D318" s="117">
        <v>33986</v>
      </c>
      <c r="E318" s="117">
        <v>11526</v>
      </c>
      <c r="F318" s="117">
        <v>45512</v>
      </c>
      <c r="G318" s="117">
        <v>10340</v>
      </c>
      <c r="H318" s="117">
        <v>55852</v>
      </c>
      <c r="I318" s="117">
        <v>-342</v>
      </c>
      <c r="J318" s="81"/>
      <c r="K318" s="20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</row>
    <row r="319" spans="1:30" s="11" customFormat="1" ht="12.75" customHeight="1" x14ac:dyDescent="0.2">
      <c r="A319" s="109">
        <v>46022</v>
      </c>
      <c r="B319" s="138">
        <v>13074</v>
      </c>
      <c r="C319" s="138">
        <v>16449</v>
      </c>
      <c r="D319" s="138">
        <v>29523</v>
      </c>
      <c r="E319" s="138">
        <v>9485</v>
      </c>
      <c r="F319" s="138">
        <v>39008</v>
      </c>
      <c r="G319" s="138">
        <v>9646</v>
      </c>
      <c r="H319" s="138">
        <v>48654</v>
      </c>
      <c r="I319" s="138">
        <v>-335</v>
      </c>
      <c r="J319" s="81"/>
      <c r="K319" s="20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</row>
    <row r="320" spans="1:30" s="11" customFormat="1" ht="12.75" customHeight="1" x14ac:dyDescent="0.2">
      <c r="A320" s="109"/>
      <c r="B320" s="129"/>
      <c r="C320" s="129"/>
      <c r="D320" s="139"/>
      <c r="E320" s="129"/>
      <c r="F320" s="129"/>
      <c r="G320" s="129"/>
      <c r="H320" s="129"/>
      <c r="I320" s="129"/>
      <c r="J320" s="81"/>
      <c r="K320" s="20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</row>
    <row r="321" spans="1:28" s="11" customFormat="1" ht="12.75" customHeight="1" x14ac:dyDescent="0.2">
      <c r="A321" s="126" t="s">
        <v>19</v>
      </c>
      <c r="B321" s="81"/>
      <c r="C321" s="81"/>
      <c r="D321" s="81"/>
      <c r="E321" s="81"/>
      <c r="F321" s="81"/>
      <c r="G321" s="81"/>
      <c r="H321" s="81"/>
      <c r="I321" s="81"/>
      <c r="J321" s="81"/>
      <c r="K321" s="20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 s="11" customFormat="1" ht="12.75" customHeight="1" x14ac:dyDescent="0.2">
      <c r="A322" s="134" t="s">
        <v>50</v>
      </c>
      <c r="B322" s="81"/>
      <c r="C322" s="81"/>
      <c r="D322" s="81"/>
      <c r="E322" s="81"/>
      <c r="G322" s="81"/>
      <c r="H322" s="81"/>
      <c r="I322" s="81"/>
      <c r="J322" s="81"/>
      <c r="K322" s="20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 s="11" customFormat="1" ht="12.75" customHeight="1" x14ac:dyDescent="0.2">
      <c r="A323" s="1"/>
      <c r="B323" s="81"/>
      <c r="C323" s="81"/>
      <c r="D323" s="81"/>
      <c r="E323" s="81"/>
      <c r="G323" s="81"/>
      <c r="H323" s="81"/>
      <c r="I323" s="81"/>
      <c r="J323" s="8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 s="11" customFormat="1" ht="12.75" customHeight="1" x14ac:dyDescent="0.2">
      <c r="A324" s="13"/>
      <c r="B324" s="81"/>
      <c r="C324" s="81"/>
      <c r="D324" s="81"/>
      <c r="E324" s="81"/>
      <c r="F324" s="81"/>
      <c r="G324" s="81"/>
      <c r="H324" s="81"/>
      <c r="I324" s="81"/>
      <c r="J324" s="81"/>
    </row>
    <row r="325" spans="1:28" s="11" customFormat="1" ht="12.75" customHeight="1" x14ac:dyDescent="0.25">
      <c r="A325" s="1"/>
      <c r="B325" s="81"/>
      <c r="C325" s="81"/>
      <c r="D325" s="81"/>
      <c r="E325" s="128"/>
      <c r="F325" s="81"/>
      <c r="G325" s="81"/>
      <c r="H325" s="81"/>
      <c r="I325" s="81"/>
      <c r="J325" s="81"/>
      <c r="K325" s="124"/>
    </row>
    <row r="326" spans="1:28" s="11" customFormat="1" ht="12.75" customHeight="1" x14ac:dyDescent="0.2">
      <c r="A326" s="123"/>
      <c r="B326" s="113"/>
      <c r="C326" s="113"/>
      <c r="D326" s="113"/>
      <c r="E326" s="113"/>
      <c r="F326" s="113"/>
      <c r="G326" s="113"/>
      <c r="H326" s="113"/>
      <c r="I326" s="113"/>
      <c r="J326" s="164"/>
    </row>
    <row r="327" spans="1:28" s="11" customFormat="1" ht="12.75" customHeight="1" x14ac:dyDescent="0.2">
      <c r="B327" s="113"/>
      <c r="C327" s="113"/>
      <c r="D327" s="113"/>
      <c r="E327" s="113"/>
      <c r="F327" s="113"/>
      <c r="G327" s="113"/>
      <c r="H327" s="113"/>
      <c r="I327" s="113"/>
      <c r="J327" s="164"/>
    </row>
    <row r="328" spans="1:28" s="11" customFormat="1" ht="12.75" customHeight="1" x14ac:dyDescent="0.2">
      <c r="A328" s="123"/>
      <c r="B328" s="113"/>
      <c r="C328" s="113"/>
      <c r="D328" s="113"/>
      <c r="E328" s="113"/>
      <c r="F328" s="113"/>
      <c r="G328" s="113"/>
      <c r="H328" s="113"/>
      <c r="I328" s="113"/>
      <c r="J328" s="81"/>
    </row>
    <row r="329" spans="1:28" ht="12.75" customHeight="1" x14ac:dyDescent="0.2">
      <c r="B329" s="81"/>
      <c r="C329" s="81"/>
      <c r="D329" s="81"/>
      <c r="E329" s="81"/>
      <c r="F329" s="81"/>
      <c r="G329" s="81"/>
      <c r="H329" s="81"/>
      <c r="I329" s="81"/>
      <c r="J329" s="81"/>
    </row>
    <row r="330" spans="1:28" ht="12.75" customHeight="1" x14ac:dyDescent="0.2">
      <c r="A330" s="14"/>
      <c r="B330" s="81"/>
      <c r="C330" s="81"/>
      <c r="D330" s="81"/>
      <c r="E330" s="81"/>
      <c r="F330" s="81"/>
      <c r="G330" s="81"/>
      <c r="H330" s="81"/>
      <c r="I330" s="81"/>
      <c r="J330" s="81"/>
    </row>
    <row r="331" spans="1:28" ht="12.75" customHeight="1" x14ac:dyDescent="0.2">
      <c r="B331" s="81"/>
      <c r="C331" s="81"/>
      <c r="D331" s="81"/>
      <c r="E331" s="81"/>
      <c r="F331" s="81"/>
      <c r="G331" s="81"/>
      <c r="H331" s="81"/>
      <c r="I331" s="81"/>
      <c r="J331" s="81"/>
    </row>
    <row r="332" spans="1:28" ht="12.75" customHeight="1" x14ac:dyDescent="0.2">
      <c r="B332" s="81"/>
      <c r="C332" s="81"/>
      <c r="D332" s="81"/>
      <c r="E332" s="81"/>
      <c r="F332" s="81"/>
      <c r="G332" s="81"/>
      <c r="H332" s="81"/>
      <c r="I332" s="81"/>
      <c r="J332" s="81"/>
    </row>
    <row r="333" spans="1:28" ht="12.75" customHeight="1" x14ac:dyDescent="0.2">
      <c r="B333" s="81"/>
      <c r="C333" s="81"/>
      <c r="D333" s="81"/>
      <c r="E333" s="81"/>
      <c r="F333" s="81"/>
      <c r="G333" s="81"/>
      <c r="H333" s="81"/>
      <c r="I333" s="81"/>
      <c r="J333" s="81"/>
    </row>
    <row r="334" spans="1:28" ht="12.75" customHeight="1" x14ac:dyDescent="0.2">
      <c r="B334" s="81"/>
      <c r="C334" s="81"/>
      <c r="D334" s="81"/>
      <c r="E334" s="81"/>
      <c r="F334" s="81"/>
      <c r="G334" s="81"/>
      <c r="H334" s="81"/>
      <c r="I334" s="81"/>
      <c r="J334" s="81"/>
    </row>
    <row r="335" spans="1:28" ht="12.75" customHeight="1" x14ac:dyDescent="0.2">
      <c r="B335" s="81"/>
      <c r="C335" s="81"/>
      <c r="D335" s="81"/>
      <c r="E335" s="81"/>
      <c r="F335" s="81"/>
      <c r="G335" s="81"/>
      <c r="H335" s="81"/>
      <c r="I335" s="81"/>
      <c r="J335" s="81"/>
    </row>
    <row r="336" spans="1:28" ht="12.75" customHeight="1" x14ac:dyDescent="0.2">
      <c r="B336" s="81"/>
      <c r="C336" s="81"/>
      <c r="D336" s="81"/>
      <c r="E336" s="81"/>
      <c r="F336" s="81"/>
      <c r="G336" s="81"/>
      <c r="H336" s="81"/>
      <c r="I336" s="81"/>
      <c r="J336" s="81"/>
    </row>
    <row r="337" spans="2:10" ht="12.75" customHeight="1" x14ac:dyDescent="0.2">
      <c r="B337" s="81"/>
      <c r="C337" s="81"/>
      <c r="D337" s="81"/>
      <c r="E337" s="81"/>
      <c r="F337" s="81"/>
      <c r="G337" s="81"/>
      <c r="H337" s="81"/>
      <c r="I337" s="81"/>
      <c r="J337" s="81"/>
    </row>
    <row r="338" spans="2:10" ht="12.75" customHeight="1" x14ac:dyDescent="0.2">
      <c r="B338" s="81"/>
      <c r="C338" s="81"/>
      <c r="D338" s="81"/>
      <c r="E338" s="81"/>
      <c r="F338" s="81"/>
      <c r="G338" s="81"/>
      <c r="H338" s="81"/>
      <c r="I338" s="81"/>
      <c r="J338" s="81"/>
    </row>
    <row r="339" spans="2:10" ht="12.75" customHeight="1" x14ac:dyDescent="0.2">
      <c r="B339" s="81"/>
      <c r="C339" s="81"/>
      <c r="D339" s="81"/>
      <c r="E339" s="81"/>
      <c r="F339" s="81"/>
      <c r="G339" s="81"/>
      <c r="H339" s="81"/>
      <c r="I339" s="81"/>
      <c r="J339" s="81"/>
    </row>
    <row r="340" spans="2:10" ht="12.75" customHeight="1" x14ac:dyDescent="0.2">
      <c r="B340" s="81"/>
      <c r="C340" s="81"/>
      <c r="D340" s="81"/>
      <c r="E340" s="81"/>
      <c r="F340" s="81"/>
      <c r="G340" s="81"/>
      <c r="H340" s="81"/>
      <c r="I340" s="81"/>
      <c r="J340" s="81"/>
    </row>
    <row r="341" spans="2:10" ht="12.75" customHeight="1" x14ac:dyDescent="0.2">
      <c r="B341" s="81"/>
      <c r="C341" s="81"/>
      <c r="D341" s="81"/>
      <c r="E341" s="81"/>
      <c r="F341" s="81"/>
      <c r="G341" s="81"/>
      <c r="H341" s="81"/>
      <c r="I341" s="81"/>
      <c r="J341" s="81"/>
    </row>
    <row r="342" spans="2:10" ht="12.75" customHeight="1" x14ac:dyDescent="0.2">
      <c r="B342" s="81"/>
      <c r="C342" s="81"/>
      <c r="D342" s="81"/>
      <c r="E342" s="81"/>
      <c r="F342" s="81"/>
      <c r="G342" s="81"/>
      <c r="H342" s="81"/>
      <c r="I342" s="81"/>
      <c r="J342" s="81"/>
    </row>
    <row r="343" spans="2:10" ht="12.75" customHeight="1" x14ac:dyDescent="0.2">
      <c r="B343" s="81"/>
      <c r="C343" s="81"/>
      <c r="D343" s="81"/>
      <c r="E343" s="81"/>
      <c r="F343" s="81"/>
      <c r="G343" s="81"/>
      <c r="H343" s="81"/>
      <c r="I343" s="81"/>
      <c r="J343" s="81"/>
    </row>
    <row r="344" spans="2:10" ht="12.75" customHeight="1" x14ac:dyDescent="0.2">
      <c r="B344" s="81"/>
      <c r="C344" s="81"/>
      <c r="D344" s="81"/>
      <c r="E344" s="81"/>
      <c r="F344" s="81"/>
      <c r="G344" s="81"/>
      <c r="H344" s="81"/>
      <c r="I344" s="81"/>
      <c r="J344" s="81"/>
    </row>
    <row r="345" spans="2:10" ht="12.75" customHeight="1" x14ac:dyDescent="0.2">
      <c r="B345" s="81"/>
      <c r="C345" s="81"/>
      <c r="D345" s="81"/>
      <c r="E345" s="81"/>
      <c r="F345" s="81"/>
      <c r="G345" s="81"/>
      <c r="H345" s="81"/>
      <c r="I345" s="81"/>
      <c r="J345" s="81"/>
    </row>
    <row r="346" spans="2:10" ht="12.75" customHeight="1" x14ac:dyDescent="0.2">
      <c r="B346" s="81"/>
      <c r="C346" s="81"/>
      <c r="D346" s="81"/>
      <c r="E346" s="81"/>
      <c r="F346" s="81"/>
      <c r="G346" s="81"/>
      <c r="H346" s="81"/>
      <c r="I346" s="81"/>
      <c r="J346" s="81"/>
    </row>
    <row r="347" spans="2:10" ht="12.75" customHeight="1" x14ac:dyDescent="0.2">
      <c r="B347" s="81"/>
      <c r="C347" s="81"/>
      <c r="D347" s="81"/>
      <c r="E347" s="81"/>
      <c r="F347" s="81"/>
      <c r="G347" s="81"/>
      <c r="H347" s="81"/>
      <c r="I347" s="81"/>
      <c r="J347" s="81"/>
    </row>
    <row r="348" spans="2:10" ht="12.75" customHeight="1" x14ac:dyDescent="0.2">
      <c r="B348" s="81"/>
      <c r="C348" s="81"/>
      <c r="D348" s="81"/>
      <c r="E348" s="81"/>
      <c r="F348" s="81"/>
      <c r="G348" s="81"/>
      <c r="H348" s="81"/>
      <c r="I348" s="81"/>
      <c r="J348" s="81"/>
    </row>
    <row r="349" spans="2:10" ht="12.75" customHeight="1" x14ac:dyDescent="0.2">
      <c r="B349" s="81"/>
      <c r="C349" s="81"/>
      <c r="D349" s="81"/>
      <c r="E349" s="81"/>
      <c r="F349" s="81"/>
      <c r="G349" s="81"/>
      <c r="H349" s="81"/>
      <c r="I349" s="81"/>
      <c r="J349" s="81"/>
    </row>
    <row r="350" spans="2:10" ht="12.75" customHeight="1" x14ac:dyDescent="0.2">
      <c r="B350" s="81"/>
      <c r="C350" s="81"/>
      <c r="D350" s="81"/>
      <c r="E350" s="81"/>
      <c r="F350" s="81"/>
      <c r="G350" s="81"/>
      <c r="H350" s="81"/>
      <c r="I350" s="81"/>
      <c r="J350" s="81"/>
    </row>
    <row r="351" spans="2:10" ht="12.75" customHeight="1" x14ac:dyDescent="0.2">
      <c r="B351" s="81"/>
      <c r="C351" s="81"/>
      <c r="D351" s="81"/>
      <c r="E351" s="81"/>
      <c r="F351" s="81"/>
      <c r="G351" s="81"/>
      <c r="H351" s="81"/>
      <c r="I351" s="81"/>
      <c r="J351" s="81"/>
    </row>
    <row r="352" spans="2:10" ht="12.75" customHeight="1" x14ac:dyDescent="0.2">
      <c r="B352" s="81"/>
      <c r="C352" s="81"/>
      <c r="D352" s="81"/>
      <c r="E352" s="81"/>
      <c r="F352" s="81"/>
      <c r="G352" s="81"/>
      <c r="H352" s="81"/>
      <c r="I352" s="81"/>
      <c r="J352" s="81"/>
    </row>
    <row r="353" spans="2:10" ht="12.75" customHeight="1" x14ac:dyDescent="0.2">
      <c r="B353" s="81"/>
      <c r="C353" s="81"/>
      <c r="D353" s="81"/>
      <c r="E353" s="81"/>
      <c r="F353" s="81"/>
      <c r="G353" s="81"/>
      <c r="H353" s="81"/>
      <c r="I353" s="81"/>
      <c r="J353" s="81"/>
    </row>
    <row r="354" spans="2:10" ht="12.75" customHeight="1" x14ac:dyDescent="0.2">
      <c r="B354" s="81"/>
      <c r="C354" s="81"/>
      <c r="D354" s="81"/>
      <c r="E354" s="81"/>
      <c r="F354" s="81"/>
      <c r="G354" s="81"/>
      <c r="H354" s="81"/>
      <c r="I354" s="81"/>
      <c r="J354" s="81"/>
    </row>
    <row r="355" spans="2:10" ht="12.75" customHeight="1" x14ac:dyDescent="0.2">
      <c r="B355" s="81"/>
      <c r="C355" s="81"/>
      <c r="D355" s="81"/>
      <c r="E355" s="81"/>
      <c r="F355" s="81"/>
      <c r="G355" s="81"/>
      <c r="H355" s="81"/>
      <c r="I355" s="81"/>
      <c r="J355" s="81"/>
    </row>
    <row r="356" spans="2:10" ht="12.75" customHeight="1" x14ac:dyDescent="0.2">
      <c r="B356" s="81"/>
      <c r="C356" s="81"/>
      <c r="D356" s="81"/>
      <c r="E356" s="81"/>
      <c r="F356" s="81"/>
      <c r="G356" s="81"/>
      <c r="H356" s="81"/>
      <c r="I356" s="81"/>
      <c r="J356" s="81"/>
    </row>
    <row r="357" spans="2:10" ht="12.75" customHeight="1" x14ac:dyDescent="0.2">
      <c r="B357" s="81"/>
      <c r="C357" s="81"/>
      <c r="D357" s="81"/>
      <c r="E357" s="81"/>
      <c r="F357" s="81"/>
      <c r="G357" s="81"/>
      <c r="H357" s="81"/>
      <c r="I357" s="81"/>
      <c r="J357" s="81"/>
    </row>
    <row r="358" spans="2:10" ht="12.75" customHeight="1" x14ac:dyDescent="0.2">
      <c r="B358" s="81"/>
      <c r="C358" s="81"/>
      <c r="D358" s="81"/>
      <c r="E358" s="81"/>
      <c r="F358" s="81"/>
      <c r="G358" s="81"/>
      <c r="H358" s="81"/>
      <c r="I358" s="81"/>
      <c r="J358" s="81"/>
    </row>
    <row r="359" spans="2:10" ht="12.75" customHeight="1" x14ac:dyDescent="0.2">
      <c r="B359" s="81"/>
      <c r="C359" s="81"/>
      <c r="D359" s="81"/>
      <c r="E359" s="81"/>
      <c r="F359" s="81"/>
      <c r="G359" s="81"/>
      <c r="H359" s="81"/>
      <c r="I359" s="81"/>
      <c r="J359" s="81"/>
    </row>
    <row r="360" spans="2:10" ht="12.75" customHeight="1" x14ac:dyDescent="0.2">
      <c r="B360" s="81"/>
      <c r="C360" s="81"/>
      <c r="D360" s="81"/>
      <c r="E360" s="81"/>
      <c r="F360" s="81"/>
      <c r="G360" s="81"/>
      <c r="H360" s="81"/>
      <c r="I360" s="81"/>
      <c r="J360" s="81"/>
    </row>
    <row r="361" spans="2:10" ht="12.75" customHeight="1" x14ac:dyDescent="0.2">
      <c r="B361" s="81"/>
      <c r="C361" s="81"/>
      <c r="D361" s="81"/>
      <c r="E361" s="81"/>
      <c r="F361" s="81"/>
      <c r="G361" s="81"/>
      <c r="H361" s="81"/>
      <c r="I361" s="81"/>
      <c r="J361" s="81"/>
    </row>
    <row r="362" spans="2:10" ht="12.75" customHeight="1" x14ac:dyDescent="0.2">
      <c r="B362" s="81"/>
      <c r="C362" s="81"/>
      <c r="D362" s="81"/>
      <c r="E362" s="81"/>
      <c r="F362" s="81"/>
      <c r="G362" s="81"/>
      <c r="H362" s="81"/>
      <c r="I362" s="81"/>
      <c r="J362" s="81"/>
    </row>
    <row r="363" spans="2:10" ht="12.75" customHeight="1" x14ac:dyDescent="0.2">
      <c r="B363" s="81"/>
      <c r="C363" s="81"/>
      <c r="D363" s="81"/>
      <c r="E363" s="81"/>
      <c r="F363" s="81"/>
      <c r="G363" s="81"/>
      <c r="H363" s="81"/>
      <c r="I363" s="81"/>
      <c r="J363" s="81"/>
    </row>
    <row r="364" spans="2:10" ht="12.75" customHeight="1" x14ac:dyDescent="0.2">
      <c r="B364" s="81"/>
      <c r="C364" s="81"/>
      <c r="D364" s="81"/>
      <c r="E364" s="81"/>
      <c r="F364" s="81"/>
      <c r="G364" s="81"/>
      <c r="H364" s="81"/>
      <c r="I364" s="81"/>
      <c r="J364" s="81"/>
    </row>
    <row r="365" spans="2:10" ht="12.75" customHeight="1" x14ac:dyDescent="0.2">
      <c r="B365" s="81"/>
      <c r="C365" s="81"/>
      <c r="D365" s="81"/>
      <c r="E365" s="81"/>
      <c r="F365" s="81"/>
      <c r="G365" s="81"/>
      <c r="H365" s="81"/>
      <c r="I365" s="81"/>
      <c r="J365" s="81"/>
    </row>
    <row r="366" spans="2:10" ht="12.75" customHeight="1" x14ac:dyDescent="0.2">
      <c r="B366" s="81"/>
      <c r="C366" s="81"/>
      <c r="D366" s="81"/>
      <c r="E366" s="81"/>
      <c r="F366" s="81"/>
      <c r="G366" s="81"/>
      <c r="H366" s="81"/>
      <c r="I366" s="81"/>
      <c r="J366" s="81"/>
    </row>
    <row r="367" spans="2:10" ht="12.75" customHeight="1" x14ac:dyDescent="0.2">
      <c r="B367" s="81"/>
      <c r="C367" s="81"/>
      <c r="D367" s="81"/>
      <c r="E367" s="81"/>
      <c r="F367" s="81"/>
      <c r="G367" s="81"/>
      <c r="H367" s="81"/>
      <c r="I367" s="81"/>
      <c r="J367" s="81"/>
    </row>
    <row r="368" spans="2:10" ht="12.75" customHeight="1" x14ac:dyDescent="0.2">
      <c r="B368" s="81"/>
      <c r="C368" s="81"/>
      <c r="D368" s="81"/>
      <c r="E368" s="81"/>
      <c r="F368" s="81"/>
      <c r="G368" s="81"/>
      <c r="H368" s="81"/>
      <c r="I368" s="81"/>
      <c r="J368" s="81"/>
    </row>
    <row r="369" spans="2:10" ht="12.75" customHeight="1" x14ac:dyDescent="0.2">
      <c r="B369" s="81"/>
      <c r="C369" s="81"/>
      <c r="D369" s="81"/>
      <c r="E369" s="81"/>
      <c r="F369" s="81"/>
      <c r="G369" s="81"/>
      <c r="H369" s="81"/>
      <c r="I369" s="81"/>
      <c r="J369" s="81"/>
    </row>
    <row r="370" spans="2:10" ht="12.75" customHeight="1" x14ac:dyDescent="0.2">
      <c r="B370" s="81"/>
      <c r="C370" s="81"/>
      <c r="D370" s="81"/>
      <c r="E370" s="81"/>
      <c r="F370" s="81"/>
      <c r="G370" s="81"/>
      <c r="H370" s="81"/>
      <c r="I370" s="81"/>
      <c r="J370" s="81"/>
    </row>
    <row r="371" spans="2:10" ht="12.75" customHeight="1" x14ac:dyDescent="0.2">
      <c r="B371" s="81"/>
      <c r="C371" s="81"/>
      <c r="D371" s="81"/>
      <c r="E371" s="81"/>
      <c r="F371" s="81"/>
      <c r="G371" s="81"/>
      <c r="H371" s="81"/>
      <c r="I371" s="81"/>
      <c r="J371" s="81"/>
    </row>
    <row r="372" spans="2:10" ht="12.75" customHeight="1" x14ac:dyDescent="0.2">
      <c r="B372" s="81"/>
      <c r="C372" s="81"/>
      <c r="D372" s="81"/>
      <c r="E372" s="81"/>
      <c r="F372" s="81"/>
      <c r="G372" s="81"/>
      <c r="H372" s="81"/>
      <c r="I372" s="81"/>
      <c r="J372" s="81"/>
    </row>
    <row r="373" spans="2:10" ht="12.75" customHeight="1" x14ac:dyDescent="0.2">
      <c r="B373" s="81"/>
      <c r="C373" s="81"/>
      <c r="D373" s="81"/>
      <c r="E373" s="81"/>
      <c r="F373" s="81"/>
      <c r="G373" s="81"/>
      <c r="H373" s="81"/>
      <c r="I373" s="81"/>
      <c r="J373" s="81"/>
    </row>
    <row r="374" spans="2:10" ht="12.75" customHeight="1" x14ac:dyDescent="0.2">
      <c r="B374" s="81"/>
      <c r="C374" s="81"/>
      <c r="D374" s="81"/>
      <c r="E374" s="81"/>
      <c r="F374" s="81"/>
      <c r="G374" s="81"/>
      <c r="H374" s="81"/>
      <c r="I374" s="81"/>
      <c r="J374" s="81"/>
    </row>
    <row r="375" spans="2:10" ht="12.75" customHeight="1" x14ac:dyDescent="0.2">
      <c r="B375" s="81"/>
      <c r="C375" s="81"/>
      <c r="D375" s="81"/>
      <c r="E375" s="81"/>
      <c r="F375" s="81"/>
      <c r="G375" s="81"/>
      <c r="H375" s="81"/>
      <c r="I375" s="81"/>
      <c r="J375" s="81"/>
    </row>
    <row r="376" spans="2:10" ht="12.75" customHeight="1" x14ac:dyDescent="0.2">
      <c r="B376" s="81"/>
      <c r="C376" s="81"/>
      <c r="D376" s="81"/>
      <c r="E376" s="81"/>
      <c r="F376" s="81"/>
      <c r="G376" s="81"/>
      <c r="H376" s="81"/>
      <c r="I376" s="81"/>
      <c r="J376" s="81"/>
    </row>
    <row r="377" spans="2:10" ht="12.75" customHeight="1" x14ac:dyDescent="0.2">
      <c r="B377" s="81"/>
      <c r="C377" s="81"/>
      <c r="D377" s="81"/>
      <c r="E377" s="81"/>
      <c r="F377" s="81"/>
      <c r="G377" s="81"/>
      <c r="H377" s="81"/>
      <c r="I377" s="81"/>
      <c r="J377" s="81"/>
    </row>
    <row r="378" spans="2:10" ht="12.75" customHeight="1" x14ac:dyDescent="0.2">
      <c r="B378" s="81"/>
      <c r="C378" s="81"/>
      <c r="D378" s="81"/>
      <c r="E378" s="81"/>
      <c r="F378" s="81"/>
      <c r="G378" s="81"/>
      <c r="H378" s="81"/>
      <c r="I378" s="81"/>
      <c r="J378" s="81"/>
    </row>
    <row r="379" spans="2:10" ht="12.75" customHeight="1" x14ac:dyDescent="0.2">
      <c r="B379" s="81"/>
      <c r="C379" s="81"/>
      <c r="D379" s="81"/>
      <c r="E379" s="81"/>
      <c r="F379" s="81"/>
      <c r="G379" s="81"/>
      <c r="H379" s="81"/>
      <c r="I379" s="81"/>
      <c r="J379" s="81"/>
    </row>
    <row r="380" spans="2:10" ht="12.75" customHeight="1" x14ac:dyDescent="0.2">
      <c r="B380" s="81"/>
      <c r="C380" s="81"/>
      <c r="D380" s="81"/>
      <c r="E380" s="81"/>
      <c r="F380" s="81"/>
      <c r="G380" s="81"/>
      <c r="H380" s="81"/>
      <c r="I380" s="81"/>
      <c r="J380" s="81"/>
    </row>
    <row r="381" spans="2:10" ht="12.75" customHeight="1" x14ac:dyDescent="0.2">
      <c r="B381" s="81"/>
      <c r="C381" s="81"/>
      <c r="D381" s="81"/>
      <c r="E381" s="81"/>
      <c r="F381" s="81"/>
      <c r="G381" s="81"/>
      <c r="H381" s="81"/>
      <c r="I381" s="81"/>
      <c r="J381" s="81"/>
    </row>
    <row r="382" spans="2:10" ht="12.75" customHeight="1" x14ac:dyDescent="0.2">
      <c r="B382" s="81"/>
      <c r="C382" s="81"/>
      <c r="D382" s="81"/>
      <c r="E382" s="81"/>
      <c r="F382" s="81"/>
      <c r="G382" s="81"/>
      <c r="H382" s="81"/>
      <c r="I382" s="81"/>
      <c r="J382" s="81"/>
    </row>
    <row r="383" spans="2:10" ht="12.75" customHeight="1" x14ac:dyDescent="0.2">
      <c r="B383" s="81"/>
      <c r="C383" s="81"/>
      <c r="D383" s="81"/>
      <c r="E383" s="81"/>
      <c r="F383" s="81"/>
      <c r="G383" s="81"/>
      <c r="H383" s="81"/>
      <c r="I383" s="81"/>
      <c r="J383" s="81"/>
    </row>
    <row r="384" spans="2:10" ht="12.75" customHeight="1" x14ac:dyDescent="0.2">
      <c r="B384" s="81"/>
      <c r="C384" s="81"/>
      <c r="D384" s="81"/>
      <c r="E384" s="81"/>
      <c r="F384" s="81"/>
      <c r="G384" s="81"/>
      <c r="H384" s="81"/>
      <c r="I384" s="81"/>
      <c r="J384" s="81"/>
    </row>
    <row r="385" spans="2:10" ht="12.75" customHeight="1" x14ac:dyDescent="0.2">
      <c r="B385" s="81"/>
      <c r="C385" s="81"/>
      <c r="D385" s="81"/>
      <c r="E385" s="81"/>
      <c r="F385" s="81"/>
      <c r="G385" s="81"/>
      <c r="H385" s="81"/>
      <c r="I385" s="81"/>
      <c r="J385" s="81"/>
    </row>
    <row r="386" spans="2:10" ht="12.75" customHeight="1" x14ac:dyDescent="0.2">
      <c r="B386" s="81"/>
      <c r="C386" s="81"/>
      <c r="D386" s="81"/>
      <c r="E386" s="81"/>
      <c r="F386" s="81"/>
      <c r="G386" s="81"/>
      <c r="H386" s="81"/>
      <c r="I386" s="81"/>
      <c r="J386" s="81"/>
    </row>
    <row r="387" spans="2:10" ht="12.75" customHeight="1" x14ac:dyDescent="0.2">
      <c r="B387" s="81"/>
      <c r="C387" s="81"/>
      <c r="D387" s="81"/>
      <c r="E387" s="81"/>
      <c r="F387" s="81"/>
      <c r="G387" s="81"/>
      <c r="H387" s="81"/>
      <c r="I387" s="81"/>
      <c r="J387" s="81"/>
    </row>
    <row r="388" spans="2:10" ht="12.75" customHeight="1" x14ac:dyDescent="0.2">
      <c r="B388" s="81"/>
      <c r="C388" s="81"/>
      <c r="D388" s="81"/>
      <c r="E388" s="81"/>
      <c r="F388" s="81"/>
      <c r="G388" s="81"/>
      <c r="H388" s="81"/>
      <c r="I388" s="81"/>
      <c r="J388" s="81"/>
    </row>
    <row r="389" spans="2:10" ht="12.75" customHeight="1" x14ac:dyDescent="0.2">
      <c r="B389" s="81"/>
      <c r="C389" s="81"/>
      <c r="D389" s="81"/>
      <c r="E389" s="81"/>
      <c r="F389" s="81"/>
      <c r="G389" s="81"/>
      <c r="H389" s="81"/>
      <c r="I389" s="81"/>
      <c r="J389" s="81"/>
    </row>
    <row r="390" spans="2:10" ht="12.75" customHeight="1" x14ac:dyDescent="0.2">
      <c r="B390" s="81"/>
      <c r="C390" s="81"/>
      <c r="D390" s="81"/>
      <c r="E390" s="81"/>
      <c r="F390" s="81"/>
      <c r="G390" s="81"/>
      <c r="H390" s="81"/>
      <c r="I390" s="81"/>
      <c r="J390" s="81"/>
    </row>
    <row r="391" spans="2:10" ht="12.75" customHeight="1" x14ac:dyDescent="0.2">
      <c r="B391" s="81"/>
      <c r="C391" s="81"/>
      <c r="D391" s="81"/>
      <c r="E391" s="81"/>
      <c r="F391" s="81"/>
      <c r="G391" s="81"/>
      <c r="H391" s="81"/>
      <c r="I391" s="81"/>
      <c r="J391" s="81"/>
    </row>
    <row r="392" spans="2:10" ht="12.75" customHeight="1" x14ac:dyDescent="0.2">
      <c r="B392" s="81"/>
      <c r="C392" s="81"/>
      <c r="D392" s="81"/>
      <c r="E392" s="81"/>
      <c r="F392" s="81"/>
      <c r="G392" s="81"/>
      <c r="H392" s="81"/>
      <c r="I392" s="81"/>
      <c r="J392" s="81"/>
    </row>
    <row r="393" spans="2:10" ht="12.75" customHeight="1" x14ac:dyDescent="0.2">
      <c r="B393" s="81"/>
      <c r="C393" s="81"/>
      <c r="D393" s="81"/>
      <c r="E393" s="81"/>
      <c r="F393" s="81"/>
      <c r="G393" s="81"/>
      <c r="H393" s="81"/>
      <c r="I393" s="81"/>
      <c r="J393" s="81"/>
    </row>
    <row r="394" spans="2:10" ht="12.75" customHeight="1" x14ac:dyDescent="0.2">
      <c r="B394" s="81"/>
      <c r="C394" s="81"/>
      <c r="D394" s="81"/>
      <c r="E394" s="81"/>
      <c r="F394" s="81"/>
      <c r="G394" s="81"/>
      <c r="H394" s="81"/>
      <c r="I394" s="81"/>
      <c r="J394" s="81"/>
    </row>
    <row r="395" spans="2:10" ht="12.75" customHeight="1" x14ac:dyDescent="0.2">
      <c r="B395" s="81"/>
      <c r="C395" s="81"/>
      <c r="D395" s="81"/>
      <c r="E395" s="81"/>
      <c r="F395" s="81"/>
      <c r="G395" s="81"/>
      <c r="H395" s="81"/>
      <c r="I395" s="81"/>
      <c r="J395" s="81"/>
    </row>
    <row r="396" spans="2:10" ht="12.75" customHeight="1" x14ac:dyDescent="0.2">
      <c r="B396" s="81"/>
      <c r="C396" s="81"/>
      <c r="D396" s="81"/>
      <c r="E396" s="81"/>
      <c r="F396" s="81"/>
      <c r="G396" s="81"/>
      <c r="H396" s="81"/>
      <c r="I396" s="81"/>
      <c r="J396" s="81"/>
    </row>
    <row r="397" spans="2:10" ht="12.75" customHeight="1" x14ac:dyDescent="0.2">
      <c r="B397" s="81"/>
      <c r="C397" s="81"/>
      <c r="D397" s="81"/>
      <c r="E397" s="81"/>
      <c r="F397" s="81"/>
      <c r="G397" s="81"/>
      <c r="H397" s="81"/>
      <c r="I397" s="81"/>
      <c r="J397" s="81"/>
    </row>
    <row r="398" spans="2:10" ht="12.75" customHeight="1" x14ac:dyDescent="0.2">
      <c r="B398" s="81"/>
      <c r="C398" s="81"/>
      <c r="D398" s="81"/>
      <c r="E398" s="81"/>
      <c r="F398" s="81"/>
      <c r="G398" s="81"/>
      <c r="H398" s="81"/>
      <c r="I398" s="81"/>
      <c r="J398" s="81"/>
    </row>
    <row r="399" spans="2:10" ht="12.75" customHeight="1" x14ac:dyDescent="0.2">
      <c r="B399" s="81"/>
      <c r="C399" s="81"/>
      <c r="D399" s="81"/>
      <c r="E399" s="81"/>
      <c r="F399" s="81"/>
      <c r="G399" s="81"/>
      <c r="H399" s="81"/>
      <c r="I399" s="81"/>
      <c r="J399" s="81"/>
    </row>
    <row r="400" spans="2:10" ht="12.75" customHeight="1" x14ac:dyDescent="0.2">
      <c r="B400" s="81"/>
      <c r="C400" s="81"/>
      <c r="D400" s="81"/>
      <c r="E400" s="81"/>
      <c r="F400" s="81"/>
      <c r="G400" s="81"/>
      <c r="H400" s="81"/>
      <c r="I400" s="81"/>
      <c r="J400" s="81"/>
    </row>
    <row r="401" spans="2:10" ht="12.75" customHeight="1" x14ac:dyDescent="0.2">
      <c r="B401" s="81"/>
      <c r="C401" s="81"/>
      <c r="D401" s="81"/>
      <c r="E401" s="81"/>
      <c r="F401" s="81"/>
      <c r="G401" s="81"/>
      <c r="H401" s="81"/>
      <c r="I401" s="81"/>
      <c r="J401" s="81"/>
    </row>
    <row r="402" spans="2:10" ht="12.75" customHeight="1" x14ac:dyDescent="0.2">
      <c r="B402" s="81"/>
      <c r="C402" s="81"/>
      <c r="D402" s="81"/>
      <c r="E402" s="81"/>
      <c r="F402" s="81"/>
      <c r="G402" s="81"/>
      <c r="H402" s="81"/>
      <c r="I402" s="81"/>
      <c r="J402" s="81"/>
    </row>
    <row r="403" spans="2:10" ht="12.75" customHeight="1" x14ac:dyDescent="0.2">
      <c r="B403" s="81"/>
      <c r="C403" s="81"/>
      <c r="D403" s="81"/>
      <c r="E403" s="81"/>
      <c r="F403" s="81"/>
      <c r="G403" s="81"/>
      <c r="H403" s="81"/>
      <c r="I403" s="81"/>
      <c r="J403" s="81"/>
    </row>
    <row r="404" spans="2:10" ht="12.75" customHeight="1" x14ac:dyDescent="0.2">
      <c r="B404" s="81"/>
      <c r="C404" s="81"/>
      <c r="D404" s="81"/>
      <c r="E404" s="81"/>
      <c r="F404" s="81"/>
      <c r="G404" s="81"/>
      <c r="H404" s="81"/>
      <c r="I404" s="81"/>
      <c r="J404" s="81"/>
    </row>
    <row r="405" spans="2:10" ht="12.75" customHeight="1" x14ac:dyDescent="0.2">
      <c r="B405" s="81"/>
      <c r="C405" s="81"/>
      <c r="D405" s="81"/>
      <c r="E405" s="81"/>
      <c r="F405" s="81"/>
      <c r="G405" s="81"/>
      <c r="H405" s="81"/>
      <c r="I405" s="81"/>
      <c r="J405" s="81"/>
    </row>
    <row r="406" spans="2:10" ht="12.75" customHeight="1" x14ac:dyDescent="0.2">
      <c r="B406" s="81"/>
      <c r="C406" s="81"/>
      <c r="D406" s="81"/>
      <c r="E406" s="81"/>
      <c r="F406" s="81"/>
      <c r="G406" s="81"/>
      <c r="H406" s="81"/>
      <c r="I406" s="81"/>
      <c r="J406" s="81"/>
    </row>
    <row r="407" spans="2:10" ht="12.75" customHeight="1" x14ac:dyDescent="0.2">
      <c r="B407" s="81"/>
      <c r="C407" s="81"/>
      <c r="D407" s="81"/>
      <c r="E407" s="81"/>
      <c r="F407" s="81"/>
      <c r="G407" s="81"/>
      <c r="H407" s="81"/>
      <c r="I407" s="81"/>
      <c r="J407" s="81"/>
    </row>
    <row r="408" spans="2:10" ht="12.75" customHeight="1" x14ac:dyDescent="0.2">
      <c r="B408" s="81"/>
      <c r="C408" s="81"/>
      <c r="D408" s="81"/>
      <c r="E408" s="81"/>
      <c r="F408" s="81"/>
      <c r="G408" s="81"/>
      <c r="H408" s="81"/>
      <c r="I408" s="81"/>
      <c r="J408" s="81"/>
    </row>
    <row r="409" spans="2:10" ht="12.75" customHeight="1" x14ac:dyDescent="0.2">
      <c r="B409" s="81"/>
      <c r="C409" s="81"/>
      <c r="D409" s="81"/>
      <c r="E409" s="81"/>
      <c r="F409" s="81"/>
      <c r="G409" s="81"/>
      <c r="H409" s="81"/>
      <c r="I409" s="81"/>
      <c r="J409" s="81"/>
    </row>
    <row r="410" spans="2:10" ht="12.75" customHeight="1" x14ac:dyDescent="0.2">
      <c r="B410" s="81"/>
      <c r="C410" s="81"/>
      <c r="D410" s="81"/>
      <c r="E410" s="81"/>
      <c r="F410" s="81"/>
      <c r="G410" s="81"/>
      <c r="H410" s="81"/>
      <c r="I410" s="81"/>
      <c r="J410" s="81"/>
    </row>
    <row r="411" spans="2:10" ht="12.75" customHeight="1" x14ac:dyDescent="0.2">
      <c r="B411" s="81"/>
      <c r="C411" s="81"/>
      <c r="D411" s="81"/>
      <c r="E411" s="81"/>
      <c r="F411" s="81"/>
      <c r="G411" s="81"/>
      <c r="H411" s="81"/>
      <c r="I411" s="81"/>
      <c r="J411" s="81"/>
    </row>
    <row r="412" spans="2:10" ht="12.75" customHeight="1" x14ac:dyDescent="0.2">
      <c r="B412" s="81"/>
      <c r="C412" s="81"/>
      <c r="D412" s="81"/>
      <c r="E412" s="81"/>
      <c r="F412" s="81"/>
      <c r="G412" s="81"/>
      <c r="H412" s="81"/>
      <c r="I412" s="81"/>
      <c r="J412" s="81"/>
    </row>
    <row r="413" spans="2:10" ht="12.75" customHeight="1" x14ac:dyDescent="0.2">
      <c r="B413" s="81"/>
      <c r="C413" s="81"/>
      <c r="D413" s="81"/>
      <c r="E413" s="81"/>
      <c r="F413" s="81"/>
      <c r="G413" s="81"/>
      <c r="H413" s="81"/>
      <c r="I413" s="81"/>
      <c r="J413" s="81"/>
    </row>
    <row r="414" spans="2:10" ht="12.75" customHeight="1" x14ac:dyDescent="0.2">
      <c r="B414" s="81"/>
      <c r="C414" s="81"/>
      <c r="D414" s="81"/>
      <c r="E414" s="81"/>
      <c r="F414" s="81"/>
      <c r="G414" s="81"/>
      <c r="H414" s="81"/>
      <c r="I414" s="81"/>
      <c r="J414" s="81"/>
    </row>
    <row r="415" spans="2:10" ht="12.75" customHeight="1" x14ac:dyDescent="0.2">
      <c r="B415" s="81"/>
      <c r="C415" s="81"/>
      <c r="D415" s="81"/>
      <c r="E415" s="81"/>
      <c r="F415" s="81"/>
      <c r="G415" s="81"/>
      <c r="H415" s="81"/>
      <c r="I415" s="81"/>
      <c r="J415" s="81"/>
    </row>
    <row r="416" spans="2:10" ht="12.75" customHeight="1" x14ac:dyDescent="0.2">
      <c r="B416" s="81"/>
      <c r="C416" s="81"/>
      <c r="D416" s="81"/>
      <c r="E416" s="81"/>
      <c r="F416" s="81"/>
      <c r="G416" s="81"/>
      <c r="H416" s="81"/>
      <c r="I416" s="81"/>
      <c r="J416" s="81"/>
    </row>
    <row r="417" spans="2:10" ht="12.75" customHeight="1" x14ac:dyDescent="0.2">
      <c r="B417" s="81"/>
      <c r="C417" s="81"/>
      <c r="D417" s="81"/>
      <c r="E417" s="81"/>
      <c r="F417" s="81"/>
      <c r="G417" s="81"/>
      <c r="H417" s="81"/>
      <c r="I417" s="81"/>
      <c r="J417" s="81"/>
    </row>
    <row r="418" spans="2:10" ht="12.75" customHeight="1" x14ac:dyDescent="0.2">
      <c r="B418" s="81"/>
      <c r="C418" s="81"/>
      <c r="D418" s="81"/>
      <c r="E418" s="81"/>
      <c r="F418" s="81"/>
      <c r="G418" s="81"/>
      <c r="H418" s="81"/>
      <c r="I418" s="81"/>
      <c r="J418" s="81"/>
    </row>
    <row r="419" spans="2:10" ht="12.75" customHeight="1" x14ac:dyDescent="0.2">
      <c r="B419" s="81"/>
      <c r="C419" s="81"/>
      <c r="D419" s="81"/>
      <c r="E419" s="81"/>
      <c r="F419" s="81"/>
      <c r="G419" s="81"/>
      <c r="H419" s="81"/>
      <c r="I419" s="81"/>
      <c r="J419" s="81"/>
    </row>
    <row r="420" spans="2:10" ht="12.75" customHeight="1" x14ac:dyDescent="0.2">
      <c r="B420" s="81"/>
      <c r="C420" s="81"/>
      <c r="D420" s="81"/>
      <c r="E420" s="81"/>
      <c r="F420" s="81"/>
      <c r="G420" s="81"/>
      <c r="H420" s="81"/>
      <c r="I420" s="81"/>
      <c r="J420" s="81"/>
    </row>
    <row r="421" spans="2:10" ht="12.75" customHeight="1" x14ac:dyDescent="0.2">
      <c r="B421" s="81"/>
      <c r="C421" s="81"/>
      <c r="D421" s="81"/>
      <c r="E421" s="81"/>
      <c r="F421" s="81"/>
      <c r="G421" s="81"/>
      <c r="H421" s="81"/>
      <c r="I421" s="81"/>
      <c r="J421" s="81"/>
    </row>
    <row r="422" spans="2:10" ht="12.75" customHeight="1" x14ac:dyDescent="0.2">
      <c r="B422" s="81"/>
      <c r="C422" s="81"/>
      <c r="D422" s="81"/>
      <c r="E422" s="81"/>
      <c r="F422" s="81"/>
      <c r="G422" s="81"/>
      <c r="H422" s="81"/>
      <c r="I422" s="81"/>
      <c r="J422" s="81"/>
    </row>
    <row r="423" spans="2:10" ht="12.75" customHeight="1" x14ac:dyDescent="0.2">
      <c r="B423" s="81"/>
      <c r="C423" s="81"/>
      <c r="D423" s="81"/>
      <c r="E423" s="81"/>
      <c r="F423" s="81"/>
      <c r="G423" s="81"/>
      <c r="H423" s="81"/>
      <c r="I423" s="81"/>
      <c r="J423" s="81"/>
    </row>
    <row r="424" spans="2:10" ht="12.75" customHeight="1" x14ac:dyDescent="0.2">
      <c r="B424" s="81"/>
      <c r="C424" s="81"/>
      <c r="D424" s="81"/>
      <c r="E424" s="81"/>
      <c r="F424" s="81"/>
      <c r="G424" s="81"/>
      <c r="H424" s="81"/>
      <c r="I424" s="81"/>
      <c r="J424" s="81"/>
    </row>
    <row r="425" spans="2:10" ht="12.75" customHeight="1" x14ac:dyDescent="0.2">
      <c r="B425" s="81"/>
      <c r="C425" s="81"/>
      <c r="D425" s="81"/>
      <c r="E425" s="81"/>
      <c r="F425" s="81"/>
      <c r="G425" s="81"/>
      <c r="H425" s="81"/>
      <c r="I425" s="81"/>
      <c r="J425" s="81"/>
    </row>
    <row r="426" spans="2:10" ht="12.75" customHeight="1" x14ac:dyDescent="0.2">
      <c r="B426" s="81"/>
      <c r="C426" s="81"/>
      <c r="D426" s="81"/>
      <c r="E426" s="81"/>
      <c r="F426" s="81"/>
      <c r="G426" s="81"/>
      <c r="H426" s="81"/>
      <c r="I426" s="81"/>
      <c r="J426" s="81"/>
    </row>
    <row r="427" spans="2:10" ht="12.75" customHeight="1" x14ac:dyDescent="0.2">
      <c r="B427" s="81"/>
      <c r="C427" s="81"/>
      <c r="D427" s="81"/>
      <c r="E427" s="81"/>
      <c r="F427" s="81"/>
      <c r="G427" s="81"/>
      <c r="H427" s="81"/>
      <c r="I427" s="81"/>
      <c r="J427" s="81"/>
    </row>
    <row r="428" spans="2:10" ht="12.75" customHeight="1" x14ac:dyDescent="0.2">
      <c r="B428" s="81"/>
      <c r="C428" s="81"/>
      <c r="D428" s="81"/>
      <c r="E428" s="81"/>
      <c r="F428" s="81"/>
      <c r="G428" s="81"/>
      <c r="H428" s="81"/>
      <c r="I428" s="81"/>
      <c r="J428" s="81"/>
    </row>
    <row r="429" spans="2:10" ht="12.75" customHeight="1" x14ac:dyDescent="0.2">
      <c r="B429" s="81"/>
      <c r="C429" s="81"/>
      <c r="D429" s="81"/>
      <c r="E429" s="81"/>
      <c r="F429" s="81"/>
      <c r="G429" s="81"/>
      <c r="H429" s="81"/>
      <c r="I429" s="81"/>
      <c r="J429" s="81"/>
    </row>
    <row r="430" spans="2:10" ht="12.75" customHeight="1" x14ac:dyDescent="0.2">
      <c r="B430" s="81"/>
      <c r="C430" s="81"/>
      <c r="D430" s="81"/>
      <c r="E430" s="81"/>
      <c r="F430" s="81"/>
      <c r="G430" s="81"/>
      <c r="H430" s="81"/>
      <c r="I430" s="81"/>
      <c r="J430" s="81"/>
    </row>
    <row r="431" spans="2:10" ht="12.75" customHeight="1" x14ac:dyDescent="0.2">
      <c r="B431" s="81"/>
      <c r="C431" s="81"/>
      <c r="D431" s="81"/>
      <c r="E431" s="81"/>
      <c r="F431" s="81"/>
      <c r="G431" s="81"/>
      <c r="H431" s="81"/>
      <c r="I431" s="81"/>
      <c r="J431" s="81"/>
    </row>
    <row r="432" spans="2:10" ht="12.75" customHeight="1" x14ac:dyDescent="0.2">
      <c r="B432" s="81"/>
      <c r="C432" s="81"/>
      <c r="D432" s="81"/>
      <c r="E432" s="81"/>
      <c r="F432" s="81"/>
      <c r="G432" s="81"/>
      <c r="H432" s="81"/>
      <c r="I432" s="81"/>
      <c r="J432" s="81"/>
    </row>
    <row r="433" spans="2:10" ht="12.75" customHeight="1" x14ac:dyDescent="0.2">
      <c r="B433" s="81"/>
      <c r="C433" s="81"/>
      <c r="D433" s="81"/>
      <c r="E433" s="81"/>
      <c r="F433" s="81"/>
      <c r="G433" s="81"/>
      <c r="H433" s="81"/>
      <c r="I433" s="81"/>
      <c r="J433" s="81"/>
    </row>
    <row r="434" spans="2:10" ht="12.75" customHeight="1" x14ac:dyDescent="0.2">
      <c r="B434" s="81"/>
      <c r="C434" s="81"/>
      <c r="D434" s="81"/>
      <c r="E434" s="81"/>
      <c r="F434" s="81"/>
      <c r="G434" s="81"/>
      <c r="H434" s="81"/>
      <c r="I434" s="81"/>
      <c r="J434" s="81"/>
    </row>
    <row r="435" spans="2:10" ht="12.75" customHeight="1" x14ac:dyDescent="0.2">
      <c r="B435" s="81"/>
      <c r="C435" s="81"/>
      <c r="D435" s="81"/>
      <c r="E435" s="81"/>
      <c r="F435" s="81"/>
      <c r="G435" s="81"/>
      <c r="H435" s="81"/>
      <c r="I435" s="81"/>
      <c r="J435" s="81"/>
    </row>
    <row r="436" spans="2:10" ht="12.75" customHeight="1" x14ac:dyDescent="0.2">
      <c r="B436" s="81"/>
      <c r="C436" s="81"/>
      <c r="D436" s="81"/>
      <c r="E436" s="81"/>
      <c r="F436" s="81"/>
      <c r="G436" s="81"/>
      <c r="H436" s="81"/>
      <c r="I436" s="81"/>
      <c r="J436" s="81"/>
    </row>
    <row r="437" spans="2:10" ht="12.75" customHeight="1" x14ac:dyDescent="0.2">
      <c r="B437" s="81"/>
      <c r="C437" s="81"/>
      <c r="D437" s="81"/>
      <c r="E437" s="81"/>
      <c r="F437" s="81"/>
      <c r="G437" s="81"/>
      <c r="H437" s="81"/>
      <c r="I437" s="81"/>
      <c r="J437" s="81"/>
    </row>
    <row r="438" spans="2:10" ht="12.75" customHeight="1" x14ac:dyDescent="0.2">
      <c r="B438" s="81"/>
      <c r="C438" s="81"/>
      <c r="D438" s="81"/>
      <c r="E438" s="81"/>
      <c r="F438" s="81"/>
      <c r="G438" s="81"/>
      <c r="H438" s="81"/>
      <c r="I438" s="81"/>
      <c r="J438" s="81"/>
    </row>
    <row r="439" spans="2:10" ht="12.75" customHeight="1" x14ac:dyDescent="0.2">
      <c r="B439" s="81"/>
      <c r="C439" s="81"/>
      <c r="D439" s="81"/>
      <c r="E439" s="81"/>
      <c r="F439" s="81"/>
      <c r="G439" s="81"/>
      <c r="H439" s="81"/>
      <c r="I439" s="81"/>
      <c r="J439" s="81"/>
    </row>
    <row r="440" spans="2:10" ht="12.75" customHeight="1" x14ac:dyDescent="0.2">
      <c r="B440" s="81"/>
      <c r="C440" s="81"/>
      <c r="D440" s="81"/>
      <c r="E440" s="81"/>
      <c r="F440" s="81"/>
      <c r="G440" s="81"/>
      <c r="H440" s="81"/>
      <c r="I440" s="81"/>
      <c r="J440" s="81"/>
    </row>
    <row r="441" spans="2:10" ht="12.75" customHeight="1" x14ac:dyDescent="0.2">
      <c r="B441" s="81"/>
      <c r="C441" s="81"/>
      <c r="D441" s="81"/>
      <c r="E441" s="81"/>
      <c r="F441" s="81"/>
      <c r="G441" s="81"/>
      <c r="H441" s="81"/>
      <c r="I441" s="81"/>
      <c r="J441" s="81"/>
    </row>
    <row r="442" spans="2:10" ht="12.75" customHeight="1" x14ac:dyDescent="0.2">
      <c r="B442" s="81"/>
      <c r="C442" s="81"/>
      <c r="D442" s="81"/>
      <c r="E442" s="81"/>
      <c r="F442" s="81"/>
      <c r="G442" s="81"/>
      <c r="H442" s="81"/>
      <c r="I442" s="81"/>
      <c r="J442" s="81"/>
    </row>
    <row r="443" spans="2:10" ht="12.75" customHeight="1" x14ac:dyDescent="0.2">
      <c r="B443" s="81"/>
      <c r="C443" s="81"/>
      <c r="D443" s="81"/>
      <c r="E443" s="81"/>
      <c r="F443" s="81"/>
      <c r="G443" s="81"/>
      <c r="H443" s="81"/>
      <c r="I443" s="81"/>
      <c r="J443" s="81"/>
    </row>
    <row r="444" spans="2:10" ht="12.75" customHeight="1" x14ac:dyDescent="0.2">
      <c r="B444" s="81"/>
      <c r="C444" s="81"/>
      <c r="D444" s="81"/>
      <c r="E444" s="81"/>
      <c r="F444" s="81"/>
      <c r="G444" s="81"/>
      <c r="H444" s="81"/>
      <c r="I444" s="81"/>
      <c r="J444" s="81"/>
    </row>
    <row r="445" spans="2:10" ht="12.75" customHeight="1" x14ac:dyDescent="0.2">
      <c r="B445" s="81"/>
      <c r="C445" s="81"/>
      <c r="D445" s="81"/>
      <c r="E445" s="81"/>
      <c r="F445" s="81"/>
      <c r="G445" s="81"/>
      <c r="H445" s="81"/>
      <c r="I445" s="81"/>
      <c r="J445" s="81"/>
    </row>
    <row r="446" spans="2:10" ht="12.75" customHeight="1" x14ac:dyDescent="0.2">
      <c r="B446" s="81"/>
      <c r="C446" s="81"/>
      <c r="D446" s="81"/>
      <c r="E446" s="81"/>
      <c r="F446" s="81"/>
      <c r="G446" s="81"/>
      <c r="H446" s="81"/>
      <c r="I446" s="81"/>
      <c r="J446" s="81"/>
    </row>
    <row r="447" spans="2:10" ht="12.75" customHeight="1" x14ac:dyDescent="0.2">
      <c r="B447" s="81"/>
      <c r="C447" s="81"/>
      <c r="D447" s="81"/>
      <c r="E447" s="81"/>
      <c r="F447" s="81"/>
      <c r="G447" s="81"/>
      <c r="H447" s="81"/>
      <c r="I447" s="81"/>
      <c r="J447" s="81"/>
    </row>
    <row r="448" spans="2:10" ht="12.75" customHeight="1" x14ac:dyDescent="0.2">
      <c r="B448" s="81"/>
      <c r="C448" s="81"/>
      <c r="D448" s="81"/>
      <c r="E448" s="81"/>
      <c r="F448" s="81"/>
      <c r="G448" s="81"/>
      <c r="H448" s="81"/>
      <c r="I448" s="81"/>
      <c r="J448" s="81"/>
    </row>
    <row r="449" spans="2:10" ht="12.75" customHeight="1" x14ac:dyDescent="0.2">
      <c r="B449" s="81"/>
      <c r="C449" s="81"/>
      <c r="D449" s="81"/>
      <c r="E449" s="81"/>
      <c r="F449" s="81"/>
      <c r="G449" s="81"/>
      <c r="H449" s="81"/>
      <c r="I449" s="81"/>
      <c r="J449" s="81"/>
    </row>
    <row r="450" spans="2:10" ht="12.75" customHeight="1" x14ac:dyDescent="0.2">
      <c r="B450" s="81"/>
      <c r="C450" s="81"/>
      <c r="D450" s="81"/>
      <c r="E450" s="81"/>
      <c r="F450" s="81"/>
      <c r="G450" s="81"/>
      <c r="H450" s="81"/>
      <c r="I450" s="81"/>
      <c r="J450" s="81"/>
    </row>
    <row r="451" spans="2:10" ht="12.75" customHeight="1" x14ac:dyDescent="0.2">
      <c r="B451" s="81"/>
      <c r="C451" s="81"/>
      <c r="D451" s="81"/>
      <c r="E451" s="81"/>
      <c r="F451" s="81"/>
      <c r="G451" s="81"/>
      <c r="H451" s="81"/>
      <c r="I451" s="81"/>
      <c r="J451" s="81"/>
    </row>
    <row r="452" spans="2:10" ht="12.75" customHeight="1" x14ac:dyDescent="0.2">
      <c r="B452" s="81"/>
      <c r="C452" s="81"/>
      <c r="D452" s="81"/>
      <c r="E452" s="81"/>
      <c r="F452" s="81"/>
      <c r="G452" s="81"/>
      <c r="H452" s="81"/>
      <c r="I452" s="81"/>
      <c r="J452" s="81"/>
    </row>
    <row r="453" spans="2:10" ht="12.75" customHeight="1" x14ac:dyDescent="0.2">
      <c r="B453" s="81"/>
      <c r="C453" s="81"/>
      <c r="D453" s="81"/>
      <c r="E453" s="81"/>
      <c r="F453" s="81"/>
      <c r="G453" s="81"/>
      <c r="H453" s="81"/>
      <c r="I453" s="81"/>
      <c r="J453" s="81"/>
    </row>
    <row r="454" spans="2:10" ht="12.75" customHeight="1" x14ac:dyDescent="0.2">
      <c r="B454" s="81"/>
      <c r="C454" s="81"/>
      <c r="D454" s="81"/>
      <c r="E454" s="81"/>
      <c r="F454" s="81"/>
      <c r="G454" s="81"/>
      <c r="H454" s="81"/>
      <c r="I454" s="81"/>
      <c r="J454" s="81"/>
    </row>
    <row r="455" spans="2:10" ht="12.75" customHeight="1" x14ac:dyDescent="0.2">
      <c r="B455" s="81"/>
      <c r="C455" s="81"/>
      <c r="D455" s="81"/>
      <c r="E455" s="81"/>
      <c r="F455" s="81"/>
      <c r="G455" s="81"/>
      <c r="H455" s="81"/>
      <c r="I455" s="81"/>
      <c r="J455" s="81"/>
    </row>
    <row r="456" spans="2:10" ht="12.75" customHeight="1" x14ac:dyDescent="0.2">
      <c r="B456" s="81"/>
      <c r="C456" s="81"/>
      <c r="D456" s="81"/>
      <c r="E456" s="81"/>
      <c r="F456" s="81"/>
      <c r="G456" s="81"/>
      <c r="H456" s="81"/>
      <c r="I456" s="81"/>
      <c r="J456" s="81"/>
    </row>
    <row r="457" spans="2:10" ht="12.75" customHeight="1" x14ac:dyDescent="0.2">
      <c r="B457" s="81"/>
      <c r="C457" s="81"/>
      <c r="D457" s="81"/>
      <c r="E457" s="81"/>
      <c r="F457" s="81"/>
      <c r="G457" s="81"/>
      <c r="H457" s="81"/>
      <c r="I457" s="81"/>
      <c r="J457" s="81"/>
    </row>
    <row r="458" spans="2:10" ht="12.75" customHeight="1" x14ac:dyDescent="0.2">
      <c r="B458" s="81"/>
      <c r="C458" s="81"/>
      <c r="D458" s="81"/>
      <c r="E458" s="81"/>
      <c r="F458" s="81"/>
      <c r="G458" s="81"/>
      <c r="H458" s="81"/>
      <c r="I458" s="81"/>
      <c r="J458" s="81"/>
    </row>
    <row r="459" spans="2:10" ht="12.75" customHeight="1" x14ac:dyDescent="0.2">
      <c r="B459" s="81"/>
      <c r="C459" s="81"/>
      <c r="D459" s="81"/>
      <c r="E459" s="81"/>
      <c r="F459" s="81"/>
      <c r="G459" s="81"/>
      <c r="H459" s="81"/>
      <c r="I459" s="81"/>
      <c r="J459" s="81"/>
    </row>
    <row r="460" spans="2:10" ht="12.75" customHeight="1" x14ac:dyDescent="0.2">
      <c r="B460" s="81"/>
      <c r="C460" s="81"/>
      <c r="D460" s="81"/>
      <c r="E460" s="81"/>
      <c r="F460" s="81"/>
      <c r="G460" s="81"/>
      <c r="H460" s="81"/>
      <c r="I460" s="81"/>
      <c r="J460" s="81"/>
    </row>
    <row r="461" spans="2:10" ht="12.75" customHeight="1" x14ac:dyDescent="0.2">
      <c r="B461" s="81"/>
      <c r="C461" s="81"/>
      <c r="D461" s="81"/>
      <c r="E461" s="81"/>
      <c r="F461" s="81"/>
      <c r="G461" s="81"/>
      <c r="H461" s="81"/>
      <c r="I461" s="81"/>
      <c r="J461" s="81"/>
    </row>
    <row r="462" spans="2:10" ht="12.75" customHeight="1" x14ac:dyDescent="0.2">
      <c r="B462" s="81"/>
      <c r="C462" s="81"/>
      <c r="D462" s="81"/>
      <c r="E462" s="81"/>
      <c r="F462" s="81"/>
      <c r="G462" s="81"/>
      <c r="H462" s="81"/>
      <c r="I462" s="81"/>
      <c r="J462" s="81"/>
    </row>
    <row r="463" spans="2:10" ht="12.75" customHeight="1" x14ac:dyDescent="0.2">
      <c r="B463" s="81"/>
      <c r="C463" s="81"/>
      <c r="D463" s="81"/>
      <c r="E463" s="81"/>
      <c r="F463" s="81"/>
      <c r="G463" s="81"/>
      <c r="H463" s="81"/>
      <c r="I463" s="81"/>
      <c r="J463" s="81"/>
    </row>
    <row r="464" spans="2:10" ht="12.75" customHeight="1" x14ac:dyDescent="0.2">
      <c r="B464" s="81"/>
      <c r="C464" s="81"/>
      <c r="D464" s="81"/>
      <c r="E464" s="81"/>
      <c r="F464" s="81"/>
      <c r="G464" s="81"/>
      <c r="H464" s="81"/>
      <c r="I464" s="81"/>
      <c r="J464" s="81"/>
    </row>
    <row r="465" spans="2:10" ht="12.75" customHeight="1" x14ac:dyDescent="0.2">
      <c r="B465" s="81"/>
      <c r="C465" s="81"/>
      <c r="D465" s="81"/>
      <c r="E465" s="81"/>
      <c r="F465" s="81"/>
      <c r="G465" s="81"/>
      <c r="H465" s="81"/>
      <c r="I465" s="81"/>
      <c r="J465" s="81"/>
    </row>
    <row r="466" spans="2:10" ht="12.75" customHeight="1" x14ac:dyDescent="0.2">
      <c r="B466" s="81"/>
      <c r="C466" s="81"/>
      <c r="D466" s="81"/>
      <c r="E466" s="81"/>
      <c r="F466" s="81"/>
      <c r="G466" s="81"/>
      <c r="H466" s="81"/>
      <c r="I466" s="81"/>
      <c r="J466" s="81"/>
    </row>
    <row r="467" spans="2:10" ht="12.75" customHeight="1" x14ac:dyDescent="0.2">
      <c r="B467" s="81"/>
      <c r="C467" s="81"/>
      <c r="D467" s="81"/>
      <c r="E467" s="81"/>
      <c r="F467" s="81"/>
      <c r="G467" s="81"/>
      <c r="H467" s="81"/>
      <c r="I467" s="81"/>
      <c r="J467" s="81"/>
    </row>
    <row r="468" spans="2:10" ht="12.75" customHeight="1" x14ac:dyDescent="0.2">
      <c r="B468" s="81"/>
      <c r="C468" s="81"/>
      <c r="D468" s="81"/>
      <c r="E468" s="81"/>
      <c r="F468" s="81"/>
      <c r="G468" s="81"/>
      <c r="H468" s="81"/>
      <c r="I468" s="81"/>
      <c r="J468" s="81"/>
    </row>
    <row r="469" spans="2:10" ht="12.75" customHeight="1" x14ac:dyDescent="0.2">
      <c r="B469" s="81"/>
      <c r="C469" s="81"/>
      <c r="D469" s="81"/>
      <c r="E469" s="81"/>
      <c r="F469" s="81"/>
      <c r="G469" s="81"/>
      <c r="H469" s="81"/>
      <c r="I469" s="81"/>
      <c r="J469" s="81"/>
    </row>
    <row r="470" spans="2:10" ht="12.75" customHeight="1" x14ac:dyDescent="0.2">
      <c r="B470" s="81"/>
      <c r="C470" s="81"/>
      <c r="D470" s="81"/>
      <c r="E470" s="81"/>
      <c r="F470" s="81"/>
      <c r="G470" s="81"/>
      <c r="H470" s="81"/>
      <c r="I470" s="81"/>
      <c r="J470" s="81"/>
    </row>
    <row r="471" spans="2:10" ht="12.75" customHeight="1" x14ac:dyDescent="0.2">
      <c r="B471" s="81"/>
      <c r="C471" s="81"/>
      <c r="D471" s="81"/>
      <c r="E471" s="81"/>
      <c r="F471" s="81"/>
      <c r="G471" s="81"/>
      <c r="H471" s="81"/>
      <c r="I471" s="81"/>
      <c r="J471" s="81"/>
    </row>
    <row r="472" spans="2:10" ht="12.75" customHeight="1" x14ac:dyDescent="0.2">
      <c r="B472" s="81"/>
      <c r="C472" s="81"/>
      <c r="D472" s="81"/>
      <c r="E472" s="81"/>
      <c r="F472" s="81"/>
      <c r="G472" s="81"/>
      <c r="H472" s="81"/>
      <c r="I472" s="81"/>
      <c r="J472" s="81"/>
    </row>
    <row r="473" spans="2:10" ht="12.75" customHeight="1" x14ac:dyDescent="0.2">
      <c r="B473" s="81"/>
      <c r="C473" s="81"/>
      <c r="D473" s="81"/>
      <c r="E473" s="81"/>
      <c r="F473" s="81"/>
      <c r="G473" s="81"/>
      <c r="H473" s="81"/>
      <c r="I473" s="81"/>
      <c r="J473" s="81"/>
    </row>
    <row r="474" spans="2:10" ht="12.75" customHeight="1" x14ac:dyDescent="0.2">
      <c r="B474" s="81"/>
      <c r="C474" s="81"/>
      <c r="D474" s="81"/>
      <c r="E474" s="81"/>
      <c r="F474" s="81"/>
      <c r="G474" s="81"/>
      <c r="H474" s="81"/>
      <c r="I474" s="81"/>
      <c r="J474" s="81"/>
    </row>
    <row r="475" spans="2:10" ht="12.75" customHeight="1" x14ac:dyDescent="0.2">
      <c r="B475" s="81"/>
      <c r="C475" s="81"/>
      <c r="D475" s="81"/>
      <c r="E475" s="81"/>
      <c r="F475" s="81"/>
      <c r="G475" s="81"/>
      <c r="H475" s="81"/>
      <c r="I475" s="81"/>
      <c r="J475" s="81"/>
    </row>
    <row r="476" spans="2:10" ht="12.75" customHeight="1" x14ac:dyDescent="0.2">
      <c r="B476" s="81"/>
      <c r="C476" s="81"/>
      <c r="D476" s="81"/>
      <c r="E476" s="81"/>
      <c r="F476" s="81"/>
      <c r="G476" s="81"/>
      <c r="H476" s="81"/>
      <c r="I476" s="81"/>
      <c r="J476" s="81"/>
    </row>
    <row r="477" spans="2:10" ht="12.75" customHeight="1" x14ac:dyDescent="0.2">
      <c r="B477" s="81"/>
      <c r="C477" s="81"/>
      <c r="D477" s="81"/>
      <c r="E477" s="81"/>
      <c r="F477" s="81"/>
      <c r="G477" s="81"/>
      <c r="H477" s="81"/>
      <c r="I477" s="81"/>
      <c r="J477" s="81"/>
    </row>
    <row r="478" spans="2:10" ht="12.75" customHeight="1" x14ac:dyDescent="0.2">
      <c r="B478" s="81"/>
      <c r="C478" s="81"/>
      <c r="D478" s="81"/>
      <c r="E478" s="81"/>
      <c r="F478" s="81"/>
      <c r="G478" s="81"/>
      <c r="H478" s="81"/>
      <c r="I478" s="81"/>
      <c r="J478" s="81"/>
    </row>
    <row r="479" spans="2:10" ht="12.75" customHeight="1" x14ac:dyDescent="0.2">
      <c r="B479" s="81"/>
      <c r="C479" s="81"/>
      <c r="D479" s="81"/>
      <c r="E479" s="81"/>
      <c r="F479" s="81"/>
      <c r="G479" s="81"/>
      <c r="H479" s="81"/>
      <c r="I479" s="81"/>
      <c r="J479" s="81"/>
    </row>
    <row r="480" spans="2:10" ht="12.75" customHeight="1" x14ac:dyDescent="0.2">
      <c r="B480" s="81"/>
      <c r="C480" s="81"/>
      <c r="D480" s="81"/>
      <c r="E480" s="81"/>
      <c r="F480" s="81"/>
      <c r="G480" s="81"/>
      <c r="H480" s="81"/>
      <c r="I480" s="81"/>
      <c r="J480" s="81"/>
    </row>
    <row r="481" spans="2:10" ht="12.75" customHeight="1" x14ac:dyDescent="0.2">
      <c r="B481" s="81"/>
      <c r="C481" s="81"/>
      <c r="D481" s="81"/>
      <c r="E481" s="81"/>
      <c r="F481" s="81"/>
      <c r="G481" s="81"/>
      <c r="H481" s="81"/>
      <c r="I481" s="81"/>
      <c r="J481" s="81"/>
    </row>
    <row r="482" spans="2:10" ht="12.75" customHeight="1" x14ac:dyDescent="0.2">
      <c r="B482" s="81"/>
      <c r="C482" s="81"/>
      <c r="D482" s="81"/>
      <c r="E482" s="81"/>
      <c r="F482" s="81"/>
      <c r="G482" s="81"/>
      <c r="H482" s="81"/>
      <c r="I482" s="81"/>
      <c r="J482" s="81"/>
    </row>
    <row r="483" spans="2:10" ht="12.75" customHeight="1" x14ac:dyDescent="0.2">
      <c r="B483" s="81"/>
      <c r="C483" s="81"/>
      <c r="D483" s="81"/>
      <c r="E483" s="81"/>
      <c r="F483" s="81"/>
      <c r="G483" s="81"/>
      <c r="H483" s="81"/>
      <c r="I483" s="81"/>
      <c r="J483" s="81"/>
    </row>
    <row r="484" spans="2:10" ht="12.75" customHeight="1" x14ac:dyDescent="0.2">
      <c r="B484" s="81"/>
      <c r="C484" s="81"/>
      <c r="D484" s="81"/>
      <c r="E484" s="81"/>
      <c r="F484" s="81"/>
      <c r="G484" s="81"/>
      <c r="H484" s="81"/>
      <c r="I484" s="81"/>
      <c r="J484" s="81"/>
    </row>
    <row r="485" spans="2:10" ht="12.75" customHeight="1" x14ac:dyDescent="0.2">
      <c r="B485" s="81"/>
      <c r="C485" s="81"/>
      <c r="D485" s="81"/>
      <c r="E485" s="81"/>
      <c r="F485" s="81"/>
      <c r="G485" s="81"/>
      <c r="H485" s="81"/>
      <c r="I485" s="81"/>
      <c r="J485" s="81"/>
    </row>
    <row r="486" spans="2:10" ht="12.75" customHeight="1" x14ac:dyDescent="0.2">
      <c r="B486" s="81"/>
      <c r="C486" s="81"/>
      <c r="D486" s="81"/>
      <c r="E486" s="81"/>
      <c r="F486" s="81"/>
      <c r="G486" s="81"/>
      <c r="H486" s="81"/>
      <c r="I486" s="81"/>
      <c r="J486" s="81"/>
    </row>
    <row r="487" spans="2:10" ht="12.75" customHeight="1" x14ac:dyDescent="0.2">
      <c r="B487" s="81"/>
      <c r="C487" s="81"/>
      <c r="D487" s="81"/>
      <c r="E487" s="81"/>
      <c r="F487" s="81"/>
      <c r="G487" s="81"/>
      <c r="H487" s="81"/>
      <c r="I487" s="81"/>
      <c r="J487" s="81"/>
    </row>
    <row r="488" spans="2:10" ht="12.75" customHeight="1" x14ac:dyDescent="0.2">
      <c r="B488" s="81"/>
      <c r="C488" s="81"/>
      <c r="D488" s="81"/>
      <c r="E488" s="81"/>
      <c r="F488" s="81"/>
      <c r="G488" s="81"/>
      <c r="H488" s="81"/>
      <c r="I488" s="81"/>
      <c r="J488" s="81"/>
    </row>
    <row r="489" spans="2:10" ht="12.75" customHeight="1" x14ac:dyDescent="0.2">
      <c r="B489" s="81"/>
      <c r="C489" s="81"/>
      <c r="D489" s="81"/>
      <c r="E489" s="81"/>
      <c r="F489" s="81"/>
      <c r="G489" s="81"/>
      <c r="H489" s="81"/>
      <c r="I489" s="81"/>
      <c r="J489" s="81"/>
    </row>
    <row r="490" spans="2:10" ht="12.75" customHeight="1" x14ac:dyDescent="0.2">
      <c r="B490" s="81"/>
      <c r="C490" s="81"/>
      <c r="D490" s="81"/>
      <c r="E490" s="81"/>
      <c r="F490" s="81"/>
      <c r="G490" s="81"/>
      <c r="H490" s="81"/>
      <c r="I490" s="81"/>
      <c r="J490" s="81"/>
    </row>
    <row r="491" spans="2:10" ht="12.75" customHeight="1" x14ac:dyDescent="0.2">
      <c r="B491" s="81"/>
      <c r="C491" s="81"/>
      <c r="D491" s="81"/>
      <c r="E491" s="81"/>
      <c r="F491" s="81"/>
      <c r="G491" s="81"/>
      <c r="H491" s="81"/>
      <c r="I491" s="81"/>
      <c r="J491" s="81"/>
    </row>
    <row r="492" spans="2:10" ht="12.75" customHeight="1" x14ac:dyDescent="0.2">
      <c r="B492" s="81"/>
      <c r="C492" s="81"/>
      <c r="D492" s="81"/>
      <c r="E492" s="81"/>
      <c r="F492" s="81"/>
      <c r="G492" s="81"/>
      <c r="H492" s="81"/>
      <c r="I492" s="81"/>
      <c r="J492" s="81"/>
    </row>
    <row r="493" spans="2:10" ht="12.75" customHeight="1" x14ac:dyDescent="0.2">
      <c r="B493" s="81"/>
      <c r="C493" s="81"/>
      <c r="D493" s="81"/>
      <c r="E493" s="81"/>
      <c r="F493" s="81"/>
      <c r="G493" s="81"/>
      <c r="H493" s="81"/>
      <c r="I493" s="81"/>
      <c r="J493" s="81"/>
    </row>
    <row r="494" spans="2:10" ht="12.75" customHeight="1" x14ac:dyDescent="0.2">
      <c r="B494" s="81"/>
      <c r="C494" s="81"/>
      <c r="D494" s="81"/>
      <c r="E494" s="81"/>
      <c r="F494" s="81"/>
      <c r="G494" s="81"/>
      <c r="H494" s="81"/>
      <c r="I494" s="81"/>
      <c r="J494" s="81"/>
    </row>
    <row r="495" spans="2:10" ht="12.75" customHeight="1" x14ac:dyDescent="0.2">
      <c r="B495" s="81"/>
      <c r="C495" s="81"/>
      <c r="D495" s="81"/>
      <c r="E495" s="81"/>
      <c r="F495" s="81"/>
      <c r="G495" s="81"/>
      <c r="H495" s="81"/>
      <c r="I495" s="81"/>
      <c r="J495" s="81"/>
    </row>
    <row r="496" spans="2:10" ht="12.75" customHeight="1" x14ac:dyDescent="0.2">
      <c r="B496" s="81"/>
      <c r="C496" s="81"/>
      <c r="D496" s="81"/>
      <c r="E496" s="81"/>
      <c r="F496" s="81"/>
      <c r="G496" s="81"/>
      <c r="H496" s="81"/>
      <c r="I496" s="81"/>
      <c r="J496" s="81"/>
    </row>
    <row r="497" spans="2:10" ht="12.75" customHeight="1" x14ac:dyDescent="0.2">
      <c r="B497" s="81"/>
      <c r="C497" s="81"/>
      <c r="D497" s="81"/>
      <c r="E497" s="81"/>
      <c r="F497" s="81"/>
      <c r="G497" s="81"/>
      <c r="H497" s="81"/>
      <c r="I497" s="81"/>
      <c r="J497" s="81"/>
    </row>
    <row r="498" spans="2:10" ht="12.75" customHeight="1" x14ac:dyDescent="0.2">
      <c r="B498" s="81"/>
      <c r="C498" s="81"/>
      <c r="D498" s="81"/>
      <c r="E498" s="81"/>
      <c r="F498" s="81"/>
      <c r="G498" s="81"/>
      <c r="H498" s="81"/>
      <c r="I498" s="81"/>
      <c r="J498" s="81"/>
    </row>
    <row r="499" spans="2:10" ht="12.75" customHeight="1" x14ac:dyDescent="0.2">
      <c r="B499" s="81"/>
      <c r="C499" s="81"/>
      <c r="D499" s="81"/>
      <c r="E499" s="81"/>
      <c r="F499" s="81"/>
      <c r="G499" s="81"/>
      <c r="H499" s="81"/>
      <c r="I499" s="81"/>
      <c r="J499" s="81"/>
    </row>
    <row r="500" spans="2:10" ht="12.75" customHeight="1" x14ac:dyDescent="0.2">
      <c r="B500" s="81"/>
      <c r="C500" s="81"/>
      <c r="D500" s="81"/>
      <c r="E500" s="81"/>
      <c r="F500" s="81"/>
      <c r="G500" s="81"/>
      <c r="H500" s="81"/>
      <c r="I500" s="81"/>
      <c r="J500" s="81"/>
    </row>
    <row r="501" spans="2:10" ht="12.75" customHeight="1" x14ac:dyDescent="0.2">
      <c r="B501" s="81"/>
      <c r="C501" s="81"/>
      <c r="D501" s="81"/>
      <c r="E501" s="81"/>
      <c r="F501" s="81"/>
      <c r="G501" s="81"/>
      <c r="H501" s="81"/>
      <c r="I501" s="81"/>
      <c r="J501" s="81"/>
    </row>
    <row r="502" spans="2:10" ht="12.75" customHeight="1" x14ac:dyDescent="0.2">
      <c r="B502" s="81"/>
      <c r="C502" s="81"/>
      <c r="D502" s="81"/>
      <c r="E502" s="81"/>
      <c r="F502" s="81"/>
      <c r="G502" s="81"/>
      <c r="H502" s="81"/>
      <c r="I502" s="81"/>
      <c r="J502" s="81"/>
    </row>
    <row r="503" spans="2:10" ht="12.75" customHeight="1" x14ac:dyDescent="0.2">
      <c r="B503" s="81"/>
      <c r="C503" s="81"/>
      <c r="D503" s="81"/>
      <c r="E503" s="81"/>
      <c r="F503" s="81"/>
      <c r="G503" s="81"/>
      <c r="H503" s="81"/>
      <c r="I503" s="81"/>
      <c r="J503" s="81"/>
    </row>
    <row r="504" spans="2:10" ht="12.75" customHeight="1" x14ac:dyDescent="0.2">
      <c r="B504" s="81"/>
      <c r="C504" s="81"/>
      <c r="D504" s="81"/>
      <c r="E504" s="81"/>
      <c r="F504" s="81"/>
      <c r="G504" s="81"/>
      <c r="H504" s="81"/>
      <c r="I504" s="81"/>
      <c r="J504" s="81"/>
    </row>
    <row r="505" spans="2:10" ht="12.75" customHeight="1" x14ac:dyDescent="0.2">
      <c r="B505" s="81"/>
      <c r="C505" s="81"/>
      <c r="D505" s="81"/>
      <c r="E505" s="81"/>
      <c r="F505" s="81"/>
      <c r="G505" s="81"/>
      <c r="H505" s="81"/>
      <c r="I505" s="81"/>
      <c r="J505" s="81"/>
    </row>
    <row r="506" spans="2:10" ht="12.75" customHeight="1" x14ac:dyDescent="0.2">
      <c r="B506" s="81"/>
      <c r="C506" s="81"/>
      <c r="D506" s="81"/>
      <c r="E506" s="81"/>
      <c r="F506" s="81"/>
      <c r="G506" s="81"/>
      <c r="H506" s="81"/>
      <c r="I506" s="81"/>
      <c r="J506" s="81"/>
    </row>
    <row r="507" spans="2:10" ht="12.75" customHeight="1" x14ac:dyDescent="0.2">
      <c r="B507" s="81"/>
      <c r="C507" s="81"/>
      <c r="D507" s="81"/>
      <c r="E507" s="81"/>
      <c r="F507" s="81"/>
      <c r="G507" s="81"/>
      <c r="H507" s="81"/>
      <c r="I507" s="81"/>
      <c r="J507" s="81"/>
    </row>
    <row r="508" spans="2:10" ht="12.75" customHeight="1" x14ac:dyDescent="0.2">
      <c r="B508" s="81"/>
      <c r="C508" s="81"/>
      <c r="D508" s="81"/>
      <c r="E508" s="81"/>
      <c r="F508" s="81"/>
      <c r="G508" s="81"/>
      <c r="H508" s="81"/>
      <c r="I508" s="81"/>
      <c r="J508" s="81"/>
    </row>
    <row r="509" spans="2:10" ht="12.75" customHeight="1" x14ac:dyDescent="0.2">
      <c r="B509" s="81"/>
      <c r="C509" s="81"/>
      <c r="D509" s="81"/>
      <c r="E509" s="81"/>
      <c r="F509" s="81"/>
      <c r="G509" s="81"/>
      <c r="H509" s="81"/>
      <c r="I509" s="81"/>
      <c r="J509" s="81"/>
    </row>
    <row r="510" spans="2:10" ht="12.75" customHeight="1" x14ac:dyDescent="0.2">
      <c r="B510" s="81"/>
      <c r="C510" s="81"/>
      <c r="D510" s="81"/>
      <c r="E510" s="81"/>
      <c r="F510" s="81"/>
      <c r="G510" s="81"/>
      <c r="H510" s="81"/>
      <c r="I510" s="81"/>
      <c r="J510" s="81"/>
    </row>
    <row r="511" spans="2:10" ht="12.75" customHeight="1" x14ac:dyDescent="0.2">
      <c r="B511" s="81"/>
      <c r="C511" s="81"/>
      <c r="D511" s="81"/>
      <c r="E511" s="81"/>
      <c r="F511" s="81"/>
      <c r="G511" s="81"/>
      <c r="H511" s="81"/>
      <c r="I511" s="81"/>
      <c r="J511" s="81"/>
    </row>
    <row r="512" spans="2:10" ht="12.75" customHeight="1" x14ac:dyDescent="0.2">
      <c r="B512" s="81"/>
      <c r="C512" s="81"/>
      <c r="D512" s="81"/>
      <c r="E512" s="81"/>
      <c r="F512" s="81"/>
      <c r="G512" s="81"/>
      <c r="H512" s="81"/>
      <c r="I512" s="81"/>
      <c r="J512" s="81"/>
    </row>
    <row r="513" spans="2:10" ht="12.75" customHeight="1" x14ac:dyDescent="0.2">
      <c r="B513" s="81"/>
      <c r="C513" s="81"/>
      <c r="D513" s="81"/>
      <c r="E513" s="81"/>
      <c r="F513" s="81"/>
      <c r="G513" s="81"/>
      <c r="H513" s="81"/>
      <c r="I513" s="81"/>
      <c r="J513" s="81"/>
    </row>
    <row r="514" spans="2:10" ht="12.75" customHeight="1" x14ac:dyDescent="0.2">
      <c r="B514" s="81"/>
      <c r="C514" s="81"/>
      <c r="D514" s="81"/>
      <c r="E514" s="81"/>
      <c r="F514" s="81"/>
      <c r="G514" s="81"/>
      <c r="H514" s="81"/>
      <c r="I514" s="81"/>
      <c r="J514" s="81"/>
    </row>
    <row r="515" spans="2:10" ht="12.75" customHeight="1" x14ac:dyDescent="0.2">
      <c r="B515" s="81"/>
      <c r="C515" s="81"/>
      <c r="D515" s="81"/>
      <c r="E515" s="81"/>
      <c r="F515" s="81"/>
      <c r="G515" s="81"/>
      <c r="H515" s="81"/>
      <c r="I515" s="81"/>
      <c r="J515" s="81"/>
    </row>
    <row r="516" spans="2:10" ht="12.75" customHeight="1" x14ac:dyDescent="0.2">
      <c r="B516" s="81"/>
      <c r="C516" s="81"/>
      <c r="D516" s="81"/>
      <c r="E516" s="81"/>
      <c r="F516" s="81"/>
      <c r="G516" s="81"/>
      <c r="H516" s="81"/>
      <c r="I516" s="81"/>
      <c r="J516" s="81"/>
    </row>
    <row r="517" spans="2:10" ht="12.75" customHeight="1" x14ac:dyDescent="0.2">
      <c r="B517" s="81"/>
      <c r="C517" s="81"/>
      <c r="D517" s="81"/>
      <c r="E517" s="81"/>
      <c r="F517" s="81"/>
      <c r="G517" s="81"/>
      <c r="H517" s="81"/>
      <c r="I517" s="81"/>
      <c r="J517" s="81"/>
    </row>
    <row r="518" spans="2:10" ht="12.75" customHeight="1" x14ac:dyDescent="0.2">
      <c r="B518" s="81"/>
      <c r="C518" s="81"/>
      <c r="D518" s="81"/>
      <c r="E518" s="81"/>
      <c r="F518" s="81"/>
      <c r="G518" s="81"/>
      <c r="H518" s="81"/>
      <c r="I518" s="81"/>
      <c r="J518" s="81"/>
    </row>
    <row r="519" spans="2:10" ht="12.75" customHeight="1" x14ac:dyDescent="0.2">
      <c r="B519" s="81"/>
      <c r="C519" s="81"/>
      <c r="D519" s="81"/>
      <c r="E519" s="81"/>
      <c r="F519" s="81"/>
      <c r="G519" s="81"/>
      <c r="H519" s="81"/>
      <c r="I519" s="81"/>
      <c r="J519" s="81"/>
    </row>
    <row r="520" spans="2:10" ht="12.75" customHeight="1" x14ac:dyDescent="0.2">
      <c r="B520" s="81"/>
      <c r="C520" s="81"/>
      <c r="D520" s="81"/>
      <c r="E520" s="81"/>
      <c r="F520" s="81"/>
      <c r="G520" s="81"/>
      <c r="H520" s="81"/>
      <c r="I520" s="81"/>
      <c r="J520" s="81"/>
    </row>
    <row r="521" spans="2:10" ht="12.75" customHeight="1" x14ac:dyDescent="0.2">
      <c r="B521" s="81"/>
      <c r="C521" s="81"/>
      <c r="D521" s="81"/>
      <c r="E521" s="81"/>
      <c r="F521" s="81"/>
      <c r="G521" s="81"/>
      <c r="H521" s="81"/>
      <c r="I521" s="81"/>
      <c r="J521" s="81"/>
    </row>
    <row r="522" spans="2:10" ht="12.75" customHeight="1" x14ac:dyDescent="0.2">
      <c r="B522" s="81"/>
      <c r="C522" s="81"/>
      <c r="D522" s="81"/>
      <c r="E522" s="81"/>
      <c r="F522" s="81"/>
      <c r="G522" s="81"/>
      <c r="H522" s="81"/>
      <c r="I522" s="81"/>
      <c r="J522" s="81"/>
    </row>
    <row r="523" spans="2:10" ht="12.75" customHeight="1" x14ac:dyDescent="0.2">
      <c r="B523" s="81"/>
      <c r="C523" s="81"/>
      <c r="D523" s="81"/>
      <c r="E523" s="81"/>
      <c r="F523" s="81"/>
      <c r="G523" s="81"/>
      <c r="H523" s="81"/>
      <c r="I523" s="81"/>
      <c r="J523" s="81"/>
    </row>
    <row r="524" spans="2:10" ht="12.75" customHeight="1" x14ac:dyDescent="0.2">
      <c r="B524" s="81"/>
      <c r="C524" s="81"/>
      <c r="D524" s="81"/>
      <c r="E524" s="81"/>
      <c r="F524" s="81"/>
      <c r="G524" s="81"/>
      <c r="H524" s="81"/>
      <c r="I524" s="81"/>
      <c r="J524" s="81"/>
    </row>
    <row r="525" spans="2:10" ht="12.75" customHeight="1" x14ac:dyDescent="0.2">
      <c r="B525" s="81"/>
      <c r="C525" s="81"/>
      <c r="D525" s="81"/>
      <c r="E525" s="81"/>
      <c r="F525" s="81"/>
      <c r="G525" s="81"/>
      <c r="H525" s="81"/>
      <c r="I525" s="81"/>
      <c r="J525" s="81"/>
    </row>
    <row r="526" spans="2:10" ht="12.75" customHeight="1" x14ac:dyDescent="0.2">
      <c r="B526" s="81"/>
      <c r="C526" s="81"/>
      <c r="D526" s="81"/>
      <c r="E526" s="81"/>
      <c r="F526" s="81"/>
      <c r="G526" s="81"/>
      <c r="H526" s="81"/>
      <c r="I526" s="81"/>
      <c r="J526" s="81"/>
    </row>
    <row r="527" spans="2:10" ht="12.75" customHeight="1" x14ac:dyDescent="0.2">
      <c r="B527" s="81"/>
      <c r="C527" s="81"/>
      <c r="D527" s="81"/>
      <c r="E527" s="81"/>
      <c r="F527" s="81"/>
      <c r="G527" s="81"/>
      <c r="H527" s="81"/>
      <c r="I527" s="81"/>
      <c r="J527" s="81"/>
    </row>
    <row r="528" spans="2:10" ht="12.75" customHeight="1" x14ac:dyDescent="0.2">
      <c r="B528" s="81"/>
      <c r="C528" s="81"/>
      <c r="D528" s="81"/>
      <c r="E528" s="81"/>
      <c r="F528" s="81"/>
      <c r="G528" s="81"/>
      <c r="H528" s="81"/>
      <c r="I528" s="81"/>
      <c r="J528" s="81"/>
    </row>
    <row r="529" spans="2:10" ht="12.75" customHeight="1" x14ac:dyDescent="0.2">
      <c r="B529" s="81"/>
      <c r="C529" s="81"/>
      <c r="D529" s="81"/>
      <c r="E529" s="81"/>
      <c r="F529" s="81"/>
      <c r="G529" s="81"/>
      <c r="H529" s="81"/>
      <c r="I529" s="81"/>
      <c r="J529" s="81"/>
    </row>
    <row r="530" spans="2:10" ht="12.75" customHeight="1" x14ac:dyDescent="0.2">
      <c r="B530" s="81"/>
      <c r="C530" s="81"/>
      <c r="D530" s="81"/>
      <c r="E530" s="81"/>
      <c r="F530" s="81"/>
      <c r="G530" s="81"/>
      <c r="H530" s="81"/>
      <c r="I530" s="81"/>
      <c r="J530" s="81"/>
    </row>
    <row r="531" spans="2:10" ht="12.75" customHeight="1" x14ac:dyDescent="0.2">
      <c r="B531" s="81"/>
      <c r="C531" s="81"/>
      <c r="D531" s="81"/>
      <c r="E531" s="81"/>
      <c r="F531" s="81"/>
      <c r="G531" s="81"/>
      <c r="H531" s="81"/>
      <c r="I531" s="81"/>
      <c r="J531" s="81"/>
    </row>
    <row r="532" spans="2:10" ht="12.75" customHeight="1" x14ac:dyDescent="0.2">
      <c r="B532" s="81"/>
      <c r="C532" s="81"/>
      <c r="D532" s="81"/>
      <c r="E532" s="81"/>
      <c r="F532" s="81"/>
      <c r="G532" s="81"/>
      <c r="H532" s="81"/>
      <c r="I532" s="81"/>
      <c r="J532" s="81"/>
    </row>
    <row r="533" spans="2:10" ht="12.75" customHeight="1" x14ac:dyDescent="0.2">
      <c r="B533" s="81"/>
      <c r="C533" s="81"/>
      <c r="D533" s="81"/>
      <c r="E533" s="81"/>
      <c r="F533" s="81"/>
      <c r="G533" s="81"/>
      <c r="H533" s="81"/>
      <c r="I533" s="81"/>
      <c r="J533" s="81"/>
    </row>
    <row r="534" spans="2:10" ht="12.75" customHeight="1" x14ac:dyDescent="0.2">
      <c r="B534" s="81"/>
      <c r="C534" s="81"/>
      <c r="D534" s="81"/>
      <c r="E534" s="81"/>
      <c r="F534" s="81"/>
      <c r="G534" s="81"/>
      <c r="H534" s="81"/>
      <c r="I534" s="81"/>
      <c r="J534" s="81"/>
    </row>
    <row r="535" spans="2:10" ht="12.75" customHeight="1" x14ac:dyDescent="0.2">
      <c r="B535" s="81"/>
      <c r="C535" s="81"/>
      <c r="D535" s="81"/>
      <c r="E535" s="81"/>
      <c r="F535" s="81"/>
      <c r="G535" s="81"/>
      <c r="H535" s="81"/>
      <c r="I535" s="81"/>
      <c r="J535" s="81"/>
    </row>
    <row r="536" spans="2:10" ht="12.75" customHeight="1" x14ac:dyDescent="0.2">
      <c r="B536" s="81"/>
      <c r="C536" s="81"/>
      <c r="D536" s="81"/>
      <c r="E536" s="81"/>
      <c r="F536" s="81"/>
      <c r="G536" s="81"/>
      <c r="H536" s="81"/>
      <c r="I536" s="81"/>
      <c r="J536" s="81"/>
    </row>
    <row r="537" spans="2:10" ht="12.75" customHeight="1" x14ac:dyDescent="0.2">
      <c r="B537" s="81"/>
      <c r="C537" s="81"/>
      <c r="D537" s="81"/>
      <c r="E537" s="81"/>
      <c r="F537" s="81"/>
      <c r="G537" s="81"/>
      <c r="H537" s="81"/>
      <c r="I537" s="81"/>
      <c r="J537" s="81"/>
    </row>
    <row r="538" spans="2:10" ht="12.75" customHeight="1" x14ac:dyDescent="0.2">
      <c r="B538" s="81"/>
      <c r="C538" s="81"/>
      <c r="D538" s="81"/>
      <c r="E538" s="81"/>
      <c r="F538" s="81"/>
      <c r="G538" s="81"/>
      <c r="H538" s="81"/>
      <c r="I538" s="81"/>
      <c r="J538" s="81"/>
    </row>
    <row r="539" spans="2:10" ht="12.75" customHeight="1" x14ac:dyDescent="0.2">
      <c r="B539" s="81"/>
      <c r="C539" s="81"/>
      <c r="D539" s="81"/>
      <c r="E539" s="81"/>
      <c r="F539" s="81"/>
      <c r="G539" s="81"/>
      <c r="H539" s="81"/>
      <c r="I539" s="81"/>
      <c r="J539" s="81"/>
    </row>
    <row r="540" spans="2:10" ht="12.75" customHeight="1" x14ac:dyDescent="0.2">
      <c r="B540" s="81"/>
      <c r="C540" s="81"/>
      <c r="D540" s="81"/>
      <c r="E540" s="81"/>
      <c r="F540" s="81"/>
      <c r="G540" s="81"/>
      <c r="H540" s="81"/>
      <c r="I540" s="81"/>
      <c r="J540" s="81"/>
    </row>
    <row r="541" spans="2:10" ht="12.75" customHeight="1" x14ac:dyDescent="0.2">
      <c r="B541" s="81"/>
      <c r="C541" s="81"/>
      <c r="D541" s="81"/>
      <c r="E541" s="81"/>
      <c r="F541" s="81"/>
      <c r="G541" s="81"/>
      <c r="H541" s="81"/>
      <c r="I541" s="81"/>
      <c r="J541" s="81"/>
    </row>
    <row r="542" spans="2:10" ht="12.75" customHeight="1" x14ac:dyDescent="0.2">
      <c r="B542" s="81"/>
      <c r="C542" s="81"/>
      <c r="D542" s="81"/>
      <c r="E542" s="81"/>
      <c r="F542" s="81"/>
      <c r="G542" s="81"/>
      <c r="H542" s="81"/>
      <c r="I542" s="81"/>
      <c r="J542" s="81"/>
    </row>
    <row r="543" spans="2:10" ht="12.75" customHeight="1" x14ac:dyDescent="0.2">
      <c r="B543" s="81"/>
      <c r="C543" s="81"/>
      <c r="D543" s="81"/>
      <c r="E543" s="81"/>
      <c r="F543" s="81"/>
      <c r="G543" s="81"/>
      <c r="H543" s="81"/>
      <c r="I543" s="81"/>
      <c r="J543" s="81"/>
    </row>
    <row r="544" spans="2:10" ht="12.75" customHeight="1" x14ac:dyDescent="0.2">
      <c r="B544" s="81"/>
      <c r="C544" s="81"/>
      <c r="D544" s="81"/>
      <c r="E544" s="81"/>
      <c r="F544" s="81"/>
      <c r="G544" s="81"/>
      <c r="H544" s="81"/>
      <c r="I544" s="81"/>
      <c r="J544" s="81"/>
    </row>
    <row r="545" spans="2:10" ht="12.75" customHeight="1" x14ac:dyDescent="0.2">
      <c r="B545" s="81"/>
      <c r="C545" s="81"/>
      <c r="D545" s="81"/>
      <c r="E545" s="81"/>
      <c r="F545" s="81"/>
      <c r="G545" s="81"/>
      <c r="H545" s="81"/>
      <c r="I545" s="81"/>
      <c r="J545" s="81"/>
    </row>
    <row r="546" spans="2:10" ht="12.75" customHeight="1" x14ac:dyDescent="0.2">
      <c r="B546" s="81"/>
      <c r="C546" s="81"/>
      <c r="D546" s="81"/>
      <c r="E546" s="81"/>
      <c r="F546" s="81"/>
      <c r="G546" s="81"/>
      <c r="H546" s="81"/>
      <c r="I546" s="81"/>
      <c r="J546" s="81"/>
    </row>
    <row r="547" spans="2:10" ht="12.75" customHeight="1" x14ac:dyDescent="0.2">
      <c r="B547" s="81"/>
      <c r="C547" s="81"/>
      <c r="D547" s="81"/>
      <c r="E547" s="81"/>
      <c r="F547" s="81"/>
      <c r="G547" s="81"/>
      <c r="H547" s="81"/>
      <c r="I547" s="81"/>
      <c r="J547" s="81"/>
    </row>
    <row r="548" spans="2:10" ht="12.75" customHeight="1" x14ac:dyDescent="0.2">
      <c r="B548" s="81"/>
      <c r="C548" s="81"/>
      <c r="D548" s="81"/>
      <c r="E548" s="81"/>
      <c r="F548" s="81"/>
      <c r="G548" s="81"/>
      <c r="H548" s="81"/>
      <c r="I548" s="81"/>
      <c r="J548" s="81"/>
    </row>
    <row r="549" spans="2:10" ht="12.75" customHeight="1" x14ac:dyDescent="0.2">
      <c r="B549" s="81"/>
      <c r="C549" s="81"/>
      <c r="D549" s="81"/>
      <c r="E549" s="81"/>
      <c r="F549" s="81"/>
      <c r="G549" s="81"/>
      <c r="H549" s="81"/>
      <c r="I549" s="81"/>
      <c r="J549" s="81"/>
    </row>
    <row r="550" spans="2:10" ht="12.75" customHeight="1" x14ac:dyDescent="0.2">
      <c r="B550" s="81"/>
      <c r="C550" s="81"/>
      <c r="D550" s="81"/>
      <c r="E550" s="81"/>
      <c r="F550" s="81"/>
      <c r="G550" s="81"/>
      <c r="H550" s="81"/>
      <c r="I550" s="81"/>
      <c r="J550" s="81"/>
    </row>
    <row r="551" spans="2:10" ht="12.75" customHeight="1" x14ac:dyDescent="0.2">
      <c r="B551" s="81"/>
      <c r="C551" s="81"/>
      <c r="D551" s="81"/>
      <c r="E551" s="81"/>
      <c r="F551" s="81"/>
      <c r="G551" s="81"/>
      <c r="H551" s="81"/>
      <c r="I551" s="81"/>
      <c r="J551" s="81"/>
    </row>
    <row r="552" spans="2:10" ht="12.75" customHeight="1" x14ac:dyDescent="0.2">
      <c r="B552" s="81"/>
      <c r="C552" s="81"/>
      <c r="D552" s="81"/>
      <c r="E552" s="81"/>
      <c r="F552" s="81"/>
      <c r="G552" s="81"/>
      <c r="H552" s="81"/>
      <c r="I552" s="81"/>
      <c r="J552" s="81"/>
    </row>
    <row r="553" spans="2:10" ht="12.75" customHeight="1" x14ac:dyDescent="0.2">
      <c r="B553" s="81"/>
      <c r="C553" s="81"/>
      <c r="D553" s="81"/>
      <c r="E553" s="81"/>
      <c r="F553" s="81"/>
      <c r="G553" s="81"/>
      <c r="H553" s="81"/>
      <c r="I553" s="81"/>
      <c r="J553" s="81"/>
    </row>
    <row r="554" spans="2:10" ht="12.75" customHeight="1" x14ac:dyDescent="0.2">
      <c r="B554" s="81"/>
      <c r="C554" s="81"/>
      <c r="D554" s="81"/>
      <c r="E554" s="81"/>
      <c r="F554" s="81"/>
      <c r="G554" s="81"/>
      <c r="H554" s="81"/>
      <c r="I554" s="81"/>
      <c r="J554" s="81"/>
    </row>
    <row r="555" spans="2:10" ht="12.75" customHeight="1" x14ac:dyDescent="0.2">
      <c r="B555" s="81"/>
      <c r="C555" s="81"/>
      <c r="D555" s="81"/>
      <c r="E555" s="81"/>
      <c r="F555" s="81"/>
      <c r="G555" s="81"/>
      <c r="H555" s="81"/>
      <c r="I555" s="81"/>
      <c r="J555" s="81"/>
    </row>
    <row r="556" spans="2:10" ht="12.75" customHeight="1" x14ac:dyDescent="0.2">
      <c r="B556" s="81"/>
      <c r="C556" s="81"/>
      <c r="D556" s="81"/>
      <c r="E556" s="81"/>
      <c r="F556" s="81"/>
      <c r="G556" s="81"/>
      <c r="H556" s="81"/>
      <c r="I556" s="81"/>
      <c r="J556" s="81"/>
    </row>
    <row r="557" spans="2:10" ht="12.75" customHeight="1" x14ac:dyDescent="0.2">
      <c r="B557" s="81"/>
      <c r="C557" s="81"/>
      <c r="D557" s="81"/>
      <c r="E557" s="81"/>
      <c r="F557" s="81"/>
      <c r="G557" s="81"/>
      <c r="H557" s="81"/>
      <c r="I557" s="81"/>
      <c r="J557" s="81"/>
    </row>
    <row r="558" spans="2:10" ht="12.75" customHeight="1" x14ac:dyDescent="0.2">
      <c r="B558" s="81"/>
      <c r="C558" s="81"/>
      <c r="D558" s="81"/>
      <c r="E558" s="81"/>
      <c r="F558" s="81"/>
      <c r="G558" s="81"/>
      <c r="H558" s="81"/>
      <c r="I558" s="81"/>
      <c r="J558" s="81"/>
    </row>
    <row r="559" spans="2:10" ht="12.75" customHeight="1" x14ac:dyDescent="0.2">
      <c r="B559" s="81"/>
      <c r="C559" s="81"/>
      <c r="D559" s="81"/>
      <c r="E559" s="81"/>
      <c r="F559" s="81"/>
      <c r="G559" s="81"/>
      <c r="H559" s="81"/>
      <c r="I559" s="81"/>
      <c r="J559" s="81"/>
    </row>
    <row r="560" spans="2:10" ht="12.75" customHeight="1" x14ac:dyDescent="0.2">
      <c r="B560" s="81"/>
      <c r="C560" s="81"/>
      <c r="D560" s="81"/>
      <c r="E560" s="81"/>
      <c r="F560" s="81"/>
      <c r="G560" s="81"/>
      <c r="H560" s="81"/>
      <c r="I560" s="81"/>
      <c r="J560" s="81"/>
    </row>
    <row r="561" spans="2:10" ht="12.75" customHeight="1" x14ac:dyDescent="0.2">
      <c r="B561" s="81"/>
      <c r="C561" s="81"/>
      <c r="D561" s="81"/>
      <c r="E561" s="81"/>
      <c r="F561" s="81"/>
      <c r="G561" s="81"/>
      <c r="H561" s="81"/>
      <c r="I561" s="81"/>
      <c r="J561" s="81"/>
    </row>
    <row r="562" spans="2:10" ht="12.75" customHeight="1" x14ac:dyDescent="0.2">
      <c r="B562" s="81"/>
      <c r="C562" s="81"/>
      <c r="D562" s="81"/>
      <c r="E562" s="81"/>
      <c r="F562" s="81"/>
      <c r="G562" s="81"/>
      <c r="H562" s="81"/>
      <c r="I562" s="81"/>
      <c r="J562" s="81"/>
    </row>
    <row r="563" spans="2:10" ht="12.75" customHeight="1" x14ac:dyDescent="0.2">
      <c r="B563" s="81"/>
      <c r="C563" s="81"/>
      <c r="D563" s="81"/>
      <c r="E563" s="81"/>
      <c r="F563" s="81"/>
      <c r="G563" s="81"/>
      <c r="H563" s="81"/>
      <c r="I563" s="81"/>
      <c r="J563" s="81"/>
    </row>
    <row r="564" spans="2:10" ht="12.75" customHeight="1" x14ac:dyDescent="0.2">
      <c r="B564" s="81"/>
      <c r="C564" s="81"/>
      <c r="D564" s="81"/>
      <c r="E564" s="81"/>
      <c r="F564" s="81"/>
      <c r="G564" s="81"/>
      <c r="H564" s="81"/>
      <c r="I564" s="81"/>
      <c r="J564" s="81"/>
    </row>
    <row r="565" spans="2:10" ht="12.75" customHeight="1" x14ac:dyDescent="0.2">
      <c r="B565" s="81"/>
      <c r="C565" s="81"/>
      <c r="D565" s="81"/>
      <c r="E565" s="81"/>
      <c r="F565" s="81"/>
      <c r="G565" s="81"/>
      <c r="H565" s="81"/>
      <c r="I565" s="81"/>
      <c r="J565" s="81"/>
    </row>
    <row r="566" spans="2:10" ht="12.75" customHeight="1" x14ac:dyDescent="0.2">
      <c r="B566" s="81"/>
      <c r="C566" s="81"/>
      <c r="D566" s="81"/>
      <c r="E566" s="81"/>
      <c r="F566" s="81"/>
      <c r="G566" s="81"/>
      <c r="H566" s="81"/>
      <c r="I566" s="81"/>
      <c r="J566" s="81"/>
    </row>
    <row r="567" spans="2:10" ht="12.75" customHeight="1" x14ac:dyDescent="0.2">
      <c r="B567" s="81"/>
      <c r="C567" s="81"/>
      <c r="D567" s="81"/>
      <c r="E567" s="81"/>
      <c r="F567" s="81"/>
      <c r="G567" s="81"/>
      <c r="H567" s="81"/>
      <c r="I567" s="81"/>
      <c r="J567" s="81"/>
    </row>
    <row r="568" spans="2:10" ht="12.75" customHeight="1" x14ac:dyDescent="0.2">
      <c r="B568" s="81"/>
      <c r="C568" s="81"/>
      <c r="D568" s="81"/>
      <c r="E568" s="81"/>
      <c r="F568" s="81"/>
      <c r="G568" s="81"/>
      <c r="H568" s="81"/>
      <c r="I568" s="81"/>
      <c r="J568" s="81"/>
    </row>
    <row r="569" spans="2:10" ht="12.75" customHeight="1" x14ac:dyDescent="0.2">
      <c r="B569" s="81"/>
      <c r="C569" s="81"/>
      <c r="D569" s="81"/>
      <c r="E569" s="81"/>
      <c r="F569" s="81"/>
      <c r="G569" s="81"/>
      <c r="H569" s="81"/>
      <c r="I569" s="81"/>
      <c r="J569" s="81"/>
    </row>
    <row r="570" spans="2:10" ht="12.75" customHeight="1" x14ac:dyDescent="0.2">
      <c r="B570" s="81"/>
      <c r="C570" s="81"/>
      <c r="D570" s="81"/>
      <c r="E570" s="81"/>
      <c r="F570" s="81"/>
      <c r="G570" s="81"/>
      <c r="H570" s="81"/>
      <c r="I570" s="81"/>
      <c r="J570" s="81"/>
    </row>
    <row r="571" spans="2:10" ht="12.75" customHeight="1" x14ac:dyDescent="0.2">
      <c r="B571" s="81"/>
      <c r="C571" s="81"/>
      <c r="D571" s="81"/>
      <c r="E571" s="81"/>
      <c r="F571" s="81"/>
      <c r="G571" s="81"/>
      <c r="H571" s="81"/>
      <c r="I571" s="81"/>
      <c r="J571" s="81"/>
    </row>
    <row r="572" spans="2:10" ht="12.75" customHeight="1" x14ac:dyDescent="0.2">
      <c r="B572" s="81"/>
      <c r="C572" s="81"/>
      <c r="D572" s="81"/>
      <c r="E572" s="81"/>
      <c r="F572" s="81"/>
      <c r="G572" s="81"/>
      <c r="H572" s="81"/>
      <c r="I572" s="81"/>
      <c r="J572" s="81"/>
    </row>
    <row r="573" spans="2:10" ht="12.75" customHeight="1" x14ac:dyDescent="0.2">
      <c r="B573" s="81"/>
      <c r="C573" s="81"/>
      <c r="D573" s="81"/>
      <c r="E573" s="81"/>
      <c r="F573" s="81"/>
      <c r="G573" s="81"/>
      <c r="H573" s="81"/>
      <c r="I573" s="81"/>
      <c r="J573" s="81"/>
    </row>
    <row r="574" spans="2:10" ht="12.75" customHeight="1" x14ac:dyDescent="0.2">
      <c r="B574" s="81"/>
      <c r="C574" s="81"/>
      <c r="D574" s="81"/>
      <c r="E574" s="81"/>
      <c r="F574" s="81"/>
      <c r="G574" s="81"/>
      <c r="H574" s="81"/>
      <c r="I574" s="81"/>
      <c r="J574" s="81"/>
    </row>
    <row r="575" spans="2:10" ht="12.75" customHeight="1" x14ac:dyDescent="0.2">
      <c r="B575" s="81"/>
      <c r="C575" s="81"/>
      <c r="D575" s="81"/>
      <c r="E575" s="81"/>
      <c r="F575" s="81"/>
      <c r="G575" s="81"/>
      <c r="H575" s="81"/>
      <c r="I575" s="81"/>
      <c r="J575" s="81"/>
    </row>
    <row r="576" spans="2:10" ht="12.75" customHeight="1" x14ac:dyDescent="0.2">
      <c r="B576" s="81"/>
      <c r="C576" s="81"/>
      <c r="D576" s="81"/>
      <c r="E576" s="81"/>
      <c r="F576" s="81"/>
      <c r="G576" s="81"/>
      <c r="H576" s="81"/>
      <c r="I576" s="81"/>
      <c r="J576" s="81"/>
    </row>
    <row r="577" spans="2:10" ht="12.75" customHeight="1" x14ac:dyDescent="0.2">
      <c r="B577" s="81"/>
      <c r="C577" s="81"/>
      <c r="D577" s="81"/>
      <c r="E577" s="81"/>
      <c r="F577" s="81"/>
      <c r="G577" s="81"/>
      <c r="H577" s="81"/>
      <c r="I577" s="81"/>
      <c r="J577" s="81"/>
    </row>
    <row r="578" spans="2:10" ht="12.75" customHeight="1" x14ac:dyDescent="0.2">
      <c r="B578" s="81"/>
      <c r="C578" s="81"/>
      <c r="D578" s="81"/>
      <c r="E578" s="81"/>
      <c r="F578" s="81"/>
      <c r="G578" s="81"/>
      <c r="H578" s="81"/>
      <c r="I578" s="81"/>
      <c r="J578" s="81"/>
    </row>
    <row r="579" spans="2:10" ht="12.75" customHeight="1" x14ac:dyDescent="0.2">
      <c r="B579" s="81"/>
      <c r="C579" s="81"/>
      <c r="D579" s="81"/>
      <c r="E579" s="81"/>
      <c r="F579" s="81"/>
      <c r="G579" s="81"/>
      <c r="H579" s="81"/>
      <c r="I579" s="81"/>
      <c r="J579" s="81"/>
    </row>
    <row r="580" spans="2:10" ht="12.75" customHeight="1" x14ac:dyDescent="0.2">
      <c r="B580" s="81"/>
      <c r="C580" s="81"/>
      <c r="D580" s="81"/>
      <c r="E580" s="81"/>
      <c r="F580" s="81"/>
      <c r="G580" s="81"/>
      <c r="H580" s="81"/>
      <c r="I580" s="81"/>
      <c r="J580" s="81"/>
    </row>
    <row r="581" spans="2:10" ht="12.75" customHeight="1" x14ac:dyDescent="0.2">
      <c r="B581" s="81"/>
      <c r="C581" s="81"/>
      <c r="D581" s="81"/>
      <c r="E581" s="81"/>
      <c r="F581" s="81"/>
      <c r="G581" s="81"/>
      <c r="H581" s="81"/>
      <c r="I581" s="81"/>
      <c r="J581" s="81"/>
    </row>
    <row r="582" spans="2:10" ht="12.75" customHeight="1" x14ac:dyDescent="0.2">
      <c r="B582" s="81"/>
      <c r="C582" s="81"/>
      <c r="D582" s="81"/>
      <c r="E582" s="81"/>
      <c r="F582" s="81"/>
      <c r="G582" s="81"/>
      <c r="H582" s="81"/>
      <c r="I582" s="81"/>
      <c r="J582" s="81"/>
    </row>
    <row r="583" spans="2:10" ht="12.75" customHeight="1" x14ac:dyDescent="0.2">
      <c r="B583" s="81"/>
      <c r="C583" s="81"/>
      <c r="D583" s="81"/>
      <c r="E583" s="81"/>
      <c r="F583" s="81"/>
      <c r="G583" s="81"/>
      <c r="H583" s="81"/>
      <c r="I583" s="81"/>
      <c r="J583" s="81"/>
    </row>
    <row r="584" spans="2:10" ht="12.75" customHeight="1" x14ac:dyDescent="0.2">
      <c r="B584" s="81"/>
      <c r="C584" s="81"/>
      <c r="D584" s="81"/>
      <c r="E584" s="81"/>
      <c r="F584" s="81"/>
      <c r="G584" s="81"/>
      <c r="H584" s="81"/>
      <c r="I584" s="81"/>
      <c r="J584" s="81"/>
    </row>
    <row r="585" spans="2:10" ht="12.75" customHeight="1" x14ac:dyDescent="0.2">
      <c r="B585" s="81"/>
      <c r="C585" s="81"/>
      <c r="D585" s="81"/>
      <c r="E585" s="81"/>
      <c r="F585" s="81"/>
      <c r="G585" s="81"/>
      <c r="H585" s="81"/>
      <c r="I585" s="81"/>
      <c r="J585" s="81"/>
    </row>
    <row r="586" spans="2:10" ht="12.75" customHeight="1" x14ac:dyDescent="0.2">
      <c r="B586" s="81"/>
      <c r="C586" s="81"/>
      <c r="D586" s="81"/>
      <c r="E586" s="81"/>
      <c r="F586" s="81"/>
      <c r="G586" s="81"/>
      <c r="H586" s="81"/>
      <c r="I586" s="81"/>
      <c r="J586" s="81"/>
    </row>
    <row r="587" spans="2:10" ht="12.75" customHeight="1" x14ac:dyDescent="0.2">
      <c r="B587" s="81"/>
      <c r="C587" s="81"/>
      <c r="D587" s="81"/>
      <c r="E587" s="81"/>
      <c r="F587" s="81"/>
      <c r="G587" s="81"/>
      <c r="H587" s="81"/>
      <c r="I587" s="81"/>
      <c r="J587" s="81"/>
    </row>
    <row r="588" spans="2:10" ht="12.75" customHeight="1" x14ac:dyDescent="0.2">
      <c r="B588" s="81"/>
      <c r="C588" s="81"/>
      <c r="D588" s="81"/>
      <c r="E588" s="81"/>
      <c r="F588" s="81"/>
      <c r="G588" s="81"/>
      <c r="H588" s="81"/>
      <c r="I588" s="81"/>
      <c r="J588" s="81"/>
    </row>
    <row r="589" spans="2:10" ht="12.75" customHeight="1" x14ac:dyDescent="0.2">
      <c r="B589" s="81"/>
      <c r="C589" s="81"/>
      <c r="D589" s="81"/>
      <c r="E589" s="81"/>
      <c r="F589" s="81"/>
      <c r="G589" s="81"/>
      <c r="H589" s="81"/>
      <c r="I589" s="81"/>
      <c r="J589" s="81"/>
    </row>
    <row r="590" spans="2:10" ht="12.75" customHeight="1" x14ac:dyDescent="0.2">
      <c r="B590" s="81"/>
      <c r="C590" s="81"/>
      <c r="D590" s="81"/>
      <c r="E590" s="81"/>
      <c r="F590" s="81"/>
      <c r="G590" s="81"/>
      <c r="H590" s="81"/>
      <c r="I590" s="81"/>
      <c r="J590" s="81"/>
    </row>
    <row r="591" spans="2:10" ht="12.75" customHeight="1" x14ac:dyDescent="0.2">
      <c r="B591" s="81"/>
      <c r="C591" s="81"/>
      <c r="D591" s="81"/>
      <c r="E591" s="81"/>
      <c r="F591" s="81"/>
      <c r="G591" s="81"/>
      <c r="H591" s="81"/>
      <c r="I591" s="81"/>
      <c r="J591" s="81"/>
    </row>
    <row r="592" spans="2:10" ht="12.75" customHeight="1" x14ac:dyDescent="0.2">
      <c r="B592" s="81"/>
      <c r="C592" s="81"/>
      <c r="D592" s="81"/>
      <c r="E592" s="81"/>
      <c r="F592" s="81"/>
      <c r="G592" s="81"/>
      <c r="H592" s="81"/>
      <c r="I592" s="81"/>
      <c r="J592" s="81"/>
    </row>
    <row r="593" spans="2:10" ht="12.75" customHeight="1" x14ac:dyDescent="0.2">
      <c r="B593" s="81"/>
      <c r="C593" s="81"/>
      <c r="D593" s="81"/>
      <c r="E593" s="81"/>
      <c r="F593" s="81"/>
      <c r="G593" s="81"/>
      <c r="H593" s="81"/>
      <c r="I593" s="81"/>
      <c r="J593" s="81"/>
    </row>
    <row r="594" spans="2:10" ht="12.75" customHeight="1" x14ac:dyDescent="0.2">
      <c r="B594" s="81"/>
      <c r="C594" s="81"/>
      <c r="D594" s="81"/>
      <c r="E594" s="81"/>
      <c r="F594" s="81"/>
      <c r="G594" s="81"/>
      <c r="H594" s="81"/>
      <c r="I594" s="81"/>
      <c r="J594" s="81"/>
    </row>
    <row r="595" spans="2:10" ht="12.75" customHeight="1" x14ac:dyDescent="0.2">
      <c r="B595" s="81"/>
      <c r="C595" s="81"/>
      <c r="D595" s="81"/>
      <c r="E595" s="81"/>
      <c r="F595" s="81"/>
      <c r="G595" s="81"/>
      <c r="H595" s="81"/>
      <c r="I595" s="81"/>
      <c r="J595" s="81"/>
    </row>
    <row r="596" spans="2:10" ht="12.75" customHeight="1" x14ac:dyDescent="0.2">
      <c r="B596" s="81"/>
      <c r="C596" s="81"/>
      <c r="D596" s="81"/>
      <c r="E596" s="81"/>
      <c r="F596" s="81"/>
      <c r="G596" s="81"/>
      <c r="H596" s="81"/>
      <c r="I596" s="81"/>
      <c r="J596" s="81"/>
    </row>
    <row r="597" spans="2:10" ht="12.75" customHeight="1" x14ac:dyDescent="0.2">
      <c r="B597" s="81"/>
      <c r="C597" s="81"/>
      <c r="D597" s="81"/>
      <c r="E597" s="81"/>
      <c r="F597" s="81"/>
      <c r="G597" s="81"/>
      <c r="H597" s="81"/>
      <c r="I597" s="81"/>
      <c r="J597" s="81"/>
    </row>
    <row r="598" spans="2:10" ht="12.75" customHeight="1" x14ac:dyDescent="0.2">
      <c r="B598" s="81"/>
      <c r="C598" s="81"/>
      <c r="D598" s="81"/>
      <c r="E598" s="81"/>
      <c r="F598" s="81"/>
      <c r="G598" s="81"/>
      <c r="H598" s="81"/>
      <c r="I598" s="81"/>
      <c r="J598" s="81"/>
    </row>
    <row r="599" spans="2:10" ht="12.75" customHeight="1" x14ac:dyDescent="0.2">
      <c r="B599" s="81"/>
      <c r="C599" s="81"/>
      <c r="D599" s="81"/>
      <c r="E599" s="81"/>
      <c r="F599" s="81"/>
      <c r="G599" s="81"/>
      <c r="H599" s="81"/>
      <c r="I599" s="81"/>
      <c r="J599" s="81"/>
    </row>
    <row r="600" spans="2:10" ht="12.75" customHeight="1" x14ac:dyDescent="0.2">
      <c r="B600" s="81"/>
      <c r="C600" s="81"/>
      <c r="D600" s="81"/>
      <c r="E600" s="81"/>
      <c r="F600" s="81"/>
      <c r="G600" s="81"/>
      <c r="H600" s="81"/>
      <c r="I600" s="81"/>
      <c r="J600" s="81"/>
    </row>
    <row r="601" spans="2:10" ht="12.75" customHeight="1" x14ac:dyDescent="0.2">
      <c r="B601" s="81"/>
      <c r="C601" s="81"/>
      <c r="D601" s="81"/>
      <c r="E601" s="81"/>
      <c r="F601" s="81"/>
      <c r="G601" s="81"/>
      <c r="H601" s="81"/>
      <c r="I601" s="81"/>
      <c r="J601" s="81"/>
    </row>
    <row r="602" spans="2:10" ht="12.75" customHeight="1" x14ac:dyDescent="0.2">
      <c r="B602" s="81"/>
      <c r="C602" s="81"/>
      <c r="D602" s="81"/>
      <c r="E602" s="81"/>
      <c r="F602" s="81"/>
      <c r="G602" s="81"/>
      <c r="H602" s="81"/>
      <c r="I602" s="81"/>
      <c r="J602" s="81"/>
    </row>
    <row r="603" spans="2:10" ht="12.75" customHeight="1" x14ac:dyDescent="0.2">
      <c r="B603" s="81"/>
      <c r="C603" s="81"/>
      <c r="D603" s="81"/>
      <c r="E603" s="81"/>
      <c r="F603" s="81"/>
      <c r="G603" s="81"/>
      <c r="H603" s="81"/>
      <c r="I603" s="81"/>
      <c r="J603" s="81"/>
    </row>
    <row r="604" spans="2:10" ht="12.75" customHeight="1" x14ac:dyDescent="0.2">
      <c r="B604" s="81"/>
      <c r="C604" s="81"/>
      <c r="D604" s="81"/>
      <c r="E604" s="81"/>
      <c r="F604" s="81"/>
      <c r="G604" s="81"/>
      <c r="H604" s="81"/>
      <c r="I604" s="81"/>
      <c r="J604" s="81"/>
    </row>
    <row r="605" spans="2:10" ht="12.75" customHeight="1" x14ac:dyDescent="0.2">
      <c r="B605" s="81"/>
      <c r="C605" s="81"/>
      <c r="D605" s="81"/>
      <c r="E605" s="81"/>
      <c r="F605" s="81"/>
      <c r="G605" s="81"/>
      <c r="H605" s="81"/>
      <c r="I605" s="81"/>
      <c r="J605" s="81"/>
    </row>
    <row r="606" spans="2:10" ht="12.75" customHeight="1" x14ac:dyDescent="0.2">
      <c r="B606" s="81"/>
      <c r="C606" s="81"/>
      <c r="D606" s="81"/>
      <c r="E606" s="81"/>
      <c r="F606" s="81"/>
      <c r="G606" s="81"/>
      <c r="H606" s="81"/>
      <c r="I606" s="81"/>
      <c r="J606" s="81"/>
    </row>
    <row r="607" spans="2:10" ht="12.75" customHeight="1" x14ac:dyDescent="0.2">
      <c r="B607" s="81"/>
      <c r="C607" s="81"/>
      <c r="D607" s="81"/>
      <c r="E607" s="81"/>
      <c r="F607" s="81"/>
      <c r="G607" s="81"/>
      <c r="H607" s="81"/>
      <c r="I607" s="81"/>
      <c r="J607" s="81"/>
    </row>
    <row r="608" spans="2:10" ht="12.75" customHeight="1" x14ac:dyDescent="0.2">
      <c r="B608" s="81"/>
      <c r="C608" s="81"/>
      <c r="D608" s="81"/>
      <c r="E608" s="81"/>
      <c r="F608" s="81"/>
      <c r="G608" s="81"/>
      <c r="H608" s="81"/>
      <c r="I608" s="81"/>
      <c r="J608" s="81"/>
    </row>
    <row r="609" spans="2:10" ht="12.75" customHeight="1" x14ac:dyDescent="0.2">
      <c r="B609" s="81"/>
      <c r="C609" s="81"/>
      <c r="D609" s="81"/>
      <c r="E609" s="81"/>
      <c r="F609" s="81"/>
      <c r="G609" s="81"/>
      <c r="H609" s="81"/>
      <c r="I609" s="81"/>
      <c r="J609" s="81"/>
    </row>
    <row r="610" spans="2:10" ht="12.75" customHeight="1" x14ac:dyDescent="0.2">
      <c r="B610" s="81"/>
      <c r="C610" s="81"/>
      <c r="D610" s="81"/>
      <c r="E610" s="81"/>
      <c r="F610" s="81"/>
      <c r="G610" s="81"/>
      <c r="H610" s="81"/>
      <c r="I610" s="81"/>
      <c r="J610" s="81"/>
    </row>
    <row r="611" spans="2:10" ht="12.75" customHeight="1" x14ac:dyDescent="0.2">
      <c r="B611" s="81"/>
      <c r="C611" s="81"/>
      <c r="D611" s="81"/>
      <c r="E611" s="81"/>
      <c r="F611" s="81"/>
      <c r="G611" s="81"/>
      <c r="H611" s="81"/>
      <c r="I611" s="81"/>
      <c r="J611" s="81"/>
    </row>
    <row r="612" spans="2:10" ht="12.75" customHeight="1" x14ac:dyDescent="0.2">
      <c r="B612" s="81"/>
      <c r="C612" s="81"/>
      <c r="D612" s="81"/>
      <c r="E612" s="81"/>
      <c r="F612" s="81"/>
      <c r="G612" s="81"/>
      <c r="H612" s="81"/>
      <c r="I612" s="81"/>
      <c r="J612" s="81"/>
    </row>
    <row r="613" spans="2:10" ht="12.75" customHeight="1" x14ac:dyDescent="0.2">
      <c r="B613" s="81"/>
      <c r="C613" s="81"/>
      <c r="D613" s="81"/>
      <c r="E613" s="81"/>
      <c r="F613" s="81"/>
      <c r="G613" s="81"/>
      <c r="H613" s="81"/>
      <c r="I613" s="81"/>
      <c r="J613" s="81"/>
    </row>
    <row r="614" spans="2:10" ht="12.75" customHeight="1" x14ac:dyDescent="0.2">
      <c r="B614" s="81"/>
      <c r="C614" s="81"/>
      <c r="D614" s="81"/>
      <c r="E614" s="81"/>
      <c r="F614" s="81"/>
      <c r="G614" s="81"/>
      <c r="H614" s="81"/>
      <c r="I614" s="81"/>
      <c r="J614" s="81"/>
    </row>
    <row r="615" spans="2:10" ht="12.75" customHeight="1" x14ac:dyDescent="0.2">
      <c r="B615" s="81"/>
      <c r="C615" s="81"/>
      <c r="D615" s="81"/>
      <c r="E615" s="81"/>
      <c r="F615" s="81"/>
      <c r="G615" s="81"/>
      <c r="H615" s="81"/>
      <c r="I615" s="81"/>
      <c r="J615" s="81"/>
    </row>
    <row r="616" spans="2:10" ht="12.75" customHeight="1" x14ac:dyDescent="0.2">
      <c r="B616" s="81"/>
      <c r="C616" s="81"/>
      <c r="D616" s="81"/>
      <c r="E616" s="81"/>
      <c r="F616" s="81"/>
      <c r="G616" s="81"/>
      <c r="H616" s="81"/>
      <c r="I616" s="81"/>
    </row>
    <row r="617" spans="2:10" ht="12.75" customHeight="1" x14ac:dyDescent="0.2">
      <c r="B617" s="81"/>
      <c r="C617" s="81"/>
      <c r="D617" s="81"/>
      <c r="E617" s="81"/>
      <c r="F617" s="81"/>
      <c r="G617" s="81"/>
      <c r="H617" s="81"/>
      <c r="I617" s="81"/>
    </row>
    <row r="618" spans="2:10" ht="12.75" customHeight="1" x14ac:dyDescent="0.2"/>
    <row r="619" spans="2:10" ht="12.75" customHeight="1" x14ac:dyDescent="0.2"/>
    <row r="620" spans="2:10" ht="12.75" customHeight="1" x14ac:dyDescent="0.2"/>
    <row r="621" spans="2:10" ht="12.75" customHeight="1" x14ac:dyDescent="0.2">
      <c r="H621"/>
    </row>
    <row r="622" spans="2:10" ht="12.75" customHeight="1" x14ac:dyDescent="0.2">
      <c r="H622"/>
    </row>
    <row r="623" spans="2:10" ht="12.75" customHeight="1" x14ac:dyDescent="0.2">
      <c r="H623"/>
    </row>
    <row r="624" spans="2:10" ht="12.75" customHeight="1" x14ac:dyDescent="0.2">
      <c r="H624"/>
    </row>
    <row r="625" spans="8:8" ht="12.75" customHeight="1" x14ac:dyDescent="0.2">
      <c r="H625"/>
    </row>
    <row r="626" spans="8:8" ht="12.75" customHeight="1" x14ac:dyDescent="0.2">
      <c r="H626"/>
    </row>
    <row r="627" spans="8:8" ht="12.75" customHeight="1" x14ac:dyDescent="0.2">
      <c r="H627"/>
    </row>
    <row r="628" spans="8:8" ht="12.75" customHeight="1" x14ac:dyDescent="0.2">
      <c r="H628"/>
    </row>
    <row r="629" spans="8:8" ht="12.75" customHeight="1" x14ac:dyDescent="0.2">
      <c r="H629"/>
    </row>
    <row r="630" spans="8:8" ht="12.75" customHeight="1" x14ac:dyDescent="0.2">
      <c r="H630"/>
    </row>
    <row r="631" spans="8:8" ht="12.75" customHeight="1" x14ac:dyDescent="0.2">
      <c r="H631"/>
    </row>
    <row r="632" spans="8:8" ht="12.75" customHeight="1" x14ac:dyDescent="0.2">
      <c r="H632"/>
    </row>
    <row r="633" spans="8:8" ht="12.75" customHeight="1" x14ac:dyDescent="0.2">
      <c r="H633"/>
    </row>
    <row r="634" spans="8:8" ht="12.75" customHeight="1" x14ac:dyDescent="0.2">
      <c r="H634"/>
    </row>
    <row r="635" spans="8:8" ht="12.75" customHeight="1" x14ac:dyDescent="0.2">
      <c r="H635"/>
    </row>
    <row r="636" spans="8:8" ht="12.75" customHeight="1" x14ac:dyDescent="0.2">
      <c r="H636"/>
    </row>
    <row r="637" spans="8:8" ht="12.75" customHeight="1" x14ac:dyDescent="0.2">
      <c r="H637"/>
    </row>
    <row r="638" spans="8:8" ht="12.75" customHeight="1" x14ac:dyDescent="0.2">
      <c r="H638"/>
    </row>
    <row r="639" spans="8:8" ht="12.75" customHeight="1" x14ac:dyDescent="0.2">
      <c r="H639"/>
    </row>
    <row r="640" spans="8:8" ht="12.75" customHeight="1" x14ac:dyDescent="0.2">
      <c r="H640"/>
    </row>
    <row r="641" spans="8:8" ht="12.75" customHeight="1" x14ac:dyDescent="0.2">
      <c r="H641"/>
    </row>
    <row r="642" spans="8:8" ht="12.75" customHeight="1" x14ac:dyDescent="0.2">
      <c r="H642"/>
    </row>
    <row r="643" spans="8:8" ht="12.75" customHeight="1" x14ac:dyDescent="0.2">
      <c r="H643"/>
    </row>
    <row r="644" spans="8:8" ht="12.75" customHeight="1" x14ac:dyDescent="0.2">
      <c r="H644"/>
    </row>
    <row r="645" spans="8:8" ht="12.75" customHeight="1" x14ac:dyDescent="0.2">
      <c r="H645"/>
    </row>
    <row r="646" spans="8:8" ht="12.75" customHeight="1" x14ac:dyDescent="0.2">
      <c r="H646"/>
    </row>
    <row r="647" spans="8:8" ht="12.75" customHeight="1" x14ac:dyDescent="0.2">
      <c r="H647"/>
    </row>
    <row r="648" spans="8:8" ht="12.75" customHeight="1" x14ac:dyDescent="0.2">
      <c r="H648"/>
    </row>
    <row r="649" spans="8:8" ht="12.75" customHeight="1" x14ac:dyDescent="0.2">
      <c r="H649"/>
    </row>
    <row r="650" spans="8:8" ht="12.75" customHeight="1" x14ac:dyDescent="0.2">
      <c r="H650"/>
    </row>
    <row r="651" spans="8:8" ht="12.75" customHeight="1" x14ac:dyDescent="0.2">
      <c r="H651"/>
    </row>
    <row r="652" spans="8:8" ht="12.75" customHeight="1" x14ac:dyDescent="0.2">
      <c r="H652"/>
    </row>
    <row r="653" spans="8:8" ht="12.75" customHeight="1" x14ac:dyDescent="0.2">
      <c r="H653"/>
    </row>
    <row r="654" spans="8:8" ht="12.75" customHeight="1" x14ac:dyDescent="0.2">
      <c r="H654"/>
    </row>
    <row r="655" spans="8:8" ht="12.75" customHeight="1" x14ac:dyDescent="0.2">
      <c r="H655"/>
    </row>
    <row r="656" spans="8:8" ht="12.75" customHeight="1" x14ac:dyDescent="0.2">
      <c r="H656"/>
    </row>
    <row r="657" spans="8:8" ht="12.75" customHeight="1" x14ac:dyDescent="0.2">
      <c r="H657"/>
    </row>
    <row r="658" spans="8:8" ht="12.75" customHeight="1" x14ac:dyDescent="0.2">
      <c r="H658"/>
    </row>
    <row r="659" spans="8:8" ht="12.75" customHeight="1" x14ac:dyDescent="0.2">
      <c r="H659"/>
    </row>
    <row r="660" spans="8:8" ht="12.75" customHeight="1" x14ac:dyDescent="0.2">
      <c r="H660"/>
    </row>
    <row r="661" spans="8:8" ht="12.75" customHeight="1" x14ac:dyDescent="0.2">
      <c r="H661"/>
    </row>
    <row r="662" spans="8:8" ht="12.75" customHeight="1" x14ac:dyDescent="0.2">
      <c r="H662"/>
    </row>
    <row r="663" spans="8:8" ht="12.75" customHeight="1" x14ac:dyDescent="0.2">
      <c r="H663"/>
    </row>
    <row r="664" spans="8:8" ht="12.75" customHeight="1" x14ac:dyDescent="0.2">
      <c r="H664"/>
    </row>
    <row r="665" spans="8:8" ht="12.75" customHeight="1" x14ac:dyDescent="0.2">
      <c r="H665"/>
    </row>
    <row r="666" spans="8:8" ht="12.75" customHeight="1" x14ac:dyDescent="0.2">
      <c r="H666"/>
    </row>
    <row r="667" spans="8:8" ht="12.75" customHeight="1" x14ac:dyDescent="0.2">
      <c r="H667"/>
    </row>
    <row r="668" spans="8:8" ht="12.75" customHeight="1" x14ac:dyDescent="0.2">
      <c r="H668"/>
    </row>
    <row r="669" spans="8:8" ht="12.75" customHeight="1" x14ac:dyDescent="0.2">
      <c r="H669"/>
    </row>
    <row r="670" spans="8:8" ht="12.75" customHeight="1" x14ac:dyDescent="0.2">
      <c r="H670"/>
    </row>
    <row r="671" spans="8:8" ht="12.75" customHeight="1" x14ac:dyDescent="0.2">
      <c r="H671"/>
    </row>
    <row r="672" spans="8:8" ht="12.75" customHeight="1" x14ac:dyDescent="0.2">
      <c r="H672"/>
    </row>
    <row r="673" spans="8:8" ht="12.75" customHeight="1" x14ac:dyDescent="0.2">
      <c r="H673"/>
    </row>
    <row r="674" spans="8:8" ht="12.75" customHeight="1" x14ac:dyDescent="0.2">
      <c r="H674"/>
    </row>
    <row r="675" spans="8:8" ht="12.75" customHeight="1" x14ac:dyDescent="0.2">
      <c r="H675"/>
    </row>
    <row r="676" spans="8:8" ht="12.75" customHeight="1" x14ac:dyDescent="0.2">
      <c r="H676"/>
    </row>
    <row r="677" spans="8:8" ht="12.75" customHeight="1" x14ac:dyDescent="0.2">
      <c r="H677"/>
    </row>
    <row r="678" spans="8:8" ht="12.75" customHeight="1" x14ac:dyDescent="0.2">
      <c r="H678"/>
    </row>
    <row r="679" spans="8:8" ht="12.75" customHeight="1" x14ac:dyDescent="0.2">
      <c r="H679"/>
    </row>
    <row r="680" spans="8:8" ht="12.75" customHeight="1" x14ac:dyDescent="0.2">
      <c r="H680"/>
    </row>
    <row r="681" spans="8:8" ht="12.75" customHeight="1" x14ac:dyDescent="0.2">
      <c r="H681"/>
    </row>
    <row r="682" spans="8:8" ht="12.75" customHeight="1" x14ac:dyDescent="0.2">
      <c r="H682"/>
    </row>
    <row r="683" spans="8:8" ht="12.75" customHeight="1" x14ac:dyDescent="0.2">
      <c r="H683"/>
    </row>
    <row r="684" spans="8:8" ht="12.75" customHeight="1" x14ac:dyDescent="0.2">
      <c r="H684"/>
    </row>
    <row r="685" spans="8:8" ht="12.75" customHeight="1" x14ac:dyDescent="0.2">
      <c r="H685"/>
    </row>
    <row r="686" spans="8:8" ht="12.75" customHeight="1" x14ac:dyDescent="0.2">
      <c r="H686"/>
    </row>
    <row r="687" spans="8:8" ht="12.75" customHeight="1" x14ac:dyDescent="0.2">
      <c r="H687"/>
    </row>
    <row r="688" spans="8:8" ht="12.75" customHeight="1" x14ac:dyDescent="0.2">
      <c r="H688"/>
    </row>
    <row r="689" spans="8:8" ht="12.75" customHeight="1" x14ac:dyDescent="0.2">
      <c r="H689"/>
    </row>
    <row r="690" spans="8:8" ht="12.75" customHeight="1" x14ac:dyDescent="0.2">
      <c r="H690"/>
    </row>
    <row r="691" spans="8:8" ht="12.75" customHeight="1" x14ac:dyDescent="0.2">
      <c r="H691"/>
    </row>
    <row r="692" spans="8:8" ht="12.75" customHeight="1" x14ac:dyDescent="0.2">
      <c r="H692"/>
    </row>
    <row r="693" spans="8:8" ht="12.75" customHeight="1" x14ac:dyDescent="0.2">
      <c r="H693"/>
    </row>
    <row r="694" spans="8:8" ht="12.75" customHeight="1" x14ac:dyDescent="0.2">
      <c r="H694"/>
    </row>
    <row r="695" spans="8:8" ht="12.75" customHeight="1" x14ac:dyDescent="0.2">
      <c r="H695"/>
    </row>
    <row r="696" spans="8:8" ht="12.75" customHeight="1" x14ac:dyDescent="0.2">
      <c r="H696"/>
    </row>
    <row r="697" spans="8:8" ht="12.75" customHeight="1" x14ac:dyDescent="0.2">
      <c r="H697"/>
    </row>
    <row r="698" spans="8:8" ht="12.75" customHeight="1" x14ac:dyDescent="0.2">
      <c r="H698"/>
    </row>
    <row r="699" spans="8:8" ht="12.75" customHeight="1" x14ac:dyDescent="0.2">
      <c r="H699"/>
    </row>
    <row r="700" spans="8:8" ht="12.75" customHeight="1" x14ac:dyDescent="0.2">
      <c r="H700"/>
    </row>
    <row r="701" spans="8:8" ht="12.75" customHeight="1" x14ac:dyDescent="0.2">
      <c r="H701"/>
    </row>
    <row r="702" spans="8:8" ht="12.75" customHeight="1" x14ac:dyDescent="0.2">
      <c r="H702"/>
    </row>
    <row r="703" spans="8:8" ht="12.75" customHeight="1" x14ac:dyDescent="0.2">
      <c r="H703"/>
    </row>
    <row r="704" spans="8:8" ht="12.75" customHeight="1" x14ac:dyDescent="0.2">
      <c r="H704"/>
    </row>
    <row r="705" spans="8:8" ht="12.75" customHeight="1" x14ac:dyDescent="0.2">
      <c r="H705"/>
    </row>
    <row r="706" spans="8:8" ht="12.75" customHeight="1" x14ac:dyDescent="0.2">
      <c r="H706"/>
    </row>
    <row r="707" spans="8:8" ht="12.75" customHeight="1" x14ac:dyDescent="0.2">
      <c r="H707"/>
    </row>
    <row r="708" spans="8:8" ht="12.75" customHeight="1" x14ac:dyDescent="0.2">
      <c r="H708"/>
    </row>
    <row r="709" spans="8:8" ht="12.75" customHeight="1" x14ac:dyDescent="0.2">
      <c r="H709"/>
    </row>
    <row r="710" spans="8:8" ht="12.75" customHeight="1" x14ac:dyDescent="0.2">
      <c r="H710"/>
    </row>
    <row r="711" spans="8:8" ht="12.75" customHeight="1" x14ac:dyDescent="0.2">
      <c r="H711"/>
    </row>
    <row r="712" spans="8:8" ht="12.75" customHeight="1" x14ac:dyDescent="0.2">
      <c r="H712"/>
    </row>
    <row r="713" spans="8:8" ht="12.75" customHeight="1" x14ac:dyDescent="0.2">
      <c r="H713"/>
    </row>
    <row r="714" spans="8:8" ht="12.75" customHeight="1" x14ac:dyDescent="0.2">
      <c r="H714"/>
    </row>
    <row r="715" spans="8:8" ht="12.75" customHeight="1" x14ac:dyDescent="0.2">
      <c r="H715"/>
    </row>
    <row r="716" spans="8:8" ht="12.75" customHeight="1" x14ac:dyDescent="0.2">
      <c r="H716"/>
    </row>
    <row r="717" spans="8:8" ht="12.75" customHeight="1" x14ac:dyDescent="0.2">
      <c r="H717"/>
    </row>
    <row r="718" spans="8:8" ht="12.75" customHeight="1" x14ac:dyDescent="0.2">
      <c r="H718"/>
    </row>
    <row r="719" spans="8:8" ht="12.75" customHeight="1" x14ac:dyDescent="0.2">
      <c r="H719"/>
    </row>
    <row r="720" spans="8:8" ht="12.75" customHeight="1" x14ac:dyDescent="0.2">
      <c r="H720"/>
    </row>
    <row r="721" spans="8:8" ht="12.75" customHeight="1" x14ac:dyDescent="0.2">
      <c r="H721"/>
    </row>
    <row r="722" spans="8:8" ht="12.75" customHeight="1" x14ac:dyDescent="0.2">
      <c r="H722"/>
    </row>
    <row r="723" spans="8:8" ht="12.75" customHeight="1" x14ac:dyDescent="0.2">
      <c r="H723"/>
    </row>
    <row r="724" spans="8:8" ht="12.75" customHeight="1" x14ac:dyDescent="0.2">
      <c r="H724"/>
    </row>
    <row r="725" spans="8:8" ht="12.75" customHeight="1" x14ac:dyDescent="0.2">
      <c r="H725"/>
    </row>
    <row r="726" spans="8:8" ht="12.75" customHeight="1" x14ac:dyDescent="0.2">
      <c r="H726"/>
    </row>
    <row r="727" spans="8:8" ht="12.75" customHeight="1" x14ac:dyDescent="0.2">
      <c r="H727"/>
    </row>
    <row r="728" spans="8:8" ht="12.75" customHeight="1" x14ac:dyDescent="0.2">
      <c r="H728"/>
    </row>
    <row r="729" spans="8:8" ht="12.75" customHeight="1" x14ac:dyDescent="0.2">
      <c r="H729"/>
    </row>
    <row r="730" spans="8:8" ht="12.75" customHeight="1" x14ac:dyDescent="0.2">
      <c r="H730"/>
    </row>
    <row r="731" spans="8:8" ht="12.75" customHeight="1" x14ac:dyDescent="0.2">
      <c r="H731"/>
    </row>
    <row r="732" spans="8:8" ht="12.75" customHeight="1" x14ac:dyDescent="0.2">
      <c r="H732"/>
    </row>
    <row r="733" spans="8:8" ht="12.75" customHeight="1" x14ac:dyDescent="0.2">
      <c r="H733"/>
    </row>
    <row r="734" spans="8:8" ht="12.75" customHeight="1" x14ac:dyDescent="0.2">
      <c r="H734"/>
    </row>
    <row r="735" spans="8:8" ht="12.75" customHeight="1" x14ac:dyDescent="0.2">
      <c r="H735"/>
    </row>
    <row r="736" spans="8:8" ht="12.75" customHeight="1" x14ac:dyDescent="0.2">
      <c r="H736"/>
    </row>
    <row r="737" spans="8:8" ht="12.75" customHeight="1" x14ac:dyDescent="0.2">
      <c r="H737"/>
    </row>
    <row r="738" spans="8:8" ht="12.75" customHeight="1" x14ac:dyDescent="0.2">
      <c r="H738"/>
    </row>
    <row r="739" spans="8:8" ht="12.75" customHeight="1" x14ac:dyDescent="0.2">
      <c r="H739"/>
    </row>
    <row r="740" spans="8:8" ht="12.75" customHeight="1" x14ac:dyDescent="0.2">
      <c r="H740"/>
    </row>
    <row r="741" spans="8:8" ht="12.75" customHeight="1" x14ac:dyDescent="0.2">
      <c r="H741"/>
    </row>
    <row r="742" spans="8:8" ht="12.75" customHeight="1" x14ac:dyDescent="0.2">
      <c r="H742"/>
    </row>
    <row r="743" spans="8:8" ht="12.75" customHeight="1" x14ac:dyDescent="0.2">
      <c r="H743"/>
    </row>
    <row r="744" spans="8:8" ht="12.75" customHeight="1" x14ac:dyDescent="0.2">
      <c r="H744"/>
    </row>
    <row r="745" spans="8:8" ht="12.75" customHeight="1" x14ac:dyDescent="0.2">
      <c r="H745"/>
    </row>
    <row r="746" spans="8:8" ht="12.75" customHeight="1" x14ac:dyDescent="0.2">
      <c r="H746"/>
    </row>
    <row r="747" spans="8:8" ht="12.75" customHeight="1" x14ac:dyDescent="0.2">
      <c r="H747"/>
    </row>
    <row r="748" spans="8:8" ht="12.75" customHeight="1" x14ac:dyDescent="0.2">
      <c r="H748"/>
    </row>
    <row r="749" spans="8:8" ht="12.75" customHeight="1" x14ac:dyDescent="0.2">
      <c r="H749"/>
    </row>
    <row r="750" spans="8:8" ht="12.75" customHeight="1" x14ac:dyDescent="0.2">
      <c r="H750"/>
    </row>
    <row r="751" spans="8:8" ht="12.75" customHeight="1" x14ac:dyDescent="0.2">
      <c r="H751"/>
    </row>
    <row r="752" spans="8:8" ht="12.75" customHeight="1" x14ac:dyDescent="0.2">
      <c r="H752"/>
    </row>
    <row r="753" spans="8:8" ht="12.75" customHeight="1" x14ac:dyDescent="0.2">
      <c r="H753"/>
    </row>
    <row r="754" spans="8:8" ht="12.75" customHeight="1" x14ac:dyDescent="0.2">
      <c r="H754"/>
    </row>
    <row r="755" spans="8:8" ht="12.75" customHeight="1" x14ac:dyDescent="0.2">
      <c r="H755"/>
    </row>
    <row r="756" spans="8:8" ht="12.75" customHeight="1" x14ac:dyDescent="0.2">
      <c r="H756"/>
    </row>
    <row r="757" spans="8:8" ht="12.75" customHeight="1" x14ac:dyDescent="0.2">
      <c r="H757"/>
    </row>
    <row r="758" spans="8:8" ht="12.75" customHeight="1" x14ac:dyDescent="0.2">
      <c r="H758"/>
    </row>
    <row r="759" spans="8:8" ht="12.75" customHeight="1" x14ac:dyDescent="0.2">
      <c r="H759"/>
    </row>
    <row r="760" spans="8:8" ht="12.75" customHeight="1" x14ac:dyDescent="0.2">
      <c r="H760"/>
    </row>
    <row r="761" spans="8:8" ht="12.75" customHeight="1" x14ac:dyDescent="0.2">
      <c r="H761"/>
    </row>
    <row r="762" spans="8:8" ht="12.75" customHeight="1" x14ac:dyDescent="0.2">
      <c r="H762"/>
    </row>
    <row r="763" spans="8:8" ht="12.75" customHeight="1" x14ac:dyDescent="0.2">
      <c r="H763"/>
    </row>
    <row r="764" spans="8:8" ht="12.75" customHeight="1" x14ac:dyDescent="0.2">
      <c r="H764"/>
    </row>
    <row r="765" spans="8:8" ht="12.75" customHeight="1" x14ac:dyDescent="0.2">
      <c r="H765"/>
    </row>
    <row r="766" spans="8:8" ht="12.75" customHeight="1" x14ac:dyDescent="0.2">
      <c r="H766"/>
    </row>
    <row r="767" spans="8:8" ht="12.75" customHeight="1" x14ac:dyDescent="0.2">
      <c r="H767"/>
    </row>
    <row r="768" spans="8:8" ht="12.75" customHeight="1" x14ac:dyDescent="0.2">
      <c r="H768"/>
    </row>
    <row r="769" spans="8:8" ht="12.75" customHeight="1" x14ac:dyDescent="0.2">
      <c r="H769"/>
    </row>
    <row r="770" spans="8:8" ht="12.75" customHeight="1" x14ac:dyDescent="0.2">
      <c r="H770"/>
    </row>
    <row r="771" spans="8:8" ht="12.75" customHeight="1" x14ac:dyDescent="0.2">
      <c r="H771"/>
    </row>
    <row r="772" spans="8:8" ht="12.75" customHeight="1" x14ac:dyDescent="0.2">
      <c r="H772"/>
    </row>
    <row r="773" spans="8:8" ht="12.75" customHeight="1" x14ac:dyDescent="0.2">
      <c r="H773"/>
    </row>
    <row r="774" spans="8:8" ht="12.75" customHeight="1" x14ac:dyDescent="0.2">
      <c r="H774"/>
    </row>
    <row r="775" spans="8:8" ht="12.75" customHeight="1" x14ac:dyDescent="0.2">
      <c r="H775"/>
    </row>
    <row r="776" spans="8:8" ht="12.75" customHeight="1" x14ac:dyDescent="0.2">
      <c r="H776"/>
    </row>
    <row r="777" spans="8:8" ht="12.75" customHeight="1" x14ac:dyDescent="0.2">
      <c r="H777"/>
    </row>
    <row r="778" spans="8:8" ht="12.75" customHeight="1" x14ac:dyDescent="0.2">
      <c r="H778"/>
    </row>
    <row r="779" spans="8:8" ht="12.75" customHeight="1" x14ac:dyDescent="0.2">
      <c r="H779"/>
    </row>
    <row r="780" spans="8:8" ht="12.75" customHeight="1" x14ac:dyDescent="0.2">
      <c r="H780"/>
    </row>
    <row r="781" spans="8:8" ht="12.75" customHeight="1" x14ac:dyDescent="0.2">
      <c r="H781"/>
    </row>
    <row r="782" spans="8:8" ht="12.75" customHeight="1" x14ac:dyDescent="0.2">
      <c r="H782"/>
    </row>
    <row r="783" spans="8:8" ht="12.75" customHeight="1" x14ac:dyDescent="0.2">
      <c r="H783"/>
    </row>
    <row r="784" spans="8:8" ht="12.75" customHeight="1" x14ac:dyDescent="0.2">
      <c r="H784"/>
    </row>
    <row r="785" spans="8:8" ht="12.75" customHeight="1" x14ac:dyDescent="0.2">
      <c r="H785"/>
    </row>
    <row r="786" spans="8:8" ht="12.75" customHeight="1" x14ac:dyDescent="0.2">
      <c r="H786"/>
    </row>
    <row r="787" spans="8:8" ht="12.75" customHeight="1" x14ac:dyDescent="0.2">
      <c r="H787"/>
    </row>
    <row r="788" spans="8:8" ht="12.75" customHeight="1" x14ac:dyDescent="0.2">
      <c r="H788"/>
    </row>
    <row r="789" spans="8:8" ht="12.75" customHeight="1" x14ac:dyDescent="0.2">
      <c r="H789"/>
    </row>
    <row r="790" spans="8:8" ht="12.75" customHeight="1" x14ac:dyDescent="0.2">
      <c r="H790"/>
    </row>
    <row r="791" spans="8:8" ht="12.75" customHeight="1" x14ac:dyDescent="0.2">
      <c r="H791"/>
    </row>
    <row r="792" spans="8:8" ht="12.75" customHeight="1" x14ac:dyDescent="0.2">
      <c r="H792"/>
    </row>
    <row r="793" spans="8:8" ht="12.75" customHeight="1" x14ac:dyDescent="0.2">
      <c r="H793"/>
    </row>
    <row r="794" spans="8:8" ht="12.75" customHeight="1" x14ac:dyDescent="0.2">
      <c r="H794"/>
    </row>
    <row r="795" spans="8:8" ht="12.75" customHeight="1" x14ac:dyDescent="0.2">
      <c r="H795"/>
    </row>
    <row r="796" spans="8:8" ht="12.75" customHeight="1" x14ac:dyDescent="0.2">
      <c r="H796"/>
    </row>
    <row r="797" spans="8:8" ht="12.75" customHeight="1" x14ac:dyDescent="0.2">
      <c r="H797"/>
    </row>
    <row r="798" spans="8:8" ht="12.75" customHeight="1" x14ac:dyDescent="0.2">
      <c r="H798"/>
    </row>
    <row r="799" spans="8:8" ht="12.75" customHeight="1" x14ac:dyDescent="0.2">
      <c r="H799"/>
    </row>
    <row r="800" spans="8:8" ht="12.75" customHeight="1" x14ac:dyDescent="0.2">
      <c r="H800"/>
    </row>
    <row r="801" spans="8:8" ht="12.75" customHeight="1" x14ac:dyDescent="0.2">
      <c r="H801"/>
    </row>
    <row r="802" spans="8:8" ht="12.75" customHeight="1" x14ac:dyDescent="0.2">
      <c r="H802"/>
    </row>
    <row r="803" spans="8:8" ht="12.75" customHeight="1" x14ac:dyDescent="0.2">
      <c r="H803"/>
    </row>
    <row r="804" spans="8:8" ht="12.75" customHeight="1" x14ac:dyDescent="0.2">
      <c r="H804"/>
    </row>
    <row r="805" spans="8:8" ht="12.75" customHeight="1" x14ac:dyDescent="0.2">
      <c r="H805"/>
    </row>
    <row r="806" spans="8:8" ht="12.75" customHeight="1" x14ac:dyDescent="0.2">
      <c r="H806"/>
    </row>
    <row r="807" spans="8:8" ht="12.75" customHeight="1" x14ac:dyDescent="0.2">
      <c r="H807"/>
    </row>
    <row r="808" spans="8:8" ht="12.75" customHeight="1" x14ac:dyDescent="0.2">
      <c r="H808"/>
    </row>
    <row r="809" spans="8:8" ht="12.75" customHeight="1" x14ac:dyDescent="0.2">
      <c r="H809"/>
    </row>
    <row r="810" spans="8:8" ht="12.75" customHeight="1" x14ac:dyDescent="0.2">
      <c r="H810"/>
    </row>
    <row r="811" spans="8:8" ht="12.75" customHeight="1" x14ac:dyDescent="0.2">
      <c r="H811"/>
    </row>
    <row r="812" spans="8:8" ht="12.75" customHeight="1" x14ac:dyDescent="0.2">
      <c r="H812"/>
    </row>
    <row r="813" spans="8:8" ht="12.75" customHeight="1" x14ac:dyDescent="0.2">
      <c r="H813"/>
    </row>
    <row r="814" spans="8:8" ht="12.75" customHeight="1" x14ac:dyDescent="0.2">
      <c r="H814"/>
    </row>
    <row r="815" spans="8:8" ht="12.75" customHeight="1" x14ac:dyDescent="0.2">
      <c r="H815"/>
    </row>
    <row r="816" spans="8:8" ht="12.75" customHeight="1" x14ac:dyDescent="0.2">
      <c r="H816"/>
    </row>
    <row r="817" spans="8:8" ht="12.75" customHeight="1" x14ac:dyDescent="0.2">
      <c r="H817"/>
    </row>
    <row r="818" spans="8:8" ht="12.75" customHeight="1" x14ac:dyDescent="0.2">
      <c r="H818"/>
    </row>
    <row r="819" spans="8:8" ht="12.75" customHeight="1" x14ac:dyDescent="0.2">
      <c r="H819"/>
    </row>
    <row r="820" spans="8:8" ht="12.75" customHeight="1" x14ac:dyDescent="0.2">
      <c r="H820"/>
    </row>
    <row r="821" spans="8:8" ht="12.75" customHeight="1" x14ac:dyDescent="0.2">
      <c r="H821"/>
    </row>
    <row r="822" spans="8:8" ht="12.75" customHeight="1" x14ac:dyDescent="0.2">
      <c r="H822"/>
    </row>
    <row r="823" spans="8:8" ht="12.75" customHeight="1" x14ac:dyDescent="0.2">
      <c r="H823"/>
    </row>
    <row r="824" spans="8:8" ht="12.75" customHeight="1" x14ac:dyDescent="0.2">
      <c r="H824"/>
    </row>
    <row r="825" spans="8:8" ht="12.75" customHeight="1" x14ac:dyDescent="0.2">
      <c r="H825"/>
    </row>
    <row r="826" spans="8:8" ht="12.75" customHeight="1" x14ac:dyDescent="0.2">
      <c r="H826"/>
    </row>
    <row r="827" spans="8:8" ht="12.75" customHeight="1" x14ac:dyDescent="0.2">
      <c r="H827"/>
    </row>
    <row r="828" spans="8:8" ht="12.75" customHeight="1" x14ac:dyDescent="0.2">
      <c r="H828"/>
    </row>
    <row r="829" spans="8:8" ht="12.75" customHeight="1" x14ac:dyDescent="0.2">
      <c r="H829"/>
    </row>
    <row r="830" spans="8:8" ht="12.75" customHeight="1" x14ac:dyDescent="0.2">
      <c r="H830"/>
    </row>
    <row r="831" spans="8:8" ht="12.75" customHeight="1" x14ac:dyDescent="0.2">
      <c r="H831"/>
    </row>
    <row r="832" spans="8:8" ht="12.75" customHeight="1" x14ac:dyDescent="0.2">
      <c r="H832"/>
    </row>
    <row r="833" spans="8:8" ht="12.75" customHeight="1" x14ac:dyDescent="0.2">
      <c r="H833"/>
    </row>
    <row r="834" spans="8:8" ht="12.75" customHeight="1" x14ac:dyDescent="0.2">
      <c r="H834"/>
    </row>
    <row r="835" spans="8:8" ht="12.75" customHeight="1" x14ac:dyDescent="0.2">
      <c r="H835"/>
    </row>
    <row r="836" spans="8:8" ht="12.75" customHeight="1" x14ac:dyDescent="0.2">
      <c r="H836"/>
    </row>
    <row r="837" spans="8:8" ht="12.75" customHeight="1" x14ac:dyDescent="0.2">
      <c r="H837"/>
    </row>
    <row r="838" spans="8:8" ht="12.75" customHeight="1" x14ac:dyDescent="0.2">
      <c r="H838"/>
    </row>
    <row r="839" spans="8:8" ht="12.75" customHeight="1" x14ac:dyDescent="0.2">
      <c r="H839"/>
    </row>
    <row r="840" spans="8:8" ht="12.75" customHeight="1" x14ac:dyDescent="0.2">
      <c r="H840"/>
    </row>
    <row r="841" spans="8:8" ht="12.75" customHeight="1" x14ac:dyDescent="0.2">
      <c r="H841"/>
    </row>
    <row r="842" spans="8:8" ht="12.75" customHeight="1" x14ac:dyDescent="0.2">
      <c r="H842"/>
    </row>
    <row r="843" spans="8:8" ht="12.75" customHeight="1" x14ac:dyDescent="0.2">
      <c r="H843"/>
    </row>
    <row r="844" spans="8:8" ht="12.75" customHeight="1" x14ac:dyDescent="0.2">
      <c r="H844"/>
    </row>
    <row r="845" spans="8:8" ht="12.75" customHeight="1" x14ac:dyDescent="0.2">
      <c r="H845"/>
    </row>
    <row r="846" spans="8:8" ht="12.75" customHeight="1" x14ac:dyDescent="0.2">
      <c r="H846"/>
    </row>
    <row r="847" spans="8:8" ht="12.75" customHeight="1" x14ac:dyDescent="0.2">
      <c r="H847"/>
    </row>
    <row r="848" spans="8:8" ht="12.75" customHeight="1" x14ac:dyDescent="0.2">
      <c r="H848"/>
    </row>
    <row r="849" spans="8:8" ht="12.75" customHeight="1" x14ac:dyDescent="0.2">
      <c r="H849"/>
    </row>
    <row r="850" spans="8:8" ht="12.75" customHeight="1" x14ac:dyDescent="0.2">
      <c r="H850"/>
    </row>
    <row r="851" spans="8:8" ht="12.75" customHeight="1" x14ac:dyDescent="0.2">
      <c r="H851"/>
    </row>
    <row r="852" spans="8:8" ht="12.75" customHeight="1" x14ac:dyDescent="0.2">
      <c r="H852"/>
    </row>
    <row r="853" spans="8:8" ht="12.75" customHeight="1" x14ac:dyDescent="0.2">
      <c r="H853"/>
    </row>
    <row r="854" spans="8:8" ht="12.75" customHeight="1" x14ac:dyDescent="0.2">
      <c r="H854"/>
    </row>
    <row r="855" spans="8:8" ht="12.75" customHeight="1" x14ac:dyDescent="0.2">
      <c r="H855"/>
    </row>
    <row r="856" spans="8:8" ht="12.75" customHeight="1" x14ac:dyDescent="0.2">
      <c r="H856"/>
    </row>
    <row r="857" spans="8:8" ht="12.75" customHeight="1" x14ac:dyDescent="0.2">
      <c r="H857"/>
    </row>
    <row r="858" spans="8:8" ht="12.75" customHeight="1" x14ac:dyDescent="0.2">
      <c r="H858"/>
    </row>
    <row r="859" spans="8:8" ht="12.75" customHeight="1" x14ac:dyDescent="0.2">
      <c r="H859"/>
    </row>
    <row r="860" spans="8:8" ht="12.75" customHeight="1" x14ac:dyDescent="0.2">
      <c r="H860"/>
    </row>
    <row r="861" spans="8:8" ht="12.75" customHeight="1" x14ac:dyDescent="0.2">
      <c r="H861"/>
    </row>
    <row r="862" spans="8:8" ht="12.75" customHeight="1" x14ac:dyDescent="0.2">
      <c r="H862"/>
    </row>
    <row r="863" spans="8:8" ht="12.75" customHeight="1" x14ac:dyDescent="0.2">
      <c r="H863"/>
    </row>
    <row r="864" spans="8:8" ht="12.75" customHeight="1" x14ac:dyDescent="0.2">
      <c r="H864"/>
    </row>
    <row r="865" spans="8:8" ht="12.75" customHeight="1" x14ac:dyDescent="0.2">
      <c r="H865"/>
    </row>
    <row r="866" spans="8:8" ht="12.75" customHeight="1" x14ac:dyDescent="0.2">
      <c r="H866"/>
    </row>
    <row r="867" spans="8:8" ht="12.75" customHeight="1" x14ac:dyDescent="0.2">
      <c r="H867"/>
    </row>
    <row r="868" spans="8:8" ht="12.75" customHeight="1" x14ac:dyDescent="0.2">
      <c r="H868"/>
    </row>
    <row r="869" spans="8:8" ht="12.75" customHeight="1" x14ac:dyDescent="0.2">
      <c r="H869"/>
    </row>
    <row r="870" spans="8:8" ht="12.75" customHeight="1" x14ac:dyDescent="0.2">
      <c r="H870"/>
    </row>
    <row r="871" spans="8:8" ht="12.75" customHeight="1" x14ac:dyDescent="0.2">
      <c r="H871"/>
    </row>
    <row r="872" spans="8:8" ht="12.75" customHeight="1" x14ac:dyDescent="0.2">
      <c r="H872"/>
    </row>
    <row r="873" spans="8:8" ht="12.75" customHeight="1" x14ac:dyDescent="0.2">
      <c r="H873"/>
    </row>
    <row r="874" spans="8:8" ht="12.75" customHeight="1" x14ac:dyDescent="0.2">
      <c r="H874"/>
    </row>
    <row r="875" spans="8:8" ht="12.75" customHeight="1" x14ac:dyDescent="0.2">
      <c r="H875"/>
    </row>
    <row r="876" spans="8:8" x14ac:dyDescent="0.2">
      <c r="H876"/>
    </row>
    <row r="877" spans="8:8" x14ac:dyDescent="0.2">
      <c r="H877"/>
    </row>
    <row r="878" spans="8:8" x14ac:dyDescent="0.2">
      <c r="H878"/>
    </row>
  </sheetData>
  <mergeCells count="1">
    <mergeCell ref="J326:J327"/>
  </mergeCells>
  <printOptions horizontalCentered="1"/>
  <pageMargins left="0.21" right="0.15748031496062992" top="0.59055118110236227" bottom="0.59055118110236227" header="0.51181102362204722" footer="0.31496062992125984"/>
  <pageSetup paperSize="9" scale="82" fitToHeight="0" orientation="portrait" r:id="rId1"/>
  <headerFooter alignWithMargins="0">
    <oddHeader>&amp;C&amp;"Calibri"&amp;10&amp;K000000 IN CONFIDENCE&amp;1#_x000D_</oddHeader>
    <oddFooter>&amp;C&amp;8&amp;Z&amp;F&amp;A_x000D_&amp;1#&amp;"Calibri"&amp;10&amp;K000000 IN CONFIDENCE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5C699-CE6F-430F-9324-C62B55FAC2B3}">
  <sheetPr>
    <tabColor rgb="FFFF0000"/>
  </sheetPr>
  <dimension ref="A1:AC873"/>
  <sheetViews>
    <sheetView topLeftCell="A297" workbookViewId="0">
      <selection activeCell="D331" sqref="D331"/>
    </sheetView>
  </sheetViews>
  <sheetFormatPr defaultRowHeight="12.75" x14ac:dyDescent="0.2"/>
  <cols>
    <col min="1" max="1" width="27" customWidth="1"/>
    <col min="2" max="2" width="16.28515625" customWidth="1"/>
    <col min="3" max="5" width="13.7109375" customWidth="1"/>
    <col min="6" max="6" width="13.42578125" customWidth="1"/>
    <col min="7" max="7" width="14.28515625" customWidth="1"/>
    <col min="8" max="8" width="13.5703125" style="1" customWidth="1"/>
    <col min="9" max="9" width="12" customWidth="1"/>
    <col min="10" max="10" width="4.28515625" customWidth="1"/>
    <col min="13" max="13" width="27" customWidth="1"/>
    <col min="14" max="14" width="16.28515625" customWidth="1"/>
    <col min="15" max="17" width="13.7109375" customWidth="1"/>
    <col min="18" max="18" width="13.42578125" customWidth="1"/>
    <col min="19" max="19" width="14.28515625" customWidth="1"/>
    <col min="20" max="20" width="13.5703125" style="1" customWidth="1"/>
    <col min="21" max="21" width="12" customWidth="1"/>
  </cols>
  <sheetData>
    <row r="1" spans="1:29" s="4" customFormat="1" ht="15.75" x14ac:dyDescent="0.25">
      <c r="A1" s="143" t="s">
        <v>48</v>
      </c>
      <c r="B1" s="90"/>
      <c r="C1" s="90"/>
      <c r="D1" s="90"/>
      <c r="E1" s="90"/>
      <c r="F1" s="90"/>
      <c r="G1" s="90"/>
      <c r="H1" s="90"/>
      <c r="I1" s="90"/>
      <c r="M1" s="143" t="s">
        <v>49</v>
      </c>
      <c r="N1" s="145">
        <f t="shared" ref="N1:U1" si="0">SUM(N10:N1048576)</f>
        <v>0</v>
      </c>
      <c r="O1" s="145">
        <f t="shared" si="0"/>
        <v>0</v>
      </c>
      <c r="P1" s="145">
        <f t="shared" si="0"/>
        <v>0</v>
      </c>
      <c r="Q1" s="145">
        <f t="shared" si="0"/>
        <v>0</v>
      </c>
      <c r="R1" s="145">
        <f t="shared" si="0"/>
        <v>0</v>
      </c>
      <c r="S1" s="145">
        <f t="shared" si="0"/>
        <v>0</v>
      </c>
      <c r="T1" s="145">
        <f t="shared" si="0"/>
        <v>0</v>
      </c>
      <c r="U1" s="145">
        <f t="shared" si="0"/>
        <v>0</v>
      </c>
    </row>
    <row r="2" spans="1:29" s="4" customFormat="1" ht="15.75" x14ac:dyDescent="0.25">
      <c r="A2" s="88" t="s">
        <v>1</v>
      </c>
      <c r="B2" s="6"/>
      <c r="C2" s="6"/>
      <c r="D2" s="6"/>
      <c r="E2" s="6"/>
      <c r="F2" s="6"/>
      <c r="M2" s="88" t="s">
        <v>1</v>
      </c>
      <c r="N2" s="6"/>
      <c r="O2" s="6"/>
      <c r="P2" s="6"/>
      <c r="Q2" s="6"/>
      <c r="R2" s="6"/>
    </row>
    <row r="3" spans="1:29" s="2" customFormat="1" ht="12.75" customHeight="1" x14ac:dyDescent="0.25">
      <c r="A3" s="1"/>
      <c r="B3" s="42"/>
      <c r="C3" s="27"/>
      <c r="D3" s="27"/>
      <c r="E3" s="3"/>
      <c r="G3" s="45"/>
      <c r="H3" s="46"/>
      <c r="I3" s="28"/>
      <c r="J3" s="4"/>
      <c r="K3" s="4"/>
      <c r="L3" s="4"/>
      <c r="M3" s="1"/>
      <c r="N3" s="42"/>
      <c r="O3" s="27"/>
      <c r="P3" s="27"/>
      <c r="Q3" s="3"/>
      <c r="S3" s="45"/>
      <c r="T3" s="46"/>
      <c r="U3" s="28"/>
      <c r="V3" s="4"/>
      <c r="W3" s="4"/>
      <c r="X3" s="4"/>
      <c r="Y3" s="4"/>
      <c r="Z3" s="4"/>
      <c r="AA3" s="4"/>
      <c r="AB3" s="4"/>
      <c r="AC3" s="4"/>
    </row>
    <row r="4" spans="1:29" s="2" customFormat="1" ht="12.75" customHeight="1" x14ac:dyDescent="0.25">
      <c r="A4" s="10"/>
      <c r="B4" s="146" t="s">
        <v>22</v>
      </c>
      <c r="C4" s="147"/>
      <c r="D4" s="148"/>
      <c r="E4" s="148"/>
      <c r="F4" s="149"/>
      <c r="G4" s="150"/>
      <c r="H4" s="151" t="s">
        <v>3</v>
      </c>
      <c r="I4" s="152" t="s">
        <v>23</v>
      </c>
      <c r="J4" s="4"/>
      <c r="K4" s="4"/>
      <c r="L4" s="4"/>
      <c r="M4" s="10"/>
      <c r="N4" s="146" t="s">
        <v>22</v>
      </c>
      <c r="O4" s="147"/>
      <c r="P4" s="148"/>
      <c r="Q4" s="148"/>
      <c r="R4" s="149"/>
      <c r="S4" s="150"/>
      <c r="T4" s="151" t="s">
        <v>3</v>
      </c>
      <c r="U4" s="152" t="s">
        <v>23</v>
      </c>
      <c r="V4" s="4"/>
      <c r="W4" s="4"/>
      <c r="X4" s="4"/>
      <c r="Y4" s="4"/>
      <c r="Z4" s="4"/>
      <c r="AA4" s="4"/>
      <c r="AB4" s="4"/>
      <c r="AC4" s="4"/>
    </row>
    <row r="5" spans="1:29" s="2" customFormat="1" ht="12.75" customHeight="1" x14ac:dyDescent="0.25">
      <c r="A5" s="10"/>
      <c r="B5" s="153" t="s">
        <v>24</v>
      </c>
      <c r="C5" s="154"/>
      <c r="D5" s="155"/>
      <c r="E5" s="156" t="s">
        <v>25</v>
      </c>
      <c r="F5" s="157" t="s">
        <v>2</v>
      </c>
      <c r="G5" s="157" t="s">
        <v>26</v>
      </c>
      <c r="H5" s="151" t="s">
        <v>27</v>
      </c>
      <c r="I5" s="152" t="s">
        <v>6</v>
      </c>
      <c r="J5" s="4"/>
      <c r="K5" s="4"/>
      <c r="L5" s="4"/>
      <c r="M5" s="10"/>
      <c r="N5" s="153" t="s">
        <v>24</v>
      </c>
      <c r="O5" s="154"/>
      <c r="P5" s="155"/>
      <c r="Q5" s="156" t="s">
        <v>25</v>
      </c>
      <c r="R5" s="157" t="s">
        <v>2</v>
      </c>
      <c r="S5" s="157" t="s">
        <v>26</v>
      </c>
      <c r="T5" s="151" t="s">
        <v>27</v>
      </c>
      <c r="U5" s="152" t="s">
        <v>6</v>
      </c>
      <c r="V5" s="4"/>
      <c r="W5" s="4"/>
      <c r="X5" s="4"/>
      <c r="Y5" s="4"/>
      <c r="Z5" s="4"/>
      <c r="AA5" s="4"/>
      <c r="AB5" s="4"/>
      <c r="AC5" s="4"/>
    </row>
    <row r="6" spans="1:29" s="2" customFormat="1" ht="12.75" customHeight="1" x14ac:dyDescent="0.25">
      <c r="A6" s="10"/>
      <c r="B6" s="158"/>
      <c r="C6" s="159"/>
      <c r="D6" s="160"/>
      <c r="E6" s="152" t="s">
        <v>28</v>
      </c>
      <c r="F6" s="161" t="s">
        <v>4</v>
      </c>
      <c r="G6" s="161" t="s">
        <v>3</v>
      </c>
      <c r="H6" s="151" t="s">
        <v>28</v>
      </c>
      <c r="I6" s="152" t="s">
        <v>29</v>
      </c>
      <c r="J6" s="4"/>
      <c r="K6" s="4"/>
      <c r="L6" s="4"/>
      <c r="M6" s="10"/>
      <c r="N6" s="158"/>
      <c r="O6" s="159"/>
      <c r="P6" s="160"/>
      <c r="Q6" s="152" t="s">
        <v>28</v>
      </c>
      <c r="R6" s="161" t="s">
        <v>4</v>
      </c>
      <c r="S6" s="161" t="s">
        <v>3</v>
      </c>
      <c r="T6" s="151" t="s">
        <v>28</v>
      </c>
      <c r="U6" s="152" t="s">
        <v>29</v>
      </c>
      <c r="V6" s="4"/>
      <c r="W6" s="4"/>
      <c r="X6" s="4"/>
      <c r="Y6" s="4"/>
      <c r="Z6" s="4"/>
      <c r="AA6" s="4"/>
      <c r="AB6" s="4"/>
      <c r="AC6" s="4"/>
    </row>
    <row r="7" spans="1:29" s="2" customFormat="1" ht="12.75" customHeight="1" x14ac:dyDescent="0.25">
      <c r="A7" s="10"/>
      <c r="B7" s="21" t="s">
        <v>30</v>
      </c>
      <c r="C7" s="22" t="s">
        <v>31</v>
      </c>
      <c r="D7" s="19" t="s">
        <v>3</v>
      </c>
      <c r="E7" s="152" t="s">
        <v>32</v>
      </c>
      <c r="F7" s="161" t="s">
        <v>3</v>
      </c>
      <c r="G7" s="161"/>
      <c r="H7" s="151" t="s">
        <v>32</v>
      </c>
      <c r="I7" s="152" t="s">
        <v>32</v>
      </c>
      <c r="J7" s="4"/>
      <c r="K7" s="4"/>
      <c r="L7" s="4"/>
      <c r="M7" s="10"/>
      <c r="N7" s="21" t="s">
        <v>30</v>
      </c>
      <c r="O7" s="22" t="s">
        <v>31</v>
      </c>
      <c r="P7" s="19" t="s">
        <v>3</v>
      </c>
      <c r="Q7" s="152" t="s">
        <v>32</v>
      </c>
      <c r="R7" s="161" t="s">
        <v>3</v>
      </c>
      <c r="S7" s="161"/>
      <c r="T7" s="151" t="s">
        <v>32</v>
      </c>
      <c r="U7" s="152" t="s">
        <v>32</v>
      </c>
      <c r="V7" s="4"/>
      <c r="W7" s="4"/>
      <c r="X7" s="4"/>
      <c r="Y7" s="4"/>
      <c r="Z7" s="4"/>
      <c r="AA7" s="4"/>
      <c r="AB7" s="4"/>
      <c r="AC7" s="4"/>
    </row>
    <row r="8" spans="1:29" s="2" customFormat="1" ht="12.75" customHeight="1" x14ac:dyDescent="0.25">
      <c r="A8" s="58"/>
      <c r="B8" s="23"/>
      <c r="C8" s="24" t="s">
        <v>33</v>
      </c>
      <c r="D8" s="25"/>
      <c r="E8" s="18"/>
      <c r="F8" s="15"/>
      <c r="G8" s="15"/>
      <c r="H8" s="59"/>
      <c r="I8" s="18"/>
      <c r="J8" s="4"/>
      <c r="K8" s="4"/>
      <c r="L8" s="4"/>
      <c r="M8" s="58"/>
      <c r="N8" s="23"/>
      <c r="O8" s="24" t="s">
        <v>33</v>
      </c>
      <c r="P8" s="25"/>
      <c r="Q8" s="18"/>
      <c r="R8" s="15"/>
      <c r="S8" s="15"/>
      <c r="T8" s="59"/>
      <c r="U8" s="18"/>
      <c r="V8" s="4"/>
      <c r="W8" s="4"/>
      <c r="X8" s="4"/>
      <c r="Y8" s="4"/>
      <c r="Z8" s="4"/>
      <c r="AA8" s="4"/>
      <c r="AB8" s="4"/>
      <c r="AC8" s="4"/>
    </row>
    <row r="9" spans="1:29" s="12" customFormat="1" ht="12.75" customHeight="1" x14ac:dyDescent="0.25">
      <c r="A9" s="9"/>
      <c r="B9" s="60"/>
      <c r="C9" s="61"/>
      <c r="D9" s="62"/>
      <c r="E9" s="63"/>
      <c r="F9" s="64"/>
      <c r="G9" s="64"/>
      <c r="H9" s="63"/>
      <c r="I9" s="67"/>
      <c r="J9" s="1"/>
      <c r="K9" s="1"/>
      <c r="L9" s="1"/>
      <c r="M9" s="9"/>
      <c r="N9" s="60"/>
      <c r="O9" s="61"/>
      <c r="P9" s="62"/>
      <c r="Q9" s="63"/>
      <c r="R9" s="64"/>
      <c r="S9" s="64"/>
      <c r="T9" s="63"/>
      <c r="U9" s="67"/>
      <c r="V9" s="4"/>
      <c r="W9" s="4"/>
      <c r="X9" s="4"/>
      <c r="Y9" s="4"/>
      <c r="Z9" s="4"/>
      <c r="AA9" s="4"/>
      <c r="AB9" s="4"/>
      <c r="AC9" s="4"/>
    </row>
    <row r="10" spans="1:29" s="14" customFormat="1" ht="12.75" customHeight="1" x14ac:dyDescent="0.25">
      <c r="A10" s="89">
        <v>36586</v>
      </c>
      <c r="B10" s="114">
        <v>3852</v>
      </c>
      <c r="C10" s="114">
        <v>769</v>
      </c>
      <c r="D10" s="114">
        <v>4621</v>
      </c>
      <c r="E10" s="114">
        <v>188</v>
      </c>
      <c r="F10" s="114">
        <v>4809</v>
      </c>
      <c r="G10" s="114">
        <v>3070</v>
      </c>
      <c r="H10" s="114">
        <v>7879</v>
      </c>
      <c r="I10" s="120">
        <v>429</v>
      </c>
      <c r="J10" s="69"/>
      <c r="K10" s="69"/>
      <c r="L10" s="69"/>
      <c r="M10" s="89">
        <v>36586</v>
      </c>
      <c r="N10" s="114">
        <f>'Reserve Bank'!B10-'Check RB Past'!B10</f>
        <v>0</v>
      </c>
      <c r="O10" s="114">
        <f>'Reserve Bank'!C10-'Check RB Past'!C10</f>
        <v>0</v>
      </c>
      <c r="P10" s="114">
        <f>'Reserve Bank'!D10-'Check RB Past'!D10</f>
        <v>0</v>
      </c>
      <c r="Q10" s="114">
        <f>'Reserve Bank'!E10-'Check RB Past'!E10</f>
        <v>0</v>
      </c>
      <c r="R10" s="114">
        <f>'Reserve Bank'!F10-'Check RB Past'!F10</f>
        <v>0</v>
      </c>
      <c r="S10" s="114">
        <f>'Reserve Bank'!G10-'Check RB Past'!G10</f>
        <v>0</v>
      </c>
      <c r="T10" s="114">
        <f>'Reserve Bank'!H10-'Check RB Past'!H10</f>
        <v>0</v>
      </c>
      <c r="U10" s="114">
        <f>'Reserve Bank'!I10-'Check RB Past'!I10</f>
        <v>0</v>
      </c>
      <c r="V10" s="4"/>
      <c r="W10" s="4"/>
      <c r="X10" s="4"/>
      <c r="Y10" s="4"/>
      <c r="Z10" s="4"/>
      <c r="AA10" s="4"/>
      <c r="AB10" s="4"/>
      <c r="AC10" s="4"/>
    </row>
    <row r="11" spans="1:29" s="14" customFormat="1" ht="12.75" customHeight="1" x14ac:dyDescent="0.25">
      <c r="A11" s="89">
        <v>36617</v>
      </c>
      <c r="B11" s="114">
        <v>4023</v>
      </c>
      <c r="C11" s="114">
        <v>494</v>
      </c>
      <c r="D11" s="114">
        <v>4517</v>
      </c>
      <c r="E11" s="114">
        <v>281</v>
      </c>
      <c r="F11" s="114">
        <v>4798</v>
      </c>
      <c r="G11" s="114">
        <v>3073</v>
      </c>
      <c r="H11" s="114">
        <v>7871</v>
      </c>
      <c r="I11" s="120">
        <v>258</v>
      </c>
      <c r="J11" s="69"/>
      <c r="K11" s="69"/>
      <c r="L11" s="69"/>
      <c r="M11" s="89">
        <v>36617</v>
      </c>
      <c r="N11" s="114">
        <f>'Reserve Bank'!B11-'Check RB Past'!B11</f>
        <v>0</v>
      </c>
      <c r="O11" s="114">
        <f>'Reserve Bank'!C11-'Check RB Past'!C11</f>
        <v>0</v>
      </c>
      <c r="P11" s="114">
        <f>'Reserve Bank'!D11-'Check RB Past'!D11</f>
        <v>0</v>
      </c>
      <c r="Q11" s="114">
        <f>'Reserve Bank'!E11-'Check RB Past'!E11</f>
        <v>0</v>
      </c>
      <c r="R11" s="114">
        <f>'Reserve Bank'!F11-'Check RB Past'!F11</f>
        <v>0</v>
      </c>
      <c r="S11" s="114">
        <f>'Reserve Bank'!G11-'Check RB Past'!G11</f>
        <v>0</v>
      </c>
      <c r="T11" s="114">
        <f>'Reserve Bank'!H11-'Check RB Past'!H11</f>
        <v>0</v>
      </c>
      <c r="U11" s="114">
        <f>'Reserve Bank'!I11-'Check RB Past'!I11</f>
        <v>0</v>
      </c>
      <c r="V11" s="4"/>
      <c r="W11" s="4"/>
      <c r="X11" s="4"/>
      <c r="Y11" s="4"/>
      <c r="Z11" s="4"/>
      <c r="AA11" s="4"/>
      <c r="AB11" s="4"/>
      <c r="AC11" s="4"/>
    </row>
    <row r="12" spans="1:29" s="14" customFormat="1" ht="12.75" customHeight="1" x14ac:dyDescent="0.2">
      <c r="A12" s="89">
        <v>36647</v>
      </c>
      <c r="B12" s="114">
        <v>4147</v>
      </c>
      <c r="C12" s="114">
        <v>194</v>
      </c>
      <c r="D12" s="114">
        <v>4341</v>
      </c>
      <c r="E12" s="114">
        <v>517</v>
      </c>
      <c r="F12" s="114">
        <v>4858</v>
      </c>
      <c r="G12" s="114">
        <v>2972</v>
      </c>
      <c r="H12" s="114">
        <v>7830</v>
      </c>
      <c r="I12" s="120">
        <v>225</v>
      </c>
      <c r="J12" s="79"/>
      <c r="K12" s="69"/>
      <c r="L12" s="69"/>
      <c r="M12" s="89">
        <v>36647</v>
      </c>
      <c r="N12" s="114">
        <f>'Reserve Bank'!B12-'Check RB Past'!B12</f>
        <v>0</v>
      </c>
      <c r="O12" s="114">
        <f>'Reserve Bank'!C12-'Check RB Past'!C12</f>
        <v>0</v>
      </c>
      <c r="P12" s="114">
        <f>'Reserve Bank'!D12-'Check RB Past'!D12</f>
        <v>0</v>
      </c>
      <c r="Q12" s="114">
        <f>'Reserve Bank'!E12-'Check RB Past'!E12</f>
        <v>0</v>
      </c>
      <c r="R12" s="114">
        <f>'Reserve Bank'!F12-'Check RB Past'!F12</f>
        <v>0</v>
      </c>
      <c r="S12" s="114">
        <f>'Reserve Bank'!G12-'Check RB Past'!G12</f>
        <v>0</v>
      </c>
      <c r="T12" s="114">
        <f>'Reserve Bank'!H12-'Check RB Past'!H12</f>
        <v>0</v>
      </c>
      <c r="U12" s="114">
        <f>'Reserve Bank'!I12-'Check RB Past'!I12</f>
        <v>0</v>
      </c>
      <c r="V12" s="80"/>
      <c r="W12" s="80"/>
      <c r="X12" s="80"/>
      <c r="Y12" s="80"/>
      <c r="Z12" s="80"/>
      <c r="AA12" s="80"/>
      <c r="AB12" s="80"/>
      <c r="AC12" s="80"/>
    </row>
    <row r="13" spans="1:29" s="14" customFormat="1" ht="12.75" customHeight="1" x14ac:dyDescent="0.2">
      <c r="A13" s="89">
        <v>36678</v>
      </c>
      <c r="B13" s="114">
        <v>4149</v>
      </c>
      <c r="C13" s="114">
        <v>76</v>
      </c>
      <c r="D13" s="114">
        <v>4225</v>
      </c>
      <c r="E13" s="114">
        <v>448</v>
      </c>
      <c r="F13" s="114">
        <v>4673</v>
      </c>
      <c r="G13" s="114">
        <v>3100</v>
      </c>
      <c r="H13" s="114">
        <v>7773</v>
      </c>
      <c r="I13" s="120">
        <v>225</v>
      </c>
      <c r="J13" s="79"/>
      <c r="K13" s="69"/>
      <c r="L13" s="69"/>
      <c r="M13" s="89">
        <v>36678</v>
      </c>
      <c r="N13" s="114">
        <f>'Reserve Bank'!B13-'Check RB Past'!B13</f>
        <v>0</v>
      </c>
      <c r="O13" s="114">
        <f>'Reserve Bank'!C13-'Check RB Past'!C13</f>
        <v>0</v>
      </c>
      <c r="P13" s="114">
        <f>'Reserve Bank'!D13-'Check RB Past'!D13</f>
        <v>0</v>
      </c>
      <c r="Q13" s="114">
        <f>'Reserve Bank'!E13-'Check RB Past'!E13</f>
        <v>0</v>
      </c>
      <c r="R13" s="114">
        <f>'Reserve Bank'!F13-'Check RB Past'!F13</f>
        <v>0</v>
      </c>
      <c r="S13" s="114">
        <f>'Reserve Bank'!G13-'Check RB Past'!G13</f>
        <v>0</v>
      </c>
      <c r="T13" s="114">
        <f>'Reserve Bank'!H13-'Check RB Past'!H13</f>
        <v>0</v>
      </c>
      <c r="U13" s="114">
        <f>'Reserve Bank'!I13-'Check RB Past'!I13</f>
        <v>0</v>
      </c>
      <c r="V13" s="80"/>
      <c r="W13" s="80"/>
      <c r="X13" s="80"/>
      <c r="Y13" s="80"/>
      <c r="Z13" s="80"/>
      <c r="AA13" s="80"/>
      <c r="AB13" s="80"/>
      <c r="AC13" s="80"/>
    </row>
    <row r="14" spans="1:29" s="14" customFormat="1" ht="12.75" customHeight="1" x14ac:dyDescent="0.2">
      <c r="A14" s="89">
        <v>36708</v>
      </c>
      <c r="B14" s="114">
        <v>3713</v>
      </c>
      <c r="C14" s="114">
        <v>129</v>
      </c>
      <c r="D14" s="114">
        <v>3842</v>
      </c>
      <c r="E14" s="114">
        <v>704</v>
      </c>
      <c r="F14" s="114">
        <v>4546</v>
      </c>
      <c r="G14" s="114">
        <v>3176</v>
      </c>
      <c r="H14" s="114">
        <v>7722</v>
      </c>
      <c r="I14" s="120">
        <v>187</v>
      </c>
      <c r="J14" s="79"/>
      <c r="K14" s="69"/>
      <c r="L14" s="69"/>
      <c r="M14" s="89">
        <v>36708</v>
      </c>
      <c r="N14" s="114">
        <f>'Reserve Bank'!B14-'Check RB Past'!B14</f>
        <v>0</v>
      </c>
      <c r="O14" s="114">
        <f>'Reserve Bank'!C14-'Check RB Past'!C14</f>
        <v>0</v>
      </c>
      <c r="P14" s="114">
        <f>'Reserve Bank'!D14-'Check RB Past'!D14</f>
        <v>0</v>
      </c>
      <c r="Q14" s="114">
        <f>'Reserve Bank'!E14-'Check RB Past'!E14</f>
        <v>0</v>
      </c>
      <c r="R14" s="114">
        <f>'Reserve Bank'!F14-'Check RB Past'!F14</f>
        <v>0</v>
      </c>
      <c r="S14" s="114">
        <f>'Reserve Bank'!G14-'Check RB Past'!G14</f>
        <v>0</v>
      </c>
      <c r="T14" s="114">
        <f>'Reserve Bank'!H14-'Check RB Past'!H14</f>
        <v>0</v>
      </c>
      <c r="U14" s="114">
        <f>'Reserve Bank'!I14-'Check RB Past'!I14</f>
        <v>0</v>
      </c>
      <c r="V14" s="80"/>
      <c r="W14" s="80"/>
      <c r="X14" s="80"/>
      <c r="Y14" s="80"/>
      <c r="Z14" s="80"/>
      <c r="AA14" s="80"/>
      <c r="AB14" s="80"/>
      <c r="AC14" s="80"/>
    </row>
    <row r="15" spans="1:29" s="14" customFormat="1" ht="12.75" customHeight="1" x14ac:dyDescent="0.2">
      <c r="A15" s="89">
        <v>36739</v>
      </c>
      <c r="B15" s="114">
        <v>4038</v>
      </c>
      <c r="C15" s="114">
        <v>217</v>
      </c>
      <c r="D15" s="114">
        <v>4255</v>
      </c>
      <c r="E15" s="114">
        <v>737</v>
      </c>
      <c r="F15" s="114">
        <v>4992</v>
      </c>
      <c r="G15" s="114">
        <v>3420</v>
      </c>
      <c r="H15" s="114">
        <v>8412</v>
      </c>
      <c r="I15" s="120">
        <v>290</v>
      </c>
      <c r="J15" s="79"/>
      <c r="K15" s="69"/>
      <c r="L15" s="69"/>
      <c r="M15" s="89">
        <v>36739</v>
      </c>
      <c r="N15" s="114">
        <f>'Reserve Bank'!B15-'Check RB Past'!B15</f>
        <v>0</v>
      </c>
      <c r="O15" s="114">
        <f>'Reserve Bank'!C15-'Check RB Past'!C15</f>
        <v>0</v>
      </c>
      <c r="P15" s="114">
        <f>'Reserve Bank'!D15-'Check RB Past'!D15</f>
        <v>0</v>
      </c>
      <c r="Q15" s="114">
        <f>'Reserve Bank'!E15-'Check RB Past'!E15</f>
        <v>0</v>
      </c>
      <c r="R15" s="114">
        <f>'Reserve Bank'!F15-'Check RB Past'!F15</f>
        <v>0</v>
      </c>
      <c r="S15" s="114">
        <f>'Reserve Bank'!G15-'Check RB Past'!G15</f>
        <v>0</v>
      </c>
      <c r="T15" s="114">
        <f>'Reserve Bank'!H15-'Check RB Past'!H15</f>
        <v>0</v>
      </c>
      <c r="U15" s="114">
        <f>'Reserve Bank'!I15-'Check RB Past'!I15</f>
        <v>0</v>
      </c>
      <c r="V15" s="80"/>
      <c r="W15" s="80"/>
      <c r="X15" s="80"/>
      <c r="Y15" s="80"/>
      <c r="Z15" s="80"/>
      <c r="AA15" s="80"/>
      <c r="AB15" s="80"/>
      <c r="AC15" s="80"/>
    </row>
    <row r="16" spans="1:29" s="14" customFormat="1" ht="12.75" customHeight="1" x14ac:dyDescent="0.2">
      <c r="A16" s="89">
        <v>36770</v>
      </c>
      <c r="B16" s="114">
        <v>4211</v>
      </c>
      <c r="C16" s="114">
        <v>356</v>
      </c>
      <c r="D16" s="114">
        <v>4567</v>
      </c>
      <c r="E16" s="114">
        <v>670</v>
      </c>
      <c r="F16" s="114">
        <v>5237</v>
      </c>
      <c r="G16" s="114">
        <v>3476</v>
      </c>
      <c r="H16" s="114">
        <v>8713</v>
      </c>
      <c r="I16" s="120">
        <v>454</v>
      </c>
      <c r="J16" s="79"/>
      <c r="K16" s="69"/>
      <c r="L16" s="69"/>
      <c r="M16" s="89">
        <v>36770</v>
      </c>
      <c r="N16" s="114">
        <f>'Reserve Bank'!B16-'Check RB Past'!B16</f>
        <v>0</v>
      </c>
      <c r="O16" s="114">
        <f>'Reserve Bank'!C16-'Check RB Past'!C16</f>
        <v>0</v>
      </c>
      <c r="P16" s="114">
        <f>'Reserve Bank'!D16-'Check RB Past'!D16</f>
        <v>0</v>
      </c>
      <c r="Q16" s="114">
        <f>'Reserve Bank'!E16-'Check RB Past'!E16</f>
        <v>0</v>
      </c>
      <c r="R16" s="114">
        <f>'Reserve Bank'!F16-'Check RB Past'!F16</f>
        <v>0</v>
      </c>
      <c r="S16" s="114">
        <f>'Reserve Bank'!G16-'Check RB Past'!G16</f>
        <v>0</v>
      </c>
      <c r="T16" s="114">
        <f>'Reserve Bank'!H16-'Check RB Past'!H16</f>
        <v>0</v>
      </c>
      <c r="U16" s="114">
        <f>'Reserve Bank'!I16-'Check RB Past'!I16</f>
        <v>0</v>
      </c>
      <c r="V16" s="80"/>
      <c r="W16" s="80"/>
      <c r="X16" s="80"/>
      <c r="Y16" s="80"/>
      <c r="Z16" s="80"/>
      <c r="AA16" s="80"/>
      <c r="AB16" s="80"/>
      <c r="AC16" s="80"/>
    </row>
    <row r="17" spans="1:29" s="14" customFormat="1" ht="12.75" customHeight="1" x14ac:dyDescent="0.2">
      <c r="A17" s="89">
        <v>36800</v>
      </c>
      <c r="B17" s="114">
        <v>4088</v>
      </c>
      <c r="C17" s="114">
        <v>381</v>
      </c>
      <c r="D17" s="114">
        <v>4469</v>
      </c>
      <c r="E17" s="114">
        <v>854</v>
      </c>
      <c r="F17" s="114">
        <v>5323</v>
      </c>
      <c r="G17" s="114">
        <v>4067</v>
      </c>
      <c r="H17" s="114">
        <v>9390</v>
      </c>
      <c r="I17" s="120">
        <v>269</v>
      </c>
      <c r="J17" s="79"/>
      <c r="K17" s="69"/>
      <c r="L17" s="69"/>
      <c r="M17" s="89">
        <v>36800</v>
      </c>
      <c r="N17" s="114">
        <f>'Reserve Bank'!B17-'Check RB Past'!B17</f>
        <v>0</v>
      </c>
      <c r="O17" s="114">
        <f>'Reserve Bank'!C17-'Check RB Past'!C17</f>
        <v>0</v>
      </c>
      <c r="P17" s="114">
        <f>'Reserve Bank'!D17-'Check RB Past'!D17</f>
        <v>0</v>
      </c>
      <c r="Q17" s="114">
        <f>'Reserve Bank'!E17-'Check RB Past'!E17</f>
        <v>0</v>
      </c>
      <c r="R17" s="114">
        <f>'Reserve Bank'!F17-'Check RB Past'!F17</f>
        <v>0</v>
      </c>
      <c r="S17" s="114">
        <f>'Reserve Bank'!G17-'Check RB Past'!G17</f>
        <v>0</v>
      </c>
      <c r="T17" s="114">
        <f>'Reserve Bank'!H17-'Check RB Past'!H17</f>
        <v>0</v>
      </c>
      <c r="U17" s="114">
        <f>'Reserve Bank'!I17-'Check RB Past'!I17</f>
        <v>0</v>
      </c>
      <c r="V17" s="80"/>
      <c r="W17" s="80"/>
      <c r="X17" s="80"/>
      <c r="Y17" s="80"/>
      <c r="Z17" s="80"/>
      <c r="AA17" s="80"/>
      <c r="AB17" s="80"/>
      <c r="AC17" s="80"/>
    </row>
    <row r="18" spans="1:29" s="14" customFormat="1" ht="12.75" customHeight="1" x14ac:dyDescent="0.2">
      <c r="A18" s="89">
        <v>36831</v>
      </c>
      <c r="B18" s="114">
        <v>4055</v>
      </c>
      <c r="C18" s="114">
        <v>192</v>
      </c>
      <c r="D18" s="114">
        <v>4247</v>
      </c>
      <c r="E18" s="114">
        <v>1028</v>
      </c>
      <c r="F18" s="114">
        <v>5275</v>
      </c>
      <c r="G18" s="114">
        <v>3900</v>
      </c>
      <c r="H18" s="114">
        <v>9175</v>
      </c>
      <c r="I18" s="120">
        <v>313</v>
      </c>
      <c r="J18" s="79"/>
      <c r="K18" s="69"/>
      <c r="L18" s="69"/>
      <c r="M18" s="89">
        <v>36831</v>
      </c>
      <c r="N18" s="114">
        <f>'Reserve Bank'!B18-'Check RB Past'!B18</f>
        <v>0</v>
      </c>
      <c r="O18" s="114">
        <f>'Reserve Bank'!C18-'Check RB Past'!C18</f>
        <v>0</v>
      </c>
      <c r="P18" s="114">
        <f>'Reserve Bank'!D18-'Check RB Past'!D18</f>
        <v>0</v>
      </c>
      <c r="Q18" s="114">
        <f>'Reserve Bank'!E18-'Check RB Past'!E18</f>
        <v>0</v>
      </c>
      <c r="R18" s="114">
        <f>'Reserve Bank'!F18-'Check RB Past'!F18</f>
        <v>0</v>
      </c>
      <c r="S18" s="114">
        <f>'Reserve Bank'!G18-'Check RB Past'!G18</f>
        <v>0</v>
      </c>
      <c r="T18" s="114">
        <f>'Reserve Bank'!H18-'Check RB Past'!H18</f>
        <v>0</v>
      </c>
      <c r="U18" s="114">
        <f>'Reserve Bank'!I18-'Check RB Past'!I18</f>
        <v>0</v>
      </c>
      <c r="V18" s="80"/>
      <c r="W18" s="80"/>
      <c r="X18" s="80"/>
      <c r="Y18" s="80"/>
      <c r="Z18" s="80"/>
      <c r="AA18" s="80"/>
      <c r="AB18" s="80"/>
      <c r="AC18" s="80"/>
    </row>
    <row r="19" spans="1:29" s="14" customFormat="1" ht="12.75" customHeight="1" x14ac:dyDescent="0.2">
      <c r="A19" s="89">
        <v>36861</v>
      </c>
      <c r="B19" s="114">
        <v>3092</v>
      </c>
      <c r="C19" s="114">
        <v>748</v>
      </c>
      <c r="D19" s="114">
        <v>3840</v>
      </c>
      <c r="E19" s="114">
        <v>1448</v>
      </c>
      <c r="F19" s="114">
        <v>5288</v>
      </c>
      <c r="G19" s="114">
        <v>3695</v>
      </c>
      <c r="H19" s="114">
        <v>8983</v>
      </c>
      <c r="I19" s="120">
        <v>278</v>
      </c>
      <c r="J19" s="79"/>
      <c r="K19" s="69"/>
      <c r="L19" s="69"/>
      <c r="M19" s="89">
        <v>36861</v>
      </c>
      <c r="N19" s="114">
        <f>'Reserve Bank'!B19-'Check RB Past'!B19</f>
        <v>0</v>
      </c>
      <c r="O19" s="114">
        <f>'Reserve Bank'!C19-'Check RB Past'!C19</f>
        <v>0</v>
      </c>
      <c r="P19" s="114">
        <f>'Reserve Bank'!D19-'Check RB Past'!D19</f>
        <v>0</v>
      </c>
      <c r="Q19" s="114">
        <f>'Reserve Bank'!E19-'Check RB Past'!E19</f>
        <v>0</v>
      </c>
      <c r="R19" s="114">
        <f>'Reserve Bank'!F19-'Check RB Past'!F19</f>
        <v>0</v>
      </c>
      <c r="S19" s="114">
        <f>'Reserve Bank'!G19-'Check RB Past'!G19</f>
        <v>0</v>
      </c>
      <c r="T19" s="114">
        <f>'Reserve Bank'!H19-'Check RB Past'!H19</f>
        <v>0</v>
      </c>
      <c r="U19" s="114">
        <f>'Reserve Bank'!I19-'Check RB Past'!I19</f>
        <v>0</v>
      </c>
      <c r="V19" s="80"/>
      <c r="W19" s="80"/>
      <c r="X19" s="80"/>
      <c r="Y19" s="80"/>
      <c r="Z19" s="80"/>
      <c r="AA19" s="80"/>
      <c r="AB19" s="80"/>
      <c r="AC19" s="80"/>
    </row>
    <row r="20" spans="1:29" s="14" customFormat="1" ht="12.75" customHeight="1" x14ac:dyDescent="0.2">
      <c r="A20" s="89">
        <v>36892</v>
      </c>
      <c r="B20" s="114">
        <v>2750</v>
      </c>
      <c r="C20" s="114">
        <v>634</v>
      </c>
      <c r="D20" s="114">
        <v>3384</v>
      </c>
      <c r="E20" s="114">
        <v>1753</v>
      </c>
      <c r="F20" s="114">
        <v>5137</v>
      </c>
      <c r="G20" s="114">
        <v>3453</v>
      </c>
      <c r="H20" s="114">
        <v>8590</v>
      </c>
      <c r="I20" s="120">
        <v>132</v>
      </c>
      <c r="J20" s="79"/>
      <c r="K20" s="69"/>
      <c r="L20" s="69"/>
      <c r="M20" s="89">
        <v>36892</v>
      </c>
      <c r="N20" s="114">
        <f>'Reserve Bank'!B20-'Check RB Past'!B20</f>
        <v>0</v>
      </c>
      <c r="O20" s="114">
        <f>'Reserve Bank'!C20-'Check RB Past'!C20</f>
        <v>0</v>
      </c>
      <c r="P20" s="114">
        <f>'Reserve Bank'!D20-'Check RB Past'!D20</f>
        <v>0</v>
      </c>
      <c r="Q20" s="114">
        <f>'Reserve Bank'!E20-'Check RB Past'!E20</f>
        <v>0</v>
      </c>
      <c r="R20" s="114">
        <f>'Reserve Bank'!F20-'Check RB Past'!F20</f>
        <v>0</v>
      </c>
      <c r="S20" s="114">
        <f>'Reserve Bank'!G20-'Check RB Past'!G20</f>
        <v>0</v>
      </c>
      <c r="T20" s="114">
        <f>'Reserve Bank'!H20-'Check RB Past'!H20</f>
        <v>0</v>
      </c>
      <c r="U20" s="114">
        <f>'Reserve Bank'!I20-'Check RB Past'!I20</f>
        <v>0</v>
      </c>
      <c r="V20" s="80"/>
      <c r="W20" s="80"/>
      <c r="X20" s="80"/>
      <c r="Y20" s="80"/>
      <c r="Z20" s="80"/>
      <c r="AA20" s="80"/>
      <c r="AB20" s="80"/>
      <c r="AC20" s="80"/>
    </row>
    <row r="21" spans="1:29" s="14" customFormat="1" ht="12.75" customHeight="1" x14ac:dyDescent="0.2">
      <c r="A21" s="89">
        <v>36923</v>
      </c>
      <c r="B21" s="114">
        <v>2792</v>
      </c>
      <c r="C21" s="114">
        <v>157</v>
      </c>
      <c r="D21" s="114">
        <v>2949</v>
      </c>
      <c r="E21" s="114">
        <v>1728</v>
      </c>
      <c r="F21" s="114">
        <v>4677</v>
      </c>
      <c r="G21" s="114">
        <v>3150</v>
      </c>
      <c r="H21" s="114">
        <v>7827</v>
      </c>
      <c r="I21" s="120">
        <v>376</v>
      </c>
      <c r="J21" s="79"/>
      <c r="K21" s="69"/>
      <c r="L21" s="69"/>
      <c r="M21" s="89">
        <v>36923</v>
      </c>
      <c r="N21" s="114">
        <f>'Reserve Bank'!B21-'Check RB Past'!B21</f>
        <v>0</v>
      </c>
      <c r="O21" s="114">
        <f>'Reserve Bank'!C21-'Check RB Past'!C21</f>
        <v>0</v>
      </c>
      <c r="P21" s="114">
        <f>'Reserve Bank'!D21-'Check RB Past'!D21</f>
        <v>0</v>
      </c>
      <c r="Q21" s="114">
        <f>'Reserve Bank'!E21-'Check RB Past'!E21</f>
        <v>0</v>
      </c>
      <c r="R21" s="114">
        <f>'Reserve Bank'!F21-'Check RB Past'!F21</f>
        <v>0</v>
      </c>
      <c r="S21" s="114">
        <f>'Reserve Bank'!G21-'Check RB Past'!G21</f>
        <v>0</v>
      </c>
      <c r="T21" s="114">
        <f>'Reserve Bank'!H21-'Check RB Past'!H21</f>
        <v>0</v>
      </c>
      <c r="U21" s="114">
        <f>'Reserve Bank'!I21-'Check RB Past'!I21</f>
        <v>0</v>
      </c>
      <c r="V21" s="80"/>
      <c r="W21" s="80"/>
      <c r="X21" s="80"/>
      <c r="Y21" s="80"/>
      <c r="Z21" s="80"/>
      <c r="AA21" s="80"/>
      <c r="AB21" s="80"/>
      <c r="AC21" s="80"/>
    </row>
    <row r="22" spans="1:29" s="14" customFormat="1" ht="12.75" customHeight="1" x14ac:dyDescent="0.2">
      <c r="A22" s="89">
        <v>36951</v>
      </c>
      <c r="B22" s="114">
        <v>3585</v>
      </c>
      <c r="C22" s="114">
        <v>91</v>
      </c>
      <c r="D22" s="114">
        <v>3676</v>
      </c>
      <c r="E22" s="114">
        <v>1229</v>
      </c>
      <c r="F22" s="114">
        <v>4905</v>
      </c>
      <c r="G22" s="114">
        <v>3662</v>
      </c>
      <c r="H22" s="114">
        <v>8567</v>
      </c>
      <c r="I22" s="120">
        <v>392</v>
      </c>
      <c r="J22" s="79"/>
      <c r="K22" s="69"/>
      <c r="L22" s="69"/>
      <c r="M22" s="89">
        <v>36951</v>
      </c>
      <c r="N22" s="114">
        <f>'Reserve Bank'!B22-'Check RB Past'!B22</f>
        <v>0</v>
      </c>
      <c r="O22" s="114">
        <f>'Reserve Bank'!C22-'Check RB Past'!C22</f>
        <v>0</v>
      </c>
      <c r="P22" s="114">
        <f>'Reserve Bank'!D22-'Check RB Past'!D22</f>
        <v>0</v>
      </c>
      <c r="Q22" s="114">
        <f>'Reserve Bank'!E22-'Check RB Past'!E22</f>
        <v>0</v>
      </c>
      <c r="R22" s="114">
        <f>'Reserve Bank'!F22-'Check RB Past'!F22</f>
        <v>0</v>
      </c>
      <c r="S22" s="114">
        <f>'Reserve Bank'!G22-'Check RB Past'!G22</f>
        <v>0</v>
      </c>
      <c r="T22" s="114">
        <f>'Reserve Bank'!H22-'Check RB Past'!H22</f>
        <v>0</v>
      </c>
      <c r="U22" s="114">
        <f>'Reserve Bank'!I22-'Check RB Past'!I22</f>
        <v>0</v>
      </c>
      <c r="V22" s="80"/>
      <c r="W22" s="80"/>
      <c r="X22" s="80"/>
      <c r="Y22" s="80"/>
      <c r="Z22" s="80"/>
      <c r="AA22" s="80"/>
      <c r="AB22" s="80"/>
      <c r="AC22" s="80"/>
    </row>
    <row r="23" spans="1:29" s="14" customFormat="1" ht="12.75" customHeight="1" x14ac:dyDescent="0.2">
      <c r="A23" s="89">
        <v>36982</v>
      </c>
      <c r="B23" s="114">
        <v>3441</v>
      </c>
      <c r="C23" s="114">
        <v>193</v>
      </c>
      <c r="D23" s="114">
        <v>3634</v>
      </c>
      <c r="E23" s="114">
        <v>1146</v>
      </c>
      <c r="F23" s="114">
        <v>4780</v>
      </c>
      <c r="G23" s="114">
        <v>3853</v>
      </c>
      <c r="H23" s="114">
        <v>8633</v>
      </c>
      <c r="I23" s="120">
        <v>499</v>
      </c>
      <c r="J23" s="79"/>
      <c r="K23" s="69"/>
      <c r="L23" s="69"/>
      <c r="M23" s="89">
        <v>36982</v>
      </c>
      <c r="N23" s="114">
        <f>'Reserve Bank'!B23-'Check RB Past'!B23</f>
        <v>0</v>
      </c>
      <c r="O23" s="114">
        <f>'Reserve Bank'!C23-'Check RB Past'!C23</f>
        <v>0</v>
      </c>
      <c r="P23" s="114">
        <f>'Reserve Bank'!D23-'Check RB Past'!D23</f>
        <v>0</v>
      </c>
      <c r="Q23" s="114">
        <f>'Reserve Bank'!E23-'Check RB Past'!E23</f>
        <v>0</v>
      </c>
      <c r="R23" s="114">
        <f>'Reserve Bank'!F23-'Check RB Past'!F23</f>
        <v>0</v>
      </c>
      <c r="S23" s="114">
        <f>'Reserve Bank'!G23-'Check RB Past'!G23</f>
        <v>0</v>
      </c>
      <c r="T23" s="114">
        <f>'Reserve Bank'!H23-'Check RB Past'!H23</f>
        <v>0</v>
      </c>
      <c r="U23" s="114">
        <f>'Reserve Bank'!I23-'Check RB Past'!I23</f>
        <v>0</v>
      </c>
      <c r="V23" s="80"/>
      <c r="W23" s="80"/>
      <c r="X23" s="80"/>
      <c r="Y23" s="80"/>
      <c r="Z23" s="80"/>
      <c r="AA23" s="80"/>
      <c r="AB23" s="80"/>
      <c r="AC23" s="80"/>
    </row>
    <row r="24" spans="1:29" s="14" customFormat="1" ht="12.75" customHeight="1" x14ac:dyDescent="0.2">
      <c r="A24" s="89">
        <v>37012</v>
      </c>
      <c r="B24" s="114">
        <v>3344</v>
      </c>
      <c r="C24" s="114">
        <v>298</v>
      </c>
      <c r="D24" s="114">
        <v>3642</v>
      </c>
      <c r="E24" s="114">
        <v>1357</v>
      </c>
      <c r="F24" s="114">
        <v>4999</v>
      </c>
      <c r="G24" s="114">
        <v>3655</v>
      </c>
      <c r="H24" s="114">
        <v>8654</v>
      </c>
      <c r="I24" s="120">
        <v>782</v>
      </c>
      <c r="J24" s="79"/>
      <c r="K24" s="69"/>
      <c r="L24" s="69"/>
      <c r="M24" s="89">
        <v>37012</v>
      </c>
      <c r="N24" s="114">
        <f>'Reserve Bank'!B24-'Check RB Past'!B24</f>
        <v>0</v>
      </c>
      <c r="O24" s="114">
        <f>'Reserve Bank'!C24-'Check RB Past'!C24</f>
        <v>0</v>
      </c>
      <c r="P24" s="114">
        <f>'Reserve Bank'!D24-'Check RB Past'!D24</f>
        <v>0</v>
      </c>
      <c r="Q24" s="114">
        <f>'Reserve Bank'!E24-'Check RB Past'!E24</f>
        <v>0</v>
      </c>
      <c r="R24" s="114">
        <f>'Reserve Bank'!F24-'Check RB Past'!F24</f>
        <v>0</v>
      </c>
      <c r="S24" s="114">
        <f>'Reserve Bank'!G24-'Check RB Past'!G24</f>
        <v>0</v>
      </c>
      <c r="T24" s="114">
        <f>'Reserve Bank'!H24-'Check RB Past'!H24</f>
        <v>0</v>
      </c>
      <c r="U24" s="114">
        <f>'Reserve Bank'!I24-'Check RB Past'!I24</f>
        <v>0</v>
      </c>
      <c r="V24" s="80"/>
      <c r="W24" s="80"/>
      <c r="X24" s="80"/>
      <c r="Y24" s="80"/>
      <c r="Z24" s="80"/>
      <c r="AA24" s="80"/>
      <c r="AB24" s="80"/>
      <c r="AC24" s="80"/>
    </row>
    <row r="25" spans="1:29" s="14" customFormat="1" ht="12.75" customHeight="1" x14ac:dyDescent="0.2">
      <c r="A25" s="89">
        <v>37043</v>
      </c>
      <c r="B25" s="114">
        <v>2993</v>
      </c>
      <c r="C25" s="114">
        <v>375</v>
      </c>
      <c r="D25" s="114">
        <v>3368</v>
      </c>
      <c r="E25" s="114">
        <v>1537</v>
      </c>
      <c r="F25" s="114">
        <v>4905</v>
      </c>
      <c r="G25" s="114">
        <v>3596</v>
      </c>
      <c r="H25" s="114">
        <v>8501</v>
      </c>
      <c r="I25" s="120">
        <v>693</v>
      </c>
      <c r="J25" s="79"/>
      <c r="K25" s="69"/>
      <c r="L25" s="69"/>
      <c r="M25" s="89">
        <v>37043</v>
      </c>
      <c r="N25" s="114">
        <f>'Reserve Bank'!B25-'Check RB Past'!B25</f>
        <v>0</v>
      </c>
      <c r="O25" s="114">
        <f>'Reserve Bank'!C25-'Check RB Past'!C25</f>
        <v>0</v>
      </c>
      <c r="P25" s="114">
        <f>'Reserve Bank'!D25-'Check RB Past'!D25</f>
        <v>0</v>
      </c>
      <c r="Q25" s="114">
        <f>'Reserve Bank'!E25-'Check RB Past'!E25</f>
        <v>0</v>
      </c>
      <c r="R25" s="114">
        <f>'Reserve Bank'!F25-'Check RB Past'!F25</f>
        <v>0</v>
      </c>
      <c r="S25" s="114">
        <f>'Reserve Bank'!G25-'Check RB Past'!G25</f>
        <v>0</v>
      </c>
      <c r="T25" s="114">
        <f>'Reserve Bank'!H25-'Check RB Past'!H25</f>
        <v>0</v>
      </c>
      <c r="U25" s="114">
        <f>'Reserve Bank'!I25-'Check RB Past'!I25</f>
        <v>0</v>
      </c>
      <c r="V25" s="80"/>
      <c r="W25" s="80"/>
      <c r="X25" s="80"/>
      <c r="Y25" s="80"/>
      <c r="Z25" s="80"/>
      <c r="AA25" s="80"/>
      <c r="AB25" s="80"/>
      <c r="AC25" s="80"/>
    </row>
    <row r="26" spans="1:29" s="14" customFormat="1" ht="12.75" customHeight="1" x14ac:dyDescent="0.2">
      <c r="A26" s="89">
        <v>37073</v>
      </c>
      <c r="B26" s="114">
        <v>3199</v>
      </c>
      <c r="C26" s="114">
        <v>323</v>
      </c>
      <c r="D26" s="114">
        <v>3522</v>
      </c>
      <c r="E26" s="114">
        <v>1356</v>
      </c>
      <c r="F26" s="114">
        <v>4878</v>
      </c>
      <c r="G26" s="114">
        <v>3706</v>
      </c>
      <c r="H26" s="114">
        <v>8584</v>
      </c>
      <c r="I26" s="120">
        <v>718</v>
      </c>
      <c r="J26" s="79"/>
      <c r="K26" s="69"/>
      <c r="L26" s="69"/>
      <c r="M26" s="89">
        <v>37073</v>
      </c>
      <c r="N26" s="114">
        <f>'Reserve Bank'!B26-'Check RB Past'!B26</f>
        <v>0</v>
      </c>
      <c r="O26" s="114">
        <f>'Reserve Bank'!C26-'Check RB Past'!C26</f>
        <v>0</v>
      </c>
      <c r="P26" s="114">
        <f>'Reserve Bank'!D26-'Check RB Past'!D26</f>
        <v>0</v>
      </c>
      <c r="Q26" s="114">
        <f>'Reserve Bank'!E26-'Check RB Past'!E26</f>
        <v>0</v>
      </c>
      <c r="R26" s="114">
        <f>'Reserve Bank'!F26-'Check RB Past'!F26</f>
        <v>0</v>
      </c>
      <c r="S26" s="114">
        <f>'Reserve Bank'!G26-'Check RB Past'!G26</f>
        <v>0</v>
      </c>
      <c r="T26" s="114">
        <f>'Reserve Bank'!H26-'Check RB Past'!H26</f>
        <v>0</v>
      </c>
      <c r="U26" s="114">
        <f>'Reserve Bank'!I26-'Check RB Past'!I26</f>
        <v>0</v>
      </c>
      <c r="V26" s="80"/>
      <c r="W26" s="80"/>
      <c r="X26" s="80"/>
      <c r="Y26" s="80"/>
      <c r="Z26" s="80"/>
      <c r="AA26" s="80"/>
      <c r="AB26" s="80"/>
      <c r="AC26" s="80"/>
    </row>
    <row r="27" spans="1:29" s="14" customFormat="1" ht="12.75" customHeight="1" x14ac:dyDescent="0.2">
      <c r="A27" s="89">
        <v>37104</v>
      </c>
      <c r="B27" s="114">
        <v>3310</v>
      </c>
      <c r="C27" s="114">
        <v>138</v>
      </c>
      <c r="D27" s="114">
        <v>3448</v>
      </c>
      <c r="E27" s="114">
        <v>1179</v>
      </c>
      <c r="F27" s="114">
        <v>4627</v>
      </c>
      <c r="G27" s="114">
        <v>3363</v>
      </c>
      <c r="H27" s="114">
        <v>7990</v>
      </c>
      <c r="I27" s="120">
        <v>718</v>
      </c>
      <c r="J27" s="79"/>
      <c r="K27" s="69"/>
      <c r="L27" s="69"/>
      <c r="M27" s="89">
        <v>37104</v>
      </c>
      <c r="N27" s="114">
        <f>'Reserve Bank'!B27-'Check RB Past'!B27</f>
        <v>0</v>
      </c>
      <c r="O27" s="114">
        <f>'Reserve Bank'!C27-'Check RB Past'!C27</f>
        <v>0</v>
      </c>
      <c r="P27" s="114">
        <f>'Reserve Bank'!D27-'Check RB Past'!D27</f>
        <v>0</v>
      </c>
      <c r="Q27" s="114">
        <f>'Reserve Bank'!E27-'Check RB Past'!E27</f>
        <v>0</v>
      </c>
      <c r="R27" s="114">
        <f>'Reserve Bank'!F27-'Check RB Past'!F27</f>
        <v>0</v>
      </c>
      <c r="S27" s="114">
        <f>'Reserve Bank'!G27-'Check RB Past'!G27</f>
        <v>0</v>
      </c>
      <c r="T27" s="114">
        <f>'Reserve Bank'!H27-'Check RB Past'!H27</f>
        <v>0</v>
      </c>
      <c r="U27" s="114">
        <f>'Reserve Bank'!I27-'Check RB Past'!I27</f>
        <v>0</v>
      </c>
      <c r="V27" s="80"/>
      <c r="W27" s="80"/>
      <c r="X27" s="80"/>
      <c r="Y27" s="80"/>
      <c r="Z27" s="80"/>
      <c r="AA27" s="80"/>
      <c r="AB27" s="80"/>
      <c r="AC27" s="80"/>
    </row>
    <row r="28" spans="1:29" s="14" customFormat="1" ht="12.75" customHeight="1" x14ac:dyDescent="0.2">
      <c r="A28" s="89">
        <v>37135</v>
      </c>
      <c r="B28" s="114">
        <v>3185</v>
      </c>
      <c r="C28" s="114">
        <v>387</v>
      </c>
      <c r="D28" s="114">
        <v>3572</v>
      </c>
      <c r="E28" s="114">
        <v>1480</v>
      </c>
      <c r="F28" s="114">
        <v>5052</v>
      </c>
      <c r="G28" s="114">
        <v>3881</v>
      </c>
      <c r="H28" s="114">
        <v>8933</v>
      </c>
      <c r="I28" s="120">
        <v>772</v>
      </c>
      <c r="J28" s="79"/>
      <c r="K28" s="69"/>
      <c r="L28" s="69"/>
      <c r="M28" s="89">
        <v>37135</v>
      </c>
      <c r="N28" s="114">
        <f>'Reserve Bank'!B28-'Check RB Past'!B28</f>
        <v>0</v>
      </c>
      <c r="O28" s="114">
        <f>'Reserve Bank'!C28-'Check RB Past'!C28</f>
        <v>0</v>
      </c>
      <c r="P28" s="114">
        <f>'Reserve Bank'!D28-'Check RB Past'!D28</f>
        <v>0</v>
      </c>
      <c r="Q28" s="114">
        <f>'Reserve Bank'!E28-'Check RB Past'!E28</f>
        <v>0</v>
      </c>
      <c r="R28" s="114">
        <f>'Reserve Bank'!F28-'Check RB Past'!F28</f>
        <v>0</v>
      </c>
      <c r="S28" s="114">
        <f>'Reserve Bank'!G28-'Check RB Past'!G28</f>
        <v>0</v>
      </c>
      <c r="T28" s="114">
        <f>'Reserve Bank'!H28-'Check RB Past'!H28</f>
        <v>0</v>
      </c>
      <c r="U28" s="114">
        <f>'Reserve Bank'!I28-'Check RB Past'!I28</f>
        <v>0</v>
      </c>
      <c r="V28" s="80"/>
      <c r="W28" s="80"/>
      <c r="X28" s="80"/>
      <c r="Y28" s="80"/>
      <c r="Z28" s="80"/>
      <c r="AA28" s="80"/>
      <c r="AB28" s="80"/>
      <c r="AC28" s="80"/>
    </row>
    <row r="29" spans="1:29" s="14" customFormat="1" ht="12.75" customHeight="1" x14ac:dyDescent="0.2">
      <c r="A29" s="89">
        <v>37165</v>
      </c>
      <c r="B29" s="114">
        <v>3042</v>
      </c>
      <c r="C29" s="114">
        <v>509</v>
      </c>
      <c r="D29" s="114">
        <v>3551</v>
      </c>
      <c r="E29" s="114">
        <v>1523</v>
      </c>
      <c r="F29" s="114">
        <v>5074</v>
      </c>
      <c r="G29" s="114">
        <v>3749</v>
      </c>
      <c r="H29" s="114">
        <v>8823</v>
      </c>
      <c r="I29" s="120">
        <v>752</v>
      </c>
      <c r="J29" s="79"/>
      <c r="K29" s="69"/>
      <c r="L29" s="69"/>
      <c r="M29" s="89">
        <v>37165</v>
      </c>
      <c r="N29" s="114">
        <f>'Reserve Bank'!B29-'Check RB Past'!B29</f>
        <v>0</v>
      </c>
      <c r="O29" s="114">
        <f>'Reserve Bank'!C29-'Check RB Past'!C29</f>
        <v>0</v>
      </c>
      <c r="P29" s="114">
        <f>'Reserve Bank'!D29-'Check RB Past'!D29</f>
        <v>0</v>
      </c>
      <c r="Q29" s="114">
        <f>'Reserve Bank'!E29-'Check RB Past'!E29</f>
        <v>0</v>
      </c>
      <c r="R29" s="114">
        <f>'Reserve Bank'!F29-'Check RB Past'!F29</f>
        <v>0</v>
      </c>
      <c r="S29" s="114">
        <f>'Reserve Bank'!G29-'Check RB Past'!G29</f>
        <v>0</v>
      </c>
      <c r="T29" s="114">
        <f>'Reserve Bank'!H29-'Check RB Past'!H29</f>
        <v>0</v>
      </c>
      <c r="U29" s="114">
        <f>'Reserve Bank'!I29-'Check RB Past'!I29</f>
        <v>0</v>
      </c>
      <c r="V29" s="80"/>
      <c r="W29" s="80"/>
      <c r="X29" s="80"/>
      <c r="Y29" s="80"/>
      <c r="Z29" s="80"/>
      <c r="AA29" s="80"/>
      <c r="AB29" s="80"/>
      <c r="AC29" s="80"/>
    </row>
    <row r="30" spans="1:29" s="14" customFormat="1" ht="12" customHeight="1" x14ac:dyDescent="0.2">
      <c r="A30" s="89">
        <v>37196</v>
      </c>
      <c r="B30" s="114">
        <v>3406</v>
      </c>
      <c r="C30" s="114">
        <v>323</v>
      </c>
      <c r="D30" s="114">
        <v>3729</v>
      </c>
      <c r="E30" s="114">
        <v>1120</v>
      </c>
      <c r="F30" s="114">
        <v>4849</v>
      </c>
      <c r="G30" s="114">
        <v>3487</v>
      </c>
      <c r="H30" s="114">
        <v>8336</v>
      </c>
      <c r="I30" s="120">
        <v>692</v>
      </c>
      <c r="J30" s="79"/>
      <c r="K30" s="69"/>
      <c r="L30" s="69"/>
      <c r="M30" s="89">
        <v>37196</v>
      </c>
      <c r="N30" s="114">
        <f>'Reserve Bank'!B30-'Check RB Past'!B30</f>
        <v>0</v>
      </c>
      <c r="O30" s="114">
        <f>'Reserve Bank'!C30-'Check RB Past'!C30</f>
        <v>0</v>
      </c>
      <c r="P30" s="114">
        <f>'Reserve Bank'!D30-'Check RB Past'!D30</f>
        <v>0</v>
      </c>
      <c r="Q30" s="114">
        <f>'Reserve Bank'!E30-'Check RB Past'!E30</f>
        <v>0</v>
      </c>
      <c r="R30" s="114">
        <f>'Reserve Bank'!F30-'Check RB Past'!F30</f>
        <v>0</v>
      </c>
      <c r="S30" s="114">
        <f>'Reserve Bank'!G30-'Check RB Past'!G30</f>
        <v>0</v>
      </c>
      <c r="T30" s="114">
        <f>'Reserve Bank'!H30-'Check RB Past'!H30</f>
        <v>0</v>
      </c>
      <c r="U30" s="114">
        <f>'Reserve Bank'!I30-'Check RB Past'!I30</f>
        <v>0</v>
      </c>
      <c r="V30" s="80"/>
      <c r="W30" s="80"/>
      <c r="X30" s="80"/>
      <c r="Y30" s="80"/>
      <c r="Z30" s="80"/>
      <c r="AA30" s="80"/>
      <c r="AB30" s="80"/>
      <c r="AC30" s="80"/>
    </row>
    <row r="31" spans="1:29" s="14" customFormat="1" ht="12.75" customHeight="1" x14ac:dyDescent="0.2">
      <c r="A31" s="89">
        <v>37226</v>
      </c>
      <c r="B31" s="114">
        <v>2872</v>
      </c>
      <c r="C31" s="114">
        <v>793</v>
      </c>
      <c r="D31" s="114">
        <v>3665</v>
      </c>
      <c r="E31" s="114">
        <v>1335</v>
      </c>
      <c r="F31" s="114">
        <v>5000</v>
      </c>
      <c r="G31" s="114">
        <v>3582</v>
      </c>
      <c r="H31" s="114">
        <v>8582</v>
      </c>
      <c r="I31" s="120">
        <v>673</v>
      </c>
      <c r="J31" s="79"/>
      <c r="K31" s="69"/>
      <c r="L31" s="69"/>
      <c r="M31" s="89">
        <v>37226</v>
      </c>
      <c r="N31" s="114">
        <f>'Reserve Bank'!B31-'Check RB Past'!B31</f>
        <v>0</v>
      </c>
      <c r="O31" s="114">
        <f>'Reserve Bank'!C31-'Check RB Past'!C31</f>
        <v>0</v>
      </c>
      <c r="P31" s="114">
        <f>'Reserve Bank'!D31-'Check RB Past'!D31</f>
        <v>0</v>
      </c>
      <c r="Q31" s="114">
        <f>'Reserve Bank'!E31-'Check RB Past'!E31</f>
        <v>0</v>
      </c>
      <c r="R31" s="114">
        <f>'Reserve Bank'!F31-'Check RB Past'!F31</f>
        <v>0</v>
      </c>
      <c r="S31" s="114">
        <f>'Reserve Bank'!G31-'Check RB Past'!G31</f>
        <v>0</v>
      </c>
      <c r="T31" s="114">
        <f>'Reserve Bank'!H31-'Check RB Past'!H31</f>
        <v>0</v>
      </c>
      <c r="U31" s="114">
        <f>'Reserve Bank'!I31-'Check RB Past'!I31</f>
        <v>0</v>
      </c>
      <c r="V31" s="80"/>
      <c r="W31" s="80"/>
      <c r="X31" s="80"/>
      <c r="Y31" s="80"/>
      <c r="Z31" s="80"/>
      <c r="AA31" s="80"/>
      <c r="AB31" s="80"/>
      <c r="AC31" s="80"/>
    </row>
    <row r="32" spans="1:29" s="14" customFormat="1" ht="12.75" customHeight="1" x14ac:dyDescent="0.2">
      <c r="A32" s="89">
        <v>37257</v>
      </c>
      <c r="B32" s="114">
        <v>2782</v>
      </c>
      <c r="C32" s="114">
        <v>300</v>
      </c>
      <c r="D32" s="114">
        <v>3082</v>
      </c>
      <c r="E32" s="114">
        <v>1382</v>
      </c>
      <c r="F32" s="114">
        <v>4464</v>
      </c>
      <c r="G32" s="114">
        <v>3477</v>
      </c>
      <c r="H32" s="114">
        <v>7941</v>
      </c>
      <c r="I32" s="120">
        <v>686</v>
      </c>
      <c r="J32" s="79"/>
      <c r="K32" s="69"/>
      <c r="L32" s="69"/>
      <c r="M32" s="89">
        <v>37257</v>
      </c>
      <c r="N32" s="114">
        <f>'Reserve Bank'!B32-'Check RB Past'!B32</f>
        <v>0</v>
      </c>
      <c r="O32" s="114">
        <f>'Reserve Bank'!C32-'Check RB Past'!C32</f>
        <v>0</v>
      </c>
      <c r="P32" s="114">
        <f>'Reserve Bank'!D32-'Check RB Past'!D32</f>
        <v>0</v>
      </c>
      <c r="Q32" s="114">
        <f>'Reserve Bank'!E32-'Check RB Past'!E32</f>
        <v>0</v>
      </c>
      <c r="R32" s="114">
        <f>'Reserve Bank'!F32-'Check RB Past'!F32</f>
        <v>0</v>
      </c>
      <c r="S32" s="114">
        <f>'Reserve Bank'!G32-'Check RB Past'!G32</f>
        <v>0</v>
      </c>
      <c r="T32" s="114">
        <f>'Reserve Bank'!H32-'Check RB Past'!H32</f>
        <v>0</v>
      </c>
      <c r="U32" s="114">
        <f>'Reserve Bank'!I32-'Check RB Past'!I32</f>
        <v>0</v>
      </c>
      <c r="V32" s="80"/>
      <c r="W32" s="80"/>
      <c r="X32" s="80"/>
      <c r="Y32" s="80"/>
      <c r="Z32" s="80"/>
      <c r="AA32" s="80"/>
      <c r="AB32" s="80"/>
      <c r="AC32" s="80"/>
    </row>
    <row r="33" spans="1:29" s="14" customFormat="1" ht="12.75" customHeight="1" x14ac:dyDescent="0.2">
      <c r="A33" s="89">
        <v>37288</v>
      </c>
      <c r="B33" s="114">
        <v>2402</v>
      </c>
      <c r="C33" s="114">
        <v>391</v>
      </c>
      <c r="D33" s="114">
        <v>2793</v>
      </c>
      <c r="E33" s="114">
        <v>1845</v>
      </c>
      <c r="F33" s="114">
        <v>4638</v>
      </c>
      <c r="G33" s="114">
        <v>3816</v>
      </c>
      <c r="H33" s="114">
        <v>8454</v>
      </c>
      <c r="I33" s="120">
        <v>819</v>
      </c>
      <c r="J33" s="79"/>
      <c r="K33" s="69"/>
      <c r="L33" s="69"/>
      <c r="M33" s="89">
        <v>37288</v>
      </c>
      <c r="N33" s="114">
        <f>'Reserve Bank'!B33-'Check RB Past'!B33</f>
        <v>0</v>
      </c>
      <c r="O33" s="114">
        <f>'Reserve Bank'!C33-'Check RB Past'!C33</f>
        <v>0</v>
      </c>
      <c r="P33" s="114">
        <f>'Reserve Bank'!D33-'Check RB Past'!D33</f>
        <v>0</v>
      </c>
      <c r="Q33" s="114">
        <f>'Reserve Bank'!E33-'Check RB Past'!E33</f>
        <v>0</v>
      </c>
      <c r="R33" s="114">
        <f>'Reserve Bank'!F33-'Check RB Past'!F33</f>
        <v>0</v>
      </c>
      <c r="S33" s="114">
        <f>'Reserve Bank'!G33-'Check RB Past'!G33</f>
        <v>0</v>
      </c>
      <c r="T33" s="114">
        <f>'Reserve Bank'!H33-'Check RB Past'!H33</f>
        <v>0</v>
      </c>
      <c r="U33" s="114">
        <f>'Reserve Bank'!I33-'Check RB Past'!I33</f>
        <v>0</v>
      </c>
      <c r="V33" s="80"/>
      <c r="W33" s="80"/>
      <c r="X33" s="80"/>
      <c r="Y33" s="80"/>
      <c r="Z33" s="80"/>
      <c r="AA33" s="80"/>
      <c r="AB33" s="80"/>
      <c r="AC33" s="80"/>
    </row>
    <row r="34" spans="1:29" s="14" customFormat="1" ht="12.75" customHeight="1" x14ac:dyDescent="0.2">
      <c r="A34" s="89">
        <v>37316</v>
      </c>
      <c r="B34" s="114">
        <v>1816</v>
      </c>
      <c r="C34" s="114">
        <v>189</v>
      </c>
      <c r="D34" s="114">
        <v>2005</v>
      </c>
      <c r="E34" s="114">
        <v>2229</v>
      </c>
      <c r="F34" s="114">
        <v>4234</v>
      </c>
      <c r="G34" s="114">
        <v>3488</v>
      </c>
      <c r="H34" s="114">
        <v>7722</v>
      </c>
      <c r="I34" s="120">
        <v>653</v>
      </c>
      <c r="J34" s="79"/>
      <c r="K34" s="69"/>
      <c r="L34" s="69"/>
      <c r="M34" s="89">
        <v>37316</v>
      </c>
      <c r="N34" s="114">
        <f>'Reserve Bank'!B34-'Check RB Past'!B34</f>
        <v>0</v>
      </c>
      <c r="O34" s="114">
        <f>'Reserve Bank'!C34-'Check RB Past'!C34</f>
        <v>0</v>
      </c>
      <c r="P34" s="114">
        <f>'Reserve Bank'!D34-'Check RB Past'!D34</f>
        <v>0</v>
      </c>
      <c r="Q34" s="114">
        <f>'Reserve Bank'!E34-'Check RB Past'!E34</f>
        <v>0</v>
      </c>
      <c r="R34" s="114">
        <f>'Reserve Bank'!F34-'Check RB Past'!F34</f>
        <v>0</v>
      </c>
      <c r="S34" s="114">
        <f>'Reserve Bank'!G34-'Check RB Past'!G34</f>
        <v>0</v>
      </c>
      <c r="T34" s="114">
        <f>'Reserve Bank'!H34-'Check RB Past'!H34</f>
        <v>0</v>
      </c>
      <c r="U34" s="114">
        <f>'Reserve Bank'!I34-'Check RB Past'!I34</f>
        <v>0</v>
      </c>
      <c r="V34" s="80"/>
      <c r="W34" s="80"/>
      <c r="X34" s="80"/>
      <c r="Y34" s="80"/>
      <c r="Z34" s="80"/>
      <c r="AA34" s="80"/>
      <c r="AB34" s="80"/>
      <c r="AC34" s="80"/>
    </row>
    <row r="35" spans="1:29" s="14" customFormat="1" ht="12.75" customHeight="1" x14ac:dyDescent="0.2">
      <c r="A35" s="89">
        <v>37347</v>
      </c>
      <c r="B35" s="114">
        <v>1731</v>
      </c>
      <c r="C35" s="114">
        <v>250</v>
      </c>
      <c r="D35" s="114">
        <v>1981</v>
      </c>
      <c r="E35" s="114">
        <v>2248</v>
      </c>
      <c r="F35" s="114">
        <v>4229</v>
      </c>
      <c r="G35" s="114">
        <v>3928</v>
      </c>
      <c r="H35" s="114">
        <v>8157</v>
      </c>
      <c r="I35" s="120">
        <v>639</v>
      </c>
      <c r="J35" s="79"/>
      <c r="K35" s="69"/>
      <c r="L35" s="69"/>
      <c r="M35" s="89">
        <v>37347</v>
      </c>
      <c r="N35" s="114">
        <f>'Reserve Bank'!B35-'Check RB Past'!B35</f>
        <v>0</v>
      </c>
      <c r="O35" s="114">
        <f>'Reserve Bank'!C35-'Check RB Past'!C35</f>
        <v>0</v>
      </c>
      <c r="P35" s="114">
        <f>'Reserve Bank'!D35-'Check RB Past'!D35</f>
        <v>0</v>
      </c>
      <c r="Q35" s="114">
        <f>'Reserve Bank'!E35-'Check RB Past'!E35</f>
        <v>0</v>
      </c>
      <c r="R35" s="114">
        <f>'Reserve Bank'!F35-'Check RB Past'!F35</f>
        <v>0</v>
      </c>
      <c r="S35" s="114">
        <f>'Reserve Bank'!G35-'Check RB Past'!G35</f>
        <v>0</v>
      </c>
      <c r="T35" s="114">
        <f>'Reserve Bank'!H35-'Check RB Past'!H35</f>
        <v>0</v>
      </c>
      <c r="U35" s="114">
        <f>'Reserve Bank'!I35-'Check RB Past'!I35</f>
        <v>0</v>
      </c>
      <c r="V35" s="80"/>
      <c r="W35" s="80"/>
      <c r="X35" s="80"/>
      <c r="Y35" s="80"/>
      <c r="Z35" s="80"/>
      <c r="AA35" s="80"/>
      <c r="AB35" s="80"/>
      <c r="AC35" s="80"/>
    </row>
    <row r="36" spans="1:29" s="14" customFormat="1" ht="12.75" customHeight="1" x14ac:dyDescent="0.2">
      <c r="A36" s="89">
        <v>37377</v>
      </c>
      <c r="B36" s="114">
        <v>1920</v>
      </c>
      <c r="C36" s="114">
        <v>191</v>
      </c>
      <c r="D36" s="114">
        <v>2111</v>
      </c>
      <c r="E36" s="114">
        <v>1834</v>
      </c>
      <c r="F36" s="114">
        <v>3945</v>
      </c>
      <c r="G36" s="114">
        <v>3403</v>
      </c>
      <c r="H36" s="114">
        <v>7348</v>
      </c>
      <c r="I36" s="120">
        <v>582</v>
      </c>
      <c r="J36" s="79"/>
      <c r="K36" s="69"/>
      <c r="L36" s="69"/>
      <c r="M36" s="89">
        <v>37377</v>
      </c>
      <c r="N36" s="114">
        <f>'Reserve Bank'!B36-'Check RB Past'!B36</f>
        <v>0</v>
      </c>
      <c r="O36" s="114">
        <f>'Reserve Bank'!C36-'Check RB Past'!C36</f>
        <v>0</v>
      </c>
      <c r="P36" s="114">
        <f>'Reserve Bank'!D36-'Check RB Past'!D36</f>
        <v>0</v>
      </c>
      <c r="Q36" s="114">
        <f>'Reserve Bank'!E36-'Check RB Past'!E36</f>
        <v>0</v>
      </c>
      <c r="R36" s="114">
        <f>'Reserve Bank'!F36-'Check RB Past'!F36</f>
        <v>0</v>
      </c>
      <c r="S36" s="114">
        <f>'Reserve Bank'!G36-'Check RB Past'!G36</f>
        <v>0</v>
      </c>
      <c r="T36" s="114">
        <f>'Reserve Bank'!H36-'Check RB Past'!H36</f>
        <v>0</v>
      </c>
      <c r="U36" s="114">
        <f>'Reserve Bank'!I36-'Check RB Past'!I36</f>
        <v>0</v>
      </c>
      <c r="V36" s="80"/>
      <c r="W36" s="80"/>
      <c r="X36" s="80"/>
      <c r="Y36" s="80"/>
      <c r="Z36" s="80"/>
      <c r="AA36" s="80"/>
      <c r="AB36" s="80"/>
      <c r="AC36" s="80"/>
    </row>
    <row r="37" spans="1:29" s="14" customFormat="1" ht="12.75" customHeight="1" x14ac:dyDescent="0.2">
      <c r="A37" s="89">
        <v>37408</v>
      </c>
      <c r="B37" s="114">
        <v>1736</v>
      </c>
      <c r="C37" s="114">
        <v>510</v>
      </c>
      <c r="D37" s="114">
        <v>2246</v>
      </c>
      <c r="E37" s="114">
        <v>2200</v>
      </c>
      <c r="F37" s="114">
        <v>4446</v>
      </c>
      <c r="G37" s="114">
        <v>3052</v>
      </c>
      <c r="H37" s="114">
        <v>7498</v>
      </c>
      <c r="I37" s="120">
        <v>549</v>
      </c>
      <c r="J37" s="70"/>
      <c r="K37" s="69"/>
      <c r="L37" s="69"/>
      <c r="M37" s="89">
        <v>37408</v>
      </c>
      <c r="N37" s="114">
        <f>'Reserve Bank'!B37-'Check RB Past'!B37</f>
        <v>0</v>
      </c>
      <c r="O37" s="114">
        <f>'Reserve Bank'!C37-'Check RB Past'!C37</f>
        <v>0</v>
      </c>
      <c r="P37" s="114">
        <f>'Reserve Bank'!D37-'Check RB Past'!D37</f>
        <v>0</v>
      </c>
      <c r="Q37" s="114">
        <f>'Reserve Bank'!E37-'Check RB Past'!E37</f>
        <v>0</v>
      </c>
      <c r="R37" s="114">
        <f>'Reserve Bank'!F37-'Check RB Past'!F37</f>
        <v>0</v>
      </c>
      <c r="S37" s="114">
        <f>'Reserve Bank'!G37-'Check RB Past'!G37</f>
        <v>0</v>
      </c>
      <c r="T37" s="114">
        <f>'Reserve Bank'!H37-'Check RB Past'!H37</f>
        <v>0</v>
      </c>
      <c r="U37" s="114">
        <f>'Reserve Bank'!I37-'Check RB Past'!I37</f>
        <v>0</v>
      </c>
      <c r="V37" s="2"/>
      <c r="W37" s="2"/>
      <c r="X37" s="2"/>
      <c r="Y37" s="2"/>
      <c r="Z37" s="2"/>
      <c r="AA37" s="2"/>
      <c r="AB37" s="2"/>
      <c r="AC37" s="2"/>
    </row>
    <row r="38" spans="1:29" s="14" customFormat="1" ht="12.75" customHeight="1" x14ac:dyDescent="0.2">
      <c r="A38" s="89">
        <v>37438</v>
      </c>
      <c r="B38" s="114">
        <v>1875</v>
      </c>
      <c r="C38" s="114">
        <v>591</v>
      </c>
      <c r="D38" s="114">
        <v>2466</v>
      </c>
      <c r="E38" s="114">
        <v>2157</v>
      </c>
      <c r="F38" s="114">
        <v>4623</v>
      </c>
      <c r="G38" s="114">
        <v>3450</v>
      </c>
      <c r="H38" s="114">
        <v>8073</v>
      </c>
      <c r="I38" s="120">
        <v>736</v>
      </c>
      <c r="J38" s="70"/>
      <c r="K38" s="69"/>
      <c r="L38" s="69"/>
      <c r="M38" s="89">
        <v>37438</v>
      </c>
      <c r="N38" s="114">
        <f>'Reserve Bank'!B38-'Check RB Past'!B38</f>
        <v>0</v>
      </c>
      <c r="O38" s="114">
        <f>'Reserve Bank'!C38-'Check RB Past'!C38</f>
        <v>0</v>
      </c>
      <c r="P38" s="114">
        <f>'Reserve Bank'!D38-'Check RB Past'!D38</f>
        <v>0</v>
      </c>
      <c r="Q38" s="114">
        <f>'Reserve Bank'!E38-'Check RB Past'!E38</f>
        <v>0</v>
      </c>
      <c r="R38" s="114">
        <f>'Reserve Bank'!F38-'Check RB Past'!F38</f>
        <v>0</v>
      </c>
      <c r="S38" s="114">
        <f>'Reserve Bank'!G38-'Check RB Past'!G38</f>
        <v>0</v>
      </c>
      <c r="T38" s="114">
        <f>'Reserve Bank'!H38-'Check RB Past'!H38</f>
        <v>0</v>
      </c>
      <c r="U38" s="114">
        <f>'Reserve Bank'!I38-'Check RB Past'!I38</f>
        <v>0</v>
      </c>
      <c r="V38" s="2"/>
      <c r="W38" s="2"/>
      <c r="X38" s="2"/>
      <c r="Y38" s="2"/>
      <c r="Z38" s="2"/>
      <c r="AA38" s="2"/>
      <c r="AB38" s="2"/>
      <c r="AC38" s="2"/>
    </row>
    <row r="39" spans="1:29" s="14" customFormat="1" ht="12.75" customHeight="1" x14ac:dyDescent="0.2">
      <c r="A39" s="89">
        <v>37469</v>
      </c>
      <c r="B39" s="114">
        <v>2032</v>
      </c>
      <c r="C39" s="114">
        <v>112</v>
      </c>
      <c r="D39" s="114">
        <v>2144</v>
      </c>
      <c r="E39" s="114">
        <v>2097</v>
      </c>
      <c r="F39" s="114">
        <v>4241</v>
      </c>
      <c r="G39" s="114">
        <v>3360</v>
      </c>
      <c r="H39" s="114">
        <v>7601</v>
      </c>
      <c r="I39" s="120">
        <v>674</v>
      </c>
      <c r="J39" s="20"/>
      <c r="K39" s="69"/>
      <c r="L39" s="69"/>
      <c r="M39" s="89">
        <v>37469</v>
      </c>
      <c r="N39" s="114">
        <f>'Reserve Bank'!B39-'Check RB Past'!B39</f>
        <v>0</v>
      </c>
      <c r="O39" s="114">
        <f>'Reserve Bank'!C39-'Check RB Past'!C39</f>
        <v>0</v>
      </c>
      <c r="P39" s="114">
        <f>'Reserve Bank'!D39-'Check RB Past'!D39</f>
        <v>0</v>
      </c>
      <c r="Q39" s="114">
        <f>'Reserve Bank'!E39-'Check RB Past'!E39</f>
        <v>0</v>
      </c>
      <c r="R39" s="114">
        <f>'Reserve Bank'!F39-'Check RB Past'!F39</f>
        <v>0</v>
      </c>
      <c r="S39" s="114">
        <f>'Reserve Bank'!G39-'Check RB Past'!G39</f>
        <v>0</v>
      </c>
      <c r="T39" s="114">
        <f>'Reserve Bank'!H39-'Check RB Past'!H39</f>
        <v>0</v>
      </c>
      <c r="U39" s="114">
        <f>'Reserve Bank'!I39-'Check RB Past'!I39</f>
        <v>0</v>
      </c>
      <c r="V39" s="1"/>
      <c r="W39" s="1"/>
      <c r="X39" s="1"/>
      <c r="Y39" s="1"/>
      <c r="Z39" s="1"/>
      <c r="AA39" s="1"/>
      <c r="AB39" s="1"/>
      <c r="AC39" s="1"/>
    </row>
    <row r="40" spans="1:29" s="14" customFormat="1" ht="12.75" customHeight="1" x14ac:dyDescent="0.2">
      <c r="A40" s="89">
        <v>37500</v>
      </c>
      <c r="B40" s="114">
        <v>2408</v>
      </c>
      <c r="C40" s="114">
        <v>279</v>
      </c>
      <c r="D40" s="114">
        <v>2687</v>
      </c>
      <c r="E40" s="114">
        <v>1751</v>
      </c>
      <c r="F40" s="114">
        <v>4438</v>
      </c>
      <c r="G40" s="114">
        <v>3587</v>
      </c>
      <c r="H40" s="114">
        <v>8025</v>
      </c>
      <c r="I40" s="120">
        <v>704</v>
      </c>
      <c r="J40" s="20"/>
      <c r="K40" s="69"/>
      <c r="L40" s="69"/>
      <c r="M40" s="89">
        <v>37500</v>
      </c>
      <c r="N40" s="114">
        <f>'Reserve Bank'!B40-'Check RB Past'!B40</f>
        <v>0</v>
      </c>
      <c r="O40" s="114">
        <f>'Reserve Bank'!C40-'Check RB Past'!C40</f>
        <v>0</v>
      </c>
      <c r="P40" s="114">
        <f>'Reserve Bank'!D40-'Check RB Past'!D40</f>
        <v>0</v>
      </c>
      <c r="Q40" s="114">
        <f>'Reserve Bank'!E40-'Check RB Past'!E40</f>
        <v>0</v>
      </c>
      <c r="R40" s="114">
        <f>'Reserve Bank'!F40-'Check RB Past'!F40</f>
        <v>0</v>
      </c>
      <c r="S40" s="114">
        <f>'Reserve Bank'!G40-'Check RB Past'!G40</f>
        <v>0</v>
      </c>
      <c r="T40" s="114">
        <f>'Reserve Bank'!H40-'Check RB Past'!H40</f>
        <v>0</v>
      </c>
      <c r="U40" s="114">
        <f>'Reserve Bank'!I40-'Check RB Past'!I40</f>
        <v>0</v>
      </c>
      <c r="V40" s="1"/>
      <c r="W40" s="1"/>
      <c r="X40" s="1"/>
      <c r="Y40" s="1"/>
      <c r="Z40" s="1"/>
      <c r="AA40" s="1"/>
      <c r="AB40" s="1"/>
      <c r="AC40" s="1"/>
    </row>
    <row r="41" spans="1:29" s="14" customFormat="1" ht="12.75" customHeight="1" x14ac:dyDescent="0.2">
      <c r="A41" s="89">
        <v>37530</v>
      </c>
      <c r="B41" s="114">
        <v>1602</v>
      </c>
      <c r="C41" s="114">
        <v>291</v>
      </c>
      <c r="D41" s="114">
        <v>1893</v>
      </c>
      <c r="E41" s="114">
        <v>2402</v>
      </c>
      <c r="F41" s="114">
        <v>4295</v>
      </c>
      <c r="G41" s="114">
        <v>3093</v>
      </c>
      <c r="H41" s="114">
        <v>7388</v>
      </c>
      <c r="I41" s="120">
        <v>662</v>
      </c>
      <c r="J41" s="20"/>
      <c r="K41" s="69"/>
      <c r="L41" s="69"/>
      <c r="M41" s="89">
        <v>37530</v>
      </c>
      <c r="N41" s="114">
        <f>'Reserve Bank'!B41-'Check RB Past'!B41</f>
        <v>0</v>
      </c>
      <c r="O41" s="114">
        <f>'Reserve Bank'!C41-'Check RB Past'!C41</f>
        <v>0</v>
      </c>
      <c r="P41" s="114">
        <f>'Reserve Bank'!D41-'Check RB Past'!D41</f>
        <v>0</v>
      </c>
      <c r="Q41" s="114">
        <f>'Reserve Bank'!E41-'Check RB Past'!E41</f>
        <v>0</v>
      </c>
      <c r="R41" s="114">
        <f>'Reserve Bank'!F41-'Check RB Past'!F41</f>
        <v>0</v>
      </c>
      <c r="S41" s="114">
        <f>'Reserve Bank'!G41-'Check RB Past'!G41</f>
        <v>0</v>
      </c>
      <c r="T41" s="114">
        <f>'Reserve Bank'!H41-'Check RB Past'!H41</f>
        <v>0</v>
      </c>
      <c r="U41" s="114">
        <f>'Reserve Bank'!I41-'Check RB Past'!I41</f>
        <v>0</v>
      </c>
      <c r="V41" s="1"/>
      <c r="W41" s="1"/>
      <c r="X41" s="1"/>
      <c r="Y41" s="1"/>
      <c r="Z41" s="1"/>
      <c r="AA41" s="1"/>
      <c r="AB41" s="1"/>
      <c r="AC41" s="1"/>
    </row>
    <row r="42" spans="1:29" s="14" customFormat="1" ht="12.75" customHeight="1" x14ac:dyDescent="0.2">
      <c r="A42" s="89">
        <v>37561</v>
      </c>
      <c r="B42" s="114">
        <v>1725</v>
      </c>
      <c r="C42" s="114">
        <v>1672</v>
      </c>
      <c r="D42" s="114">
        <v>3397</v>
      </c>
      <c r="E42" s="114">
        <v>2184</v>
      </c>
      <c r="F42" s="114">
        <v>5581</v>
      </c>
      <c r="G42" s="114">
        <v>3021</v>
      </c>
      <c r="H42" s="114">
        <v>8602</v>
      </c>
      <c r="I42" s="120">
        <v>605</v>
      </c>
      <c r="J42" s="20"/>
      <c r="K42" s="69"/>
      <c r="L42" s="69"/>
      <c r="M42" s="89">
        <v>37561</v>
      </c>
      <c r="N42" s="114">
        <f>'Reserve Bank'!B42-'Check RB Past'!B42</f>
        <v>0</v>
      </c>
      <c r="O42" s="114">
        <f>'Reserve Bank'!C42-'Check RB Past'!C42</f>
        <v>0</v>
      </c>
      <c r="P42" s="114">
        <f>'Reserve Bank'!D42-'Check RB Past'!D42</f>
        <v>0</v>
      </c>
      <c r="Q42" s="114">
        <f>'Reserve Bank'!E42-'Check RB Past'!E42</f>
        <v>0</v>
      </c>
      <c r="R42" s="114">
        <f>'Reserve Bank'!F42-'Check RB Past'!F42</f>
        <v>0</v>
      </c>
      <c r="S42" s="114">
        <f>'Reserve Bank'!G42-'Check RB Past'!G42</f>
        <v>0</v>
      </c>
      <c r="T42" s="114">
        <f>'Reserve Bank'!H42-'Check RB Past'!H42</f>
        <v>0</v>
      </c>
      <c r="U42" s="114">
        <f>'Reserve Bank'!I42-'Check RB Past'!I42</f>
        <v>0</v>
      </c>
      <c r="V42" s="1"/>
      <c r="W42" s="1"/>
      <c r="X42" s="1"/>
      <c r="Y42" s="1"/>
      <c r="Z42" s="1"/>
      <c r="AA42" s="1"/>
      <c r="AB42" s="1"/>
      <c r="AC42" s="1"/>
    </row>
    <row r="43" spans="1:29" s="14" customFormat="1" ht="12.75" customHeight="1" x14ac:dyDescent="0.2">
      <c r="A43" s="89">
        <v>37591</v>
      </c>
      <c r="B43" s="114">
        <v>1667</v>
      </c>
      <c r="C43" s="114">
        <v>1627</v>
      </c>
      <c r="D43" s="114">
        <v>3294</v>
      </c>
      <c r="E43" s="114">
        <v>2291</v>
      </c>
      <c r="F43" s="114">
        <v>5585</v>
      </c>
      <c r="G43" s="114">
        <v>3844</v>
      </c>
      <c r="H43" s="114">
        <v>9429</v>
      </c>
      <c r="I43" s="120">
        <v>633</v>
      </c>
      <c r="J43" s="20"/>
      <c r="K43" s="69"/>
      <c r="L43" s="69"/>
      <c r="M43" s="89">
        <v>37591</v>
      </c>
      <c r="N43" s="114">
        <f>'Reserve Bank'!B43-'Check RB Past'!B43</f>
        <v>0</v>
      </c>
      <c r="O43" s="114">
        <f>'Reserve Bank'!C43-'Check RB Past'!C43</f>
        <v>0</v>
      </c>
      <c r="P43" s="114">
        <f>'Reserve Bank'!D43-'Check RB Past'!D43</f>
        <v>0</v>
      </c>
      <c r="Q43" s="114">
        <f>'Reserve Bank'!E43-'Check RB Past'!E43</f>
        <v>0</v>
      </c>
      <c r="R43" s="114">
        <f>'Reserve Bank'!F43-'Check RB Past'!F43</f>
        <v>0</v>
      </c>
      <c r="S43" s="114">
        <f>'Reserve Bank'!G43-'Check RB Past'!G43</f>
        <v>0</v>
      </c>
      <c r="T43" s="114">
        <f>'Reserve Bank'!H43-'Check RB Past'!H43</f>
        <v>0</v>
      </c>
      <c r="U43" s="114">
        <f>'Reserve Bank'!I43-'Check RB Past'!I43</f>
        <v>0</v>
      </c>
      <c r="V43" s="1"/>
      <c r="W43" s="1"/>
      <c r="X43" s="1"/>
      <c r="Y43" s="1"/>
      <c r="Z43" s="1"/>
      <c r="AA43" s="1"/>
      <c r="AB43" s="1"/>
      <c r="AC43" s="1"/>
    </row>
    <row r="44" spans="1:29" s="14" customFormat="1" ht="12.75" customHeight="1" x14ac:dyDescent="0.2">
      <c r="A44" s="89">
        <v>37622</v>
      </c>
      <c r="B44" s="114">
        <v>1922</v>
      </c>
      <c r="C44" s="114">
        <v>400</v>
      </c>
      <c r="D44" s="114">
        <v>2322</v>
      </c>
      <c r="E44" s="114">
        <v>2046</v>
      </c>
      <c r="F44" s="114">
        <v>4368</v>
      </c>
      <c r="G44" s="114">
        <v>3556</v>
      </c>
      <c r="H44" s="114">
        <v>7924</v>
      </c>
      <c r="I44" s="120">
        <v>671</v>
      </c>
      <c r="J44" s="20"/>
      <c r="K44" s="69"/>
      <c r="L44" s="69"/>
      <c r="M44" s="89">
        <v>37622</v>
      </c>
      <c r="N44" s="114">
        <f>'Reserve Bank'!B44-'Check RB Past'!B44</f>
        <v>0</v>
      </c>
      <c r="O44" s="114">
        <f>'Reserve Bank'!C44-'Check RB Past'!C44</f>
        <v>0</v>
      </c>
      <c r="P44" s="114">
        <f>'Reserve Bank'!D44-'Check RB Past'!D44</f>
        <v>0</v>
      </c>
      <c r="Q44" s="114">
        <f>'Reserve Bank'!E44-'Check RB Past'!E44</f>
        <v>0</v>
      </c>
      <c r="R44" s="114">
        <f>'Reserve Bank'!F44-'Check RB Past'!F44</f>
        <v>0</v>
      </c>
      <c r="S44" s="114">
        <f>'Reserve Bank'!G44-'Check RB Past'!G44</f>
        <v>0</v>
      </c>
      <c r="T44" s="114">
        <f>'Reserve Bank'!H44-'Check RB Past'!H44</f>
        <v>0</v>
      </c>
      <c r="U44" s="114">
        <f>'Reserve Bank'!I44-'Check RB Past'!I44</f>
        <v>0</v>
      </c>
      <c r="V44" s="1"/>
      <c r="W44" s="1"/>
      <c r="X44" s="1"/>
      <c r="Y44" s="1"/>
      <c r="Z44" s="1"/>
      <c r="AA44" s="1"/>
      <c r="AB44" s="1"/>
      <c r="AC44" s="1"/>
    </row>
    <row r="45" spans="1:29" s="14" customFormat="1" ht="12.75" customHeight="1" x14ac:dyDescent="0.2">
      <c r="A45" s="89">
        <v>37653</v>
      </c>
      <c r="B45" s="114">
        <v>1843</v>
      </c>
      <c r="C45" s="114">
        <v>1184</v>
      </c>
      <c r="D45" s="114">
        <v>3027</v>
      </c>
      <c r="E45" s="114">
        <v>2008</v>
      </c>
      <c r="F45" s="114">
        <v>5035</v>
      </c>
      <c r="G45" s="114">
        <v>3514</v>
      </c>
      <c r="H45" s="114">
        <v>8549</v>
      </c>
      <c r="I45" s="120">
        <v>715</v>
      </c>
      <c r="J45" s="20"/>
      <c r="K45" s="69"/>
      <c r="L45" s="69"/>
      <c r="M45" s="89">
        <v>37653</v>
      </c>
      <c r="N45" s="114">
        <f>'Reserve Bank'!B45-'Check RB Past'!B45</f>
        <v>0</v>
      </c>
      <c r="O45" s="114">
        <f>'Reserve Bank'!C45-'Check RB Past'!C45</f>
        <v>0</v>
      </c>
      <c r="P45" s="114">
        <f>'Reserve Bank'!D45-'Check RB Past'!D45</f>
        <v>0</v>
      </c>
      <c r="Q45" s="114">
        <f>'Reserve Bank'!E45-'Check RB Past'!E45</f>
        <v>0</v>
      </c>
      <c r="R45" s="114">
        <f>'Reserve Bank'!F45-'Check RB Past'!F45</f>
        <v>0</v>
      </c>
      <c r="S45" s="114">
        <f>'Reserve Bank'!G45-'Check RB Past'!G45</f>
        <v>0</v>
      </c>
      <c r="T45" s="114">
        <f>'Reserve Bank'!H45-'Check RB Past'!H45</f>
        <v>0</v>
      </c>
      <c r="U45" s="114">
        <f>'Reserve Bank'!I45-'Check RB Past'!I45</f>
        <v>0</v>
      </c>
      <c r="V45" s="1"/>
      <c r="W45" s="1"/>
      <c r="X45" s="1"/>
      <c r="Y45" s="1"/>
      <c r="Z45" s="1"/>
      <c r="AA45" s="1"/>
      <c r="AB45" s="1"/>
      <c r="AC45" s="1"/>
    </row>
    <row r="46" spans="1:29" s="14" customFormat="1" ht="12.75" customHeight="1" x14ac:dyDescent="0.2">
      <c r="A46" s="89">
        <v>37681</v>
      </c>
      <c r="B46" s="114">
        <v>1979</v>
      </c>
      <c r="C46" s="114">
        <v>1673</v>
      </c>
      <c r="D46" s="114">
        <v>3652</v>
      </c>
      <c r="E46" s="114">
        <v>2010</v>
      </c>
      <c r="F46" s="114">
        <v>5662</v>
      </c>
      <c r="G46" s="114">
        <v>3452</v>
      </c>
      <c r="H46" s="114">
        <v>9114</v>
      </c>
      <c r="I46" s="120">
        <v>539</v>
      </c>
      <c r="J46" s="20"/>
      <c r="K46" s="69"/>
      <c r="L46" s="69"/>
      <c r="M46" s="89">
        <v>37681</v>
      </c>
      <c r="N46" s="114">
        <f>'Reserve Bank'!B46-'Check RB Past'!B46</f>
        <v>0</v>
      </c>
      <c r="O46" s="114">
        <f>'Reserve Bank'!C46-'Check RB Past'!C46</f>
        <v>0</v>
      </c>
      <c r="P46" s="114">
        <f>'Reserve Bank'!D46-'Check RB Past'!D46</f>
        <v>0</v>
      </c>
      <c r="Q46" s="114">
        <f>'Reserve Bank'!E46-'Check RB Past'!E46</f>
        <v>0</v>
      </c>
      <c r="R46" s="114">
        <f>'Reserve Bank'!F46-'Check RB Past'!F46</f>
        <v>0</v>
      </c>
      <c r="S46" s="114">
        <f>'Reserve Bank'!G46-'Check RB Past'!G46</f>
        <v>0</v>
      </c>
      <c r="T46" s="114">
        <f>'Reserve Bank'!H46-'Check RB Past'!H46</f>
        <v>0</v>
      </c>
      <c r="U46" s="114">
        <f>'Reserve Bank'!I46-'Check RB Past'!I46</f>
        <v>0</v>
      </c>
      <c r="V46" s="1"/>
      <c r="W46" s="1"/>
      <c r="X46" s="1"/>
      <c r="Y46" s="1"/>
      <c r="Z46" s="1"/>
      <c r="AA46" s="1"/>
      <c r="AB46" s="1"/>
      <c r="AC46" s="1"/>
    </row>
    <row r="47" spans="1:29" s="14" customFormat="1" ht="12.75" customHeight="1" x14ac:dyDescent="0.2">
      <c r="A47" s="89">
        <v>37712</v>
      </c>
      <c r="B47" s="114">
        <v>1868</v>
      </c>
      <c r="C47" s="114">
        <v>1144</v>
      </c>
      <c r="D47" s="114">
        <v>3012</v>
      </c>
      <c r="E47" s="114">
        <v>1929</v>
      </c>
      <c r="F47" s="114">
        <v>4941</v>
      </c>
      <c r="G47" s="114">
        <v>3572</v>
      </c>
      <c r="H47" s="114">
        <v>8513</v>
      </c>
      <c r="I47" s="120">
        <v>501</v>
      </c>
      <c r="J47" s="20"/>
      <c r="K47" s="69"/>
      <c r="L47" s="69"/>
      <c r="M47" s="89">
        <v>37712</v>
      </c>
      <c r="N47" s="114">
        <f>'Reserve Bank'!B47-'Check RB Past'!B47</f>
        <v>0</v>
      </c>
      <c r="O47" s="114">
        <f>'Reserve Bank'!C47-'Check RB Past'!C47</f>
        <v>0</v>
      </c>
      <c r="P47" s="114">
        <f>'Reserve Bank'!D47-'Check RB Past'!D47</f>
        <v>0</v>
      </c>
      <c r="Q47" s="114">
        <f>'Reserve Bank'!E47-'Check RB Past'!E47</f>
        <v>0</v>
      </c>
      <c r="R47" s="114">
        <f>'Reserve Bank'!F47-'Check RB Past'!F47</f>
        <v>0</v>
      </c>
      <c r="S47" s="114">
        <f>'Reserve Bank'!G47-'Check RB Past'!G47</f>
        <v>0</v>
      </c>
      <c r="T47" s="114">
        <f>'Reserve Bank'!H47-'Check RB Past'!H47</f>
        <v>0</v>
      </c>
      <c r="U47" s="114">
        <f>'Reserve Bank'!I47-'Check RB Past'!I47</f>
        <v>0</v>
      </c>
      <c r="V47" s="1"/>
      <c r="W47" s="1"/>
      <c r="X47" s="1"/>
      <c r="Y47" s="1"/>
      <c r="Z47" s="1"/>
      <c r="AA47" s="1"/>
      <c r="AB47" s="1"/>
      <c r="AC47" s="1"/>
    </row>
    <row r="48" spans="1:29" s="14" customFormat="1" ht="12.75" customHeight="1" x14ac:dyDescent="0.2">
      <c r="A48" s="89">
        <v>37742</v>
      </c>
      <c r="B48" s="114">
        <v>2013</v>
      </c>
      <c r="C48" s="114">
        <v>1175</v>
      </c>
      <c r="D48" s="114">
        <v>3188</v>
      </c>
      <c r="E48" s="114">
        <v>1909</v>
      </c>
      <c r="F48" s="114">
        <v>5097</v>
      </c>
      <c r="G48" s="114">
        <v>3913</v>
      </c>
      <c r="H48" s="114">
        <v>9010</v>
      </c>
      <c r="I48" s="120">
        <v>362</v>
      </c>
      <c r="J48" s="20"/>
      <c r="K48" s="69"/>
      <c r="L48" s="69"/>
      <c r="M48" s="89">
        <v>37742</v>
      </c>
      <c r="N48" s="114">
        <f>'Reserve Bank'!B48-'Check RB Past'!B48</f>
        <v>0</v>
      </c>
      <c r="O48" s="114">
        <f>'Reserve Bank'!C48-'Check RB Past'!C48</f>
        <v>0</v>
      </c>
      <c r="P48" s="114">
        <f>'Reserve Bank'!D48-'Check RB Past'!D48</f>
        <v>0</v>
      </c>
      <c r="Q48" s="114">
        <f>'Reserve Bank'!E48-'Check RB Past'!E48</f>
        <v>0</v>
      </c>
      <c r="R48" s="114">
        <f>'Reserve Bank'!F48-'Check RB Past'!F48</f>
        <v>0</v>
      </c>
      <c r="S48" s="114">
        <f>'Reserve Bank'!G48-'Check RB Past'!G48</f>
        <v>0</v>
      </c>
      <c r="T48" s="114">
        <f>'Reserve Bank'!H48-'Check RB Past'!H48</f>
        <v>0</v>
      </c>
      <c r="U48" s="114">
        <f>'Reserve Bank'!I48-'Check RB Past'!I48</f>
        <v>0</v>
      </c>
      <c r="V48" s="1"/>
      <c r="W48" s="1"/>
      <c r="X48" s="1"/>
      <c r="Y48" s="1"/>
      <c r="Z48" s="1"/>
      <c r="AA48" s="1"/>
      <c r="AB48" s="1"/>
      <c r="AC48" s="1"/>
    </row>
    <row r="49" spans="1:29" s="14" customFormat="1" ht="12.75" customHeight="1" x14ac:dyDescent="0.2">
      <c r="A49" s="89">
        <v>37773</v>
      </c>
      <c r="B49" s="114">
        <v>2273</v>
      </c>
      <c r="C49" s="114">
        <v>1177</v>
      </c>
      <c r="D49" s="114">
        <v>3450</v>
      </c>
      <c r="E49" s="114">
        <v>1658</v>
      </c>
      <c r="F49" s="114">
        <v>5108</v>
      </c>
      <c r="G49" s="114">
        <v>4675</v>
      </c>
      <c r="H49" s="114">
        <v>9783</v>
      </c>
      <c r="I49" s="120">
        <v>389</v>
      </c>
      <c r="J49" s="20"/>
      <c r="K49" s="69"/>
      <c r="L49" s="69"/>
      <c r="M49" s="89">
        <v>37773</v>
      </c>
      <c r="N49" s="114">
        <f>'Reserve Bank'!B49-'Check RB Past'!B49</f>
        <v>0</v>
      </c>
      <c r="O49" s="114">
        <f>'Reserve Bank'!C49-'Check RB Past'!C49</f>
        <v>0</v>
      </c>
      <c r="P49" s="114">
        <f>'Reserve Bank'!D49-'Check RB Past'!D49</f>
        <v>0</v>
      </c>
      <c r="Q49" s="114">
        <f>'Reserve Bank'!E49-'Check RB Past'!E49</f>
        <v>0</v>
      </c>
      <c r="R49" s="114">
        <f>'Reserve Bank'!F49-'Check RB Past'!F49</f>
        <v>0</v>
      </c>
      <c r="S49" s="114">
        <f>'Reserve Bank'!G49-'Check RB Past'!G49</f>
        <v>0</v>
      </c>
      <c r="T49" s="114">
        <f>'Reserve Bank'!H49-'Check RB Past'!H49</f>
        <v>0</v>
      </c>
      <c r="U49" s="114">
        <f>'Reserve Bank'!I49-'Check RB Past'!I49</f>
        <v>0</v>
      </c>
      <c r="V49" s="1"/>
      <c r="W49" s="1"/>
      <c r="X49" s="1"/>
      <c r="Y49" s="1"/>
      <c r="Z49" s="1"/>
      <c r="AA49" s="1"/>
      <c r="AB49" s="1"/>
      <c r="AC49" s="1"/>
    </row>
    <row r="50" spans="1:29" s="14" customFormat="1" ht="12.75" customHeight="1" x14ac:dyDescent="0.2">
      <c r="A50" s="89">
        <v>37803</v>
      </c>
      <c r="B50" s="114">
        <v>1935</v>
      </c>
      <c r="C50" s="114">
        <v>926</v>
      </c>
      <c r="D50" s="114">
        <v>2861</v>
      </c>
      <c r="E50" s="114">
        <v>1866</v>
      </c>
      <c r="F50" s="114">
        <v>4727</v>
      </c>
      <c r="G50" s="114">
        <v>4561</v>
      </c>
      <c r="H50" s="114">
        <v>9288</v>
      </c>
      <c r="I50" s="120">
        <v>549</v>
      </c>
      <c r="J50" s="20"/>
      <c r="K50" s="69"/>
      <c r="L50" s="69"/>
      <c r="M50" s="89">
        <v>37803</v>
      </c>
      <c r="N50" s="114">
        <f>'Reserve Bank'!B50-'Check RB Past'!B50</f>
        <v>0</v>
      </c>
      <c r="O50" s="114">
        <f>'Reserve Bank'!C50-'Check RB Past'!C50</f>
        <v>0</v>
      </c>
      <c r="P50" s="114">
        <f>'Reserve Bank'!D50-'Check RB Past'!D50</f>
        <v>0</v>
      </c>
      <c r="Q50" s="114">
        <f>'Reserve Bank'!E50-'Check RB Past'!E50</f>
        <v>0</v>
      </c>
      <c r="R50" s="114">
        <f>'Reserve Bank'!F50-'Check RB Past'!F50</f>
        <v>0</v>
      </c>
      <c r="S50" s="114">
        <f>'Reserve Bank'!G50-'Check RB Past'!G50</f>
        <v>0</v>
      </c>
      <c r="T50" s="114">
        <f>'Reserve Bank'!H50-'Check RB Past'!H50</f>
        <v>0</v>
      </c>
      <c r="U50" s="114">
        <f>'Reserve Bank'!I50-'Check RB Past'!I50</f>
        <v>0</v>
      </c>
      <c r="V50" s="1"/>
      <c r="W50" s="1"/>
      <c r="X50" s="1"/>
      <c r="Y50" s="1"/>
      <c r="Z50" s="1"/>
      <c r="AA50" s="1"/>
      <c r="AB50" s="1"/>
      <c r="AC50" s="1"/>
    </row>
    <row r="51" spans="1:29" s="14" customFormat="1" ht="12.75" customHeight="1" x14ac:dyDescent="0.2">
      <c r="A51" s="89">
        <v>37834</v>
      </c>
      <c r="B51" s="114">
        <v>1979</v>
      </c>
      <c r="C51" s="114">
        <v>628</v>
      </c>
      <c r="D51" s="114">
        <v>2607</v>
      </c>
      <c r="E51" s="114">
        <v>1759</v>
      </c>
      <c r="F51" s="114">
        <v>4366</v>
      </c>
      <c r="G51" s="114">
        <v>4275</v>
      </c>
      <c r="H51" s="114">
        <v>8641</v>
      </c>
      <c r="I51" s="120">
        <v>534</v>
      </c>
      <c r="J51" s="20"/>
      <c r="K51" s="69"/>
      <c r="L51" s="69"/>
      <c r="M51" s="89">
        <v>37834</v>
      </c>
      <c r="N51" s="114">
        <f>'Reserve Bank'!B51-'Check RB Past'!B51</f>
        <v>0</v>
      </c>
      <c r="O51" s="114">
        <f>'Reserve Bank'!C51-'Check RB Past'!C51</f>
        <v>0</v>
      </c>
      <c r="P51" s="114">
        <f>'Reserve Bank'!D51-'Check RB Past'!D51</f>
        <v>0</v>
      </c>
      <c r="Q51" s="114">
        <f>'Reserve Bank'!E51-'Check RB Past'!E51</f>
        <v>0</v>
      </c>
      <c r="R51" s="114">
        <f>'Reserve Bank'!F51-'Check RB Past'!F51</f>
        <v>0</v>
      </c>
      <c r="S51" s="114">
        <f>'Reserve Bank'!G51-'Check RB Past'!G51</f>
        <v>0</v>
      </c>
      <c r="T51" s="114">
        <f>'Reserve Bank'!H51-'Check RB Past'!H51</f>
        <v>0</v>
      </c>
      <c r="U51" s="114">
        <f>'Reserve Bank'!I51-'Check RB Past'!I51</f>
        <v>0</v>
      </c>
      <c r="V51" s="1"/>
      <c r="W51" s="1"/>
      <c r="X51" s="1"/>
      <c r="Y51" s="1"/>
      <c r="Z51" s="1"/>
      <c r="AA51" s="1"/>
      <c r="AB51" s="1"/>
      <c r="AC51" s="1"/>
    </row>
    <row r="52" spans="1:29" s="14" customFormat="1" ht="12.75" customHeight="1" x14ac:dyDescent="0.2">
      <c r="A52" s="89">
        <v>37865</v>
      </c>
      <c r="B52" s="114">
        <v>1457</v>
      </c>
      <c r="C52" s="114">
        <v>706</v>
      </c>
      <c r="D52" s="114">
        <v>2163</v>
      </c>
      <c r="E52" s="114">
        <v>2198</v>
      </c>
      <c r="F52" s="114">
        <v>4361</v>
      </c>
      <c r="G52" s="114">
        <v>4341</v>
      </c>
      <c r="H52" s="114">
        <v>8702</v>
      </c>
      <c r="I52" s="120">
        <v>482</v>
      </c>
      <c r="J52" s="20"/>
      <c r="K52" s="69"/>
      <c r="L52" s="69"/>
      <c r="M52" s="89">
        <v>37865</v>
      </c>
      <c r="N52" s="114">
        <f>'Reserve Bank'!B52-'Check RB Past'!B52</f>
        <v>0</v>
      </c>
      <c r="O52" s="114">
        <f>'Reserve Bank'!C52-'Check RB Past'!C52</f>
        <v>0</v>
      </c>
      <c r="P52" s="114">
        <f>'Reserve Bank'!D52-'Check RB Past'!D52</f>
        <v>0</v>
      </c>
      <c r="Q52" s="114">
        <f>'Reserve Bank'!E52-'Check RB Past'!E52</f>
        <v>0</v>
      </c>
      <c r="R52" s="114">
        <f>'Reserve Bank'!F52-'Check RB Past'!F52</f>
        <v>0</v>
      </c>
      <c r="S52" s="114">
        <f>'Reserve Bank'!G52-'Check RB Past'!G52</f>
        <v>0</v>
      </c>
      <c r="T52" s="114">
        <f>'Reserve Bank'!H52-'Check RB Past'!H52</f>
        <v>0</v>
      </c>
      <c r="U52" s="114">
        <f>'Reserve Bank'!I52-'Check RB Past'!I52</f>
        <v>0</v>
      </c>
      <c r="V52" s="1"/>
      <c r="W52" s="1"/>
      <c r="X52" s="1"/>
      <c r="Y52" s="1"/>
      <c r="Z52" s="1"/>
      <c r="AA52" s="1"/>
      <c r="AB52" s="1"/>
      <c r="AC52" s="1"/>
    </row>
    <row r="53" spans="1:29" s="14" customFormat="1" ht="12.75" customHeight="1" x14ac:dyDescent="0.2">
      <c r="A53" s="89">
        <v>37895</v>
      </c>
      <c r="B53" s="114">
        <v>1589</v>
      </c>
      <c r="C53" s="114">
        <v>694</v>
      </c>
      <c r="D53" s="114">
        <v>2283</v>
      </c>
      <c r="E53" s="114">
        <v>2015</v>
      </c>
      <c r="F53" s="114">
        <v>4298</v>
      </c>
      <c r="G53" s="114">
        <v>4992</v>
      </c>
      <c r="H53" s="114">
        <v>9290</v>
      </c>
      <c r="I53" s="120">
        <v>485</v>
      </c>
      <c r="J53" s="20"/>
      <c r="K53" s="69"/>
      <c r="L53" s="69"/>
      <c r="M53" s="89">
        <v>37895</v>
      </c>
      <c r="N53" s="114">
        <f>'Reserve Bank'!B53-'Check RB Past'!B53</f>
        <v>0</v>
      </c>
      <c r="O53" s="114">
        <f>'Reserve Bank'!C53-'Check RB Past'!C53</f>
        <v>0</v>
      </c>
      <c r="P53" s="114">
        <f>'Reserve Bank'!D53-'Check RB Past'!D53</f>
        <v>0</v>
      </c>
      <c r="Q53" s="114">
        <f>'Reserve Bank'!E53-'Check RB Past'!E53</f>
        <v>0</v>
      </c>
      <c r="R53" s="114">
        <f>'Reserve Bank'!F53-'Check RB Past'!F53</f>
        <v>0</v>
      </c>
      <c r="S53" s="114">
        <f>'Reserve Bank'!G53-'Check RB Past'!G53</f>
        <v>0</v>
      </c>
      <c r="T53" s="114">
        <f>'Reserve Bank'!H53-'Check RB Past'!H53</f>
        <v>0</v>
      </c>
      <c r="U53" s="114">
        <f>'Reserve Bank'!I53-'Check RB Past'!I53</f>
        <v>0</v>
      </c>
      <c r="V53" s="1"/>
      <c r="W53" s="1"/>
      <c r="X53" s="1"/>
      <c r="Y53" s="1"/>
      <c r="Z53" s="1"/>
      <c r="AA53" s="1"/>
      <c r="AB53" s="1"/>
      <c r="AC53" s="1"/>
    </row>
    <row r="54" spans="1:29" s="14" customFormat="1" ht="12.75" customHeight="1" x14ac:dyDescent="0.2">
      <c r="A54" s="89">
        <v>37926</v>
      </c>
      <c r="B54" s="114">
        <v>1535</v>
      </c>
      <c r="C54" s="114">
        <v>2784</v>
      </c>
      <c r="D54" s="114">
        <v>4319</v>
      </c>
      <c r="E54" s="114">
        <v>1988</v>
      </c>
      <c r="F54" s="114">
        <v>6307</v>
      </c>
      <c r="G54" s="114">
        <v>4303</v>
      </c>
      <c r="H54" s="114">
        <v>10610</v>
      </c>
      <c r="I54" s="120">
        <v>610</v>
      </c>
      <c r="J54" s="20"/>
      <c r="K54" s="69"/>
      <c r="L54" s="69"/>
      <c r="M54" s="89">
        <v>37926</v>
      </c>
      <c r="N54" s="114">
        <f>'Reserve Bank'!B54-'Check RB Past'!B54</f>
        <v>0</v>
      </c>
      <c r="O54" s="114">
        <f>'Reserve Bank'!C54-'Check RB Past'!C54</f>
        <v>0</v>
      </c>
      <c r="P54" s="114">
        <f>'Reserve Bank'!D54-'Check RB Past'!D54</f>
        <v>0</v>
      </c>
      <c r="Q54" s="114">
        <f>'Reserve Bank'!E54-'Check RB Past'!E54</f>
        <v>0</v>
      </c>
      <c r="R54" s="114">
        <f>'Reserve Bank'!F54-'Check RB Past'!F54</f>
        <v>0</v>
      </c>
      <c r="S54" s="114">
        <f>'Reserve Bank'!G54-'Check RB Past'!G54</f>
        <v>0</v>
      </c>
      <c r="T54" s="114">
        <f>'Reserve Bank'!H54-'Check RB Past'!H54</f>
        <v>0</v>
      </c>
      <c r="U54" s="114">
        <f>'Reserve Bank'!I54-'Check RB Past'!I54</f>
        <v>0</v>
      </c>
      <c r="V54" s="1"/>
      <c r="W54" s="1"/>
      <c r="X54" s="1"/>
      <c r="Y54" s="1"/>
      <c r="Z54" s="1"/>
      <c r="AA54" s="1"/>
      <c r="AB54" s="1"/>
      <c r="AC54" s="1"/>
    </row>
    <row r="55" spans="1:29" s="14" customFormat="1" ht="12.75" customHeight="1" x14ac:dyDescent="0.2">
      <c r="A55" s="89">
        <v>37956</v>
      </c>
      <c r="B55" s="114">
        <v>1653</v>
      </c>
      <c r="C55" s="114">
        <v>1963</v>
      </c>
      <c r="D55" s="114">
        <v>3616</v>
      </c>
      <c r="E55" s="114">
        <v>1755</v>
      </c>
      <c r="F55" s="114">
        <v>5371</v>
      </c>
      <c r="G55" s="114">
        <v>3929</v>
      </c>
      <c r="H55" s="114">
        <v>9300</v>
      </c>
      <c r="I55" s="120">
        <v>700</v>
      </c>
      <c r="J55" s="20"/>
      <c r="K55" s="69"/>
      <c r="L55" s="69"/>
      <c r="M55" s="89">
        <v>37956</v>
      </c>
      <c r="N55" s="114">
        <f>'Reserve Bank'!B55-'Check RB Past'!B55</f>
        <v>0</v>
      </c>
      <c r="O55" s="114">
        <f>'Reserve Bank'!C55-'Check RB Past'!C55</f>
        <v>0</v>
      </c>
      <c r="P55" s="114">
        <f>'Reserve Bank'!D55-'Check RB Past'!D55</f>
        <v>0</v>
      </c>
      <c r="Q55" s="114">
        <f>'Reserve Bank'!E55-'Check RB Past'!E55</f>
        <v>0</v>
      </c>
      <c r="R55" s="114">
        <f>'Reserve Bank'!F55-'Check RB Past'!F55</f>
        <v>0</v>
      </c>
      <c r="S55" s="114">
        <f>'Reserve Bank'!G55-'Check RB Past'!G55</f>
        <v>0</v>
      </c>
      <c r="T55" s="114">
        <f>'Reserve Bank'!H55-'Check RB Past'!H55</f>
        <v>0</v>
      </c>
      <c r="U55" s="114">
        <f>'Reserve Bank'!I55-'Check RB Past'!I55</f>
        <v>0</v>
      </c>
      <c r="V55" s="1"/>
      <c r="W55" s="1"/>
      <c r="X55" s="1"/>
      <c r="Y55" s="1"/>
      <c r="Z55" s="1"/>
      <c r="AA55" s="1"/>
      <c r="AB55" s="1"/>
      <c r="AC55" s="1"/>
    </row>
    <row r="56" spans="1:29" s="14" customFormat="1" ht="12.75" customHeight="1" x14ac:dyDescent="0.2">
      <c r="A56" s="89">
        <v>37987</v>
      </c>
      <c r="B56" s="114">
        <v>1863</v>
      </c>
      <c r="C56" s="114">
        <v>1526</v>
      </c>
      <c r="D56" s="114">
        <v>3389</v>
      </c>
      <c r="E56" s="114">
        <v>1444</v>
      </c>
      <c r="F56" s="114">
        <v>4833</v>
      </c>
      <c r="G56" s="114">
        <v>3612</v>
      </c>
      <c r="H56" s="114">
        <v>8445</v>
      </c>
      <c r="I56" s="120">
        <v>729</v>
      </c>
      <c r="J56" s="20"/>
      <c r="K56" s="69"/>
      <c r="L56" s="69"/>
      <c r="M56" s="89">
        <v>37987</v>
      </c>
      <c r="N56" s="114">
        <f>'Reserve Bank'!B56-'Check RB Past'!B56</f>
        <v>0</v>
      </c>
      <c r="O56" s="114">
        <f>'Reserve Bank'!C56-'Check RB Past'!C56</f>
        <v>0</v>
      </c>
      <c r="P56" s="114">
        <f>'Reserve Bank'!D56-'Check RB Past'!D56</f>
        <v>0</v>
      </c>
      <c r="Q56" s="114">
        <f>'Reserve Bank'!E56-'Check RB Past'!E56</f>
        <v>0</v>
      </c>
      <c r="R56" s="114">
        <f>'Reserve Bank'!F56-'Check RB Past'!F56</f>
        <v>0</v>
      </c>
      <c r="S56" s="114">
        <f>'Reserve Bank'!G56-'Check RB Past'!G56</f>
        <v>0</v>
      </c>
      <c r="T56" s="114">
        <f>'Reserve Bank'!H56-'Check RB Past'!H56</f>
        <v>0</v>
      </c>
      <c r="U56" s="114">
        <f>'Reserve Bank'!I56-'Check RB Past'!I56</f>
        <v>0</v>
      </c>
      <c r="V56" s="1"/>
      <c r="W56" s="1"/>
      <c r="X56" s="1"/>
      <c r="Y56" s="1"/>
      <c r="Z56" s="1"/>
      <c r="AA56" s="1"/>
      <c r="AB56" s="1"/>
      <c r="AC56" s="1"/>
    </row>
    <row r="57" spans="1:29" s="14" customFormat="1" ht="12.75" customHeight="1" x14ac:dyDescent="0.2">
      <c r="A57" s="89">
        <v>38018</v>
      </c>
      <c r="B57" s="114">
        <v>1904</v>
      </c>
      <c r="C57" s="114">
        <v>2425</v>
      </c>
      <c r="D57" s="114">
        <v>4329</v>
      </c>
      <c r="E57" s="114">
        <v>1346</v>
      </c>
      <c r="F57" s="114">
        <v>5675</v>
      </c>
      <c r="G57" s="114">
        <v>3521</v>
      </c>
      <c r="H57" s="114">
        <v>9196</v>
      </c>
      <c r="I57" s="120">
        <v>720</v>
      </c>
      <c r="J57" s="20"/>
      <c r="K57" s="69"/>
      <c r="L57" s="69"/>
      <c r="M57" s="89">
        <v>38018</v>
      </c>
      <c r="N57" s="114">
        <f>'Reserve Bank'!B57-'Check RB Past'!B57</f>
        <v>0</v>
      </c>
      <c r="O57" s="114">
        <f>'Reserve Bank'!C57-'Check RB Past'!C57</f>
        <v>0</v>
      </c>
      <c r="P57" s="114">
        <f>'Reserve Bank'!D57-'Check RB Past'!D57</f>
        <v>0</v>
      </c>
      <c r="Q57" s="114">
        <f>'Reserve Bank'!E57-'Check RB Past'!E57</f>
        <v>0</v>
      </c>
      <c r="R57" s="114">
        <f>'Reserve Bank'!F57-'Check RB Past'!F57</f>
        <v>0</v>
      </c>
      <c r="S57" s="114">
        <f>'Reserve Bank'!G57-'Check RB Past'!G57</f>
        <v>0</v>
      </c>
      <c r="T57" s="114">
        <f>'Reserve Bank'!H57-'Check RB Past'!H57</f>
        <v>0</v>
      </c>
      <c r="U57" s="114">
        <f>'Reserve Bank'!I57-'Check RB Past'!I57</f>
        <v>0</v>
      </c>
      <c r="V57" s="1"/>
      <c r="W57" s="1"/>
      <c r="X57" s="1"/>
      <c r="Y57" s="1"/>
      <c r="Z57" s="1"/>
      <c r="AA57" s="1"/>
      <c r="AB57" s="1"/>
      <c r="AC57" s="1"/>
    </row>
    <row r="58" spans="1:29" s="14" customFormat="1" ht="12.75" customHeight="1" x14ac:dyDescent="0.2">
      <c r="A58" s="89">
        <v>38047</v>
      </c>
      <c r="B58" s="114">
        <v>1788</v>
      </c>
      <c r="C58" s="114">
        <v>3248</v>
      </c>
      <c r="D58" s="114">
        <v>5036</v>
      </c>
      <c r="E58" s="114">
        <v>1660</v>
      </c>
      <c r="F58" s="114">
        <v>6696</v>
      </c>
      <c r="G58" s="114">
        <v>3397</v>
      </c>
      <c r="H58" s="114">
        <v>10093</v>
      </c>
      <c r="I58" s="120">
        <v>630</v>
      </c>
      <c r="J58" s="20"/>
      <c r="K58" s="69"/>
      <c r="L58" s="69"/>
      <c r="M58" s="89">
        <v>38047</v>
      </c>
      <c r="N58" s="114">
        <f>'Reserve Bank'!B58-'Check RB Past'!B58</f>
        <v>0</v>
      </c>
      <c r="O58" s="114">
        <f>'Reserve Bank'!C58-'Check RB Past'!C58</f>
        <v>0</v>
      </c>
      <c r="P58" s="114">
        <f>'Reserve Bank'!D58-'Check RB Past'!D58</f>
        <v>0</v>
      </c>
      <c r="Q58" s="114">
        <f>'Reserve Bank'!E58-'Check RB Past'!E58</f>
        <v>0</v>
      </c>
      <c r="R58" s="114">
        <f>'Reserve Bank'!F58-'Check RB Past'!F58</f>
        <v>0</v>
      </c>
      <c r="S58" s="114">
        <f>'Reserve Bank'!G58-'Check RB Past'!G58</f>
        <v>0</v>
      </c>
      <c r="T58" s="114">
        <f>'Reserve Bank'!H58-'Check RB Past'!H58</f>
        <v>0</v>
      </c>
      <c r="U58" s="114">
        <f>'Reserve Bank'!I58-'Check RB Past'!I58</f>
        <v>0</v>
      </c>
      <c r="V58" s="1"/>
      <c r="W58" s="1"/>
      <c r="X58" s="1"/>
      <c r="Y58" s="1"/>
      <c r="Z58" s="1"/>
      <c r="AA58" s="1"/>
      <c r="AB58" s="1"/>
      <c r="AC58" s="1"/>
    </row>
    <row r="59" spans="1:29" s="14" customFormat="1" ht="12.75" customHeight="1" x14ac:dyDescent="0.2">
      <c r="A59" s="89">
        <v>38078</v>
      </c>
      <c r="B59" s="114">
        <v>1616</v>
      </c>
      <c r="C59" s="114">
        <v>1505</v>
      </c>
      <c r="D59" s="114">
        <v>3121</v>
      </c>
      <c r="E59" s="114">
        <v>2110</v>
      </c>
      <c r="F59" s="114">
        <v>5231</v>
      </c>
      <c r="G59" s="114">
        <v>4115</v>
      </c>
      <c r="H59" s="114">
        <v>9346</v>
      </c>
      <c r="I59" s="120">
        <v>343</v>
      </c>
      <c r="J59" s="20"/>
      <c r="K59" s="69"/>
      <c r="L59" s="69"/>
      <c r="M59" s="89">
        <v>38078</v>
      </c>
      <c r="N59" s="114">
        <f>'Reserve Bank'!B59-'Check RB Past'!B59</f>
        <v>0</v>
      </c>
      <c r="O59" s="114">
        <f>'Reserve Bank'!C59-'Check RB Past'!C59</f>
        <v>0</v>
      </c>
      <c r="P59" s="114">
        <f>'Reserve Bank'!D59-'Check RB Past'!D59</f>
        <v>0</v>
      </c>
      <c r="Q59" s="114">
        <f>'Reserve Bank'!E59-'Check RB Past'!E59</f>
        <v>0</v>
      </c>
      <c r="R59" s="114">
        <f>'Reserve Bank'!F59-'Check RB Past'!F59</f>
        <v>0</v>
      </c>
      <c r="S59" s="114">
        <f>'Reserve Bank'!G59-'Check RB Past'!G59</f>
        <v>0</v>
      </c>
      <c r="T59" s="114">
        <f>'Reserve Bank'!H59-'Check RB Past'!H59</f>
        <v>0</v>
      </c>
      <c r="U59" s="114">
        <f>'Reserve Bank'!I59-'Check RB Past'!I59</f>
        <v>0</v>
      </c>
      <c r="V59" s="1"/>
      <c r="W59" s="1"/>
      <c r="X59" s="1"/>
      <c r="Y59" s="1"/>
      <c r="Z59" s="1"/>
      <c r="AA59" s="1"/>
      <c r="AB59" s="1"/>
      <c r="AC59" s="1"/>
    </row>
    <row r="60" spans="1:29" s="14" customFormat="1" ht="12.75" customHeight="1" x14ac:dyDescent="0.2">
      <c r="A60" s="89">
        <v>38108</v>
      </c>
      <c r="B60" s="114">
        <v>1820</v>
      </c>
      <c r="C60" s="114">
        <v>231</v>
      </c>
      <c r="D60" s="114">
        <v>2051</v>
      </c>
      <c r="E60" s="114">
        <v>1960</v>
      </c>
      <c r="F60" s="114">
        <v>4011</v>
      </c>
      <c r="G60" s="114">
        <v>3888</v>
      </c>
      <c r="H60" s="114">
        <v>7899</v>
      </c>
      <c r="I60" s="120">
        <v>308</v>
      </c>
      <c r="J60" s="20"/>
      <c r="K60" s="69"/>
      <c r="L60" s="69"/>
      <c r="M60" s="89">
        <v>38108</v>
      </c>
      <c r="N60" s="114">
        <f>'Reserve Bank'!B60-'Check RB Past'!B60</f>
        <v>0</v>
      </c>
      <c r="O60" s="114">
        <f>'Reserve Bank'!C60-'Check RB Past'!C60</f>
        <v>0</v>
      </c>
      <c r="P60" s="114">
        <f>'Reserve Bank'!D60-'Check RB Past'!D60</f>
        <v>0</v>
      </c>
      <c r="Q60" s="114">
        <f>'Reserve Bank'!E60-'Check RB Past'!E60</f>
        <v>0</v>
      </c>
      <c r="R60" s="114">
        <f>'Reserve Bank'!F60-'Check RB Past'!F60</f>
        <v>0</v>
      </c>
      <c r="S60" s="114">
        <f>'Reserve Bank'!G60-'Check RB Past'!G60</f>
        <v>0</v>
      </c>
      <c r="T60" s="114">
        <f>'Reserve Bank'!H60-'Check RB Past'!H60</f>
        <v>0</v>
      </c>
      <c r="U60" s="114">
        <f>'Reserve Bank'!I60-'Check RB Past'!I60</f>
        <v>0</v>
      </c>
      <c r="V60" s="1"/>
      <c r="W60" s="1"/>
      <c r="X60" s="1"/>
      <c r="Y60" s="1"/>
      <c r="Z60" s="1"/>
      <c r="AA60" s="1"/>
      <c r="AB60" s="1"/>
      <c r="AC60" s="1"/>
    </row>
    <row r="61" spans="1:29" s="14" customFormat="1" ht="12.75" customHeight="1" x14ac:dyDescent="0.2">
      <c r="A61" s="89">
        <v>38139</v>
      </c>
      <c r="B61" s="114">
        <v>1520</v>
      </c>
      <c r="C61" s="114">
        <v>98</v>
      </c>
      <c r="D61" s="114">
        <v>1618</v>
      </c>
      <c r="E61" s="114">
        <v>2215</v>
      </c>
      <c r="F61" s="114">
        <v>3833</v>
      </c>
      <c r="G61" s="114">
        <v>3451</v>
      </c>
      <c r="H61" s="114">
        <v>7284</v>
      </c>
      <c r="I61" s="120">
        <v>273</v>
      </c>
      <c r="J61" s="20"/>
      <c r="K61" s="69"/>
      <c r="L61" s="69"/>
      <c r="M61" s="89">
        <v>38139</v>
      </c>
      <c r="N61" s="114">
        <f>'Reserve Bank'!B61-'Check RB Past'!B61</f>
        <v>0</v>
      </c>
      <c r="O61" s="114">
        <f>'Reserve Bank'!C61-'Check RB Past'!C61</f>
        <v>0</v>
      </c>
      <c r="P61" s="114">
        <f>'Reserve Bank'!D61-'Check RB Past'!D61</f>
        <v>0</v>
      </c>
      <c r="Q61" s="114">
        <f>'Reserve Bank'!E61-'Check RB Past'!E61</f>
        <v>0</v>
      </c>
      <c r="R61" s="114">
        <f>'Reserve Bank'!F61-'Check RB Past'!F61</f>
        <v>0</v>
      </c>
      <c r="S61" s="114">
        <f>'Reserve Bank'!G61-'Check RB Past'!G61</f>
        <v>0</v>
      </c>
      <c r="T61" s="114">
        <f>'Reserve Bank'!H61-'Check RB Past'!H61</f>
        <v>0</v>
      </c>
      <c r="U61" s="114">
        <f>'Reserve Bank'!I61-'Check RB Past'!I61</f>
        <v>0</v>
      </c>
      <c r="V61" s="1"/>
      <c r="W61" s="1"/>
      <c r="X61" s="1"/>
      <c r="Y61" s="1"/>
      <c r="Z61" s="1"/>
      <c r="AA61" s="1"/>
      <c r="AB61" s="1"/>
      <c r="AC61" s="1"/>
    </row>
    <row r="62" spans="1:29" s="14" customFormat="1" ht="12.75" customHeight="1" x14ac:dyDescent="0.2">
      <c r="A62" s="89">
        <v>38169</v>
      </c>
      <c r="B62" s="114">
        <v>1310</v>
      </c>
      <c r="C62" s="114">
        <v>1008</v>
      </c>
      <c r="D62" s="114">
        <v>2318</v>
      </c>
      <c r="E62" s="114">
        <v>2416</v>
      </c>
      <c r="F62" s="114">
        <v>4734</v>
      </c>
      <c r="G62" s="114">
        <v>3135</v>
      </c>
      <c r="H62" s="114">
        <v>7869</v>
      </c>
      <c r="I62" s="120">
        <v>354</v>
      </c>
      <c r="J62" s="20"/>
      <c r="K62" s="69"/>
      <c r="L62" s="69"/>
      <c r="M62" s="89">
        <v>38169</v>
      </c>
      <c r="N62" s="114">
        <f>'Reserve Bank'!B62-'Check RB Past'!B62</f>
        <v>0</v>
      </c>
      <c r="O62" s="114">
        <f>'Reserve Bank'!C62-'Check RB Past'!C62</f>
        <v>0</v>
      </c>
      <c r="P62" s="114">
        <f>'Reserve Bank'!D62-'Check RB Past'!D62</f>
        <v>0</v>
      </c>
      <c r="Q62" s="114">
        <f>'Reserve Bank'!E62-'Check RB Past'!E62</f>
        <v>0</v>
      </c>
      <c r="R62" s="114">
        <f>'Reserve Bank'!F62-'Check RB Past'!F62</f>
        <v>0</v>
      </c>
      <c r="S62" s="114">
        <f>'Reserve Bank'!G62-'Check RB Past'!G62</f>
        <v>0</v>
      </c>
      <c r="T62" s="114">
        <f>'Reserve Bank'!H62-'Check RB Past'!H62</f>
        <v>0</v>
      </c>
      <c r="U62" s="114">
        <f>'Reserve Bank'!I62-'Check RB Past'!I62</f>
        <v>0</v>
      </c>
      <c r="V62" s="1"/>
      <c r="W62" s="1"/>
      <c r="X62" s="1"/>
      <c r="Y62" s="1"/>
      <c r="Z62" s="1"/>
      <c r="AA62" s="1"/>
      <c r="AB62" s="1"/>
      <c r="AC62" s="1"/>
    </row>
    <row r="63" spans="1:29" s="14" customFormat="1" ht="12.75" customHeight="1" x14ac:dyDescent="0.2">
      <c r="A63" s="89">
        <v>38200</v>
      </c>
      <c r="B63" s="114">
        <v>1172</v>
      </c>
      <c r="C63" s="114">
        <v>883</v>
      </c>
      <c r="D63" s="114">
        <v>2055</v>
      </c>
      <c r="E63" s="114">
        <v>2243</v>
      </c>
      <c r="F63" s="114">
        <v>4298</v>
      </c>
      <c r="G63" s="114">
        <v>3602</v>
      </c>
      <c r="H63" s="114">
        <v>7900</v>
      </c>
      <c r="I63" s="120">
        <v>339</v>
      </c>
      <c r="J63" s="20"/>
      <c r="K63" s="69"/>
      <c r="L63" s="69"/>
      <c r="M63" s="89">
        <v>38200</v>
      </c>
      <c r="N63" s="114">
        <f>'Reserve Bank'!B63-'Check RB Past'!B63</f>
        <v>0</v>
      </c>
      <c r="O63" s="114">
        <f>'Reserve Bank'!C63-'Check RB Past'!C63</f>
        <v>0</v>
      </c>
      <c r="P63" s="114">
        <f>'Reserve Bank'!D63-'Check RB Past'!D63</f>
        <v>0</v>
      </c>
      <c r="Q63" s="114">
        <f>'Reserve Bank'!E63-'Check RB Past'!E63</f>
        <v>0</v>
      </c>
      <c r="R63" s="114">
        <f>'Reserve Bank'!F63-'Check RB Past'!F63</f>
        <v>0</v>
      </c>
      <c r="S63" s="114">
        <f>'Reserve Bank'!G63-'Check RB Past'!G63</f>
        <v>0</v>
      </c>
      <c r="T63" s="114">
        <f>'Reserve Bank'!H63-'Check RB Past'!H63</f>
        <v>0</v>
      </c>
      <c r="U63" s="114">
        <f>'Reserve Bank'!I63-'Check RB Past'!I63</f>
        <v>0</v>
      </c>
      <c r="V63" s="1"/>
      <c r="W63" s="1"/>
      <c r="X63" s="1"/>
      <c r="Y63" s="1"/>
      <c r="Z63" s="1"/>
      <c r="AA63" s="1"/>
      <c r="AB63" s="1"/>
      <c r="AC63" s="1"/>
    </row>
    <row r="64" spans="1:29" s="14" customFormat="1" ht="12.75" customHeight="1" x14ac:dyDescent="0.2">
      <c r="A64" s="89">
        <v>38231</v>
      </c>
      <c r="B64" s="114">
        <v>1373</v>
      </c>
      <c r="C64" s="114">
        <v>1124</v>
      </c>
      <c r="D64" s="114">
        <v>2497</v>
      </c>
      <c r="E64" s="114">
        <v>2055</v>
      </c>
      <c r="F64" s="114">
        <v>4552</v>
      </c>
      <c r="G64" s="114">
        <v>3523</v>
      </c>
      <c r="H64" s="114">
        <v>8075</v>
      </c>
      <c r="I64" s="120">
        <v>480</v>
      </c>
      <c r="J64" s="20"/>
      <c r="K64" s="69"/>
      <c r="L64" s="69"/>
      <c r="M64" s="89">
        <v>38231</v>
      </c>
      <c r="N64" s="114">
        <f>'Reserve Bank'!B64-'Check RB Past'!B64</f>
        <v>0</v>
      </c>
      <c r="O64" s="114">
        <f>'Reserve Bank'!C64-'Check RB Past'!C64</f>
        <v>0</v>
      </c>
      <c r="P64" s="114">
        <f>'Reserve Bank'!D64-'Check RB Past'!D64</f>
        <v>0</v>
      </c>
      <c r="Q64" s="114">
        <f>'Reserve Bank'!E64-'Check RB Past'!E64</f>
        <v>0</v>
      </c>
      <c r="R64" s="114">
        <f>'Reserve Bank'!F64-'Check RB Past'!F64</f>
        <v>0</v>
      </c>
      <c r="S64" s="114">
        <f>'Reserve Bank'!G64-'Check RB Past'!G64</f>
        <v>0</v>
      </c>
      <c r="T64" s="114">
        <f>'Reserve Bank'!H64-'Check RB Past'!H64</f>
        <v>0</v>
      </c>
      <c r="U64" s="114">
        <f>'Reserve Bank'!I64-'Check RB Past'!I64</f>
        <v>0</v>
      </c>
      <c r="V64" s="1"/>
      <c r="W64" s="1"/>
      <c r="X64" s="1"/>
      <c r="Y64" s="1"/>
      <c r="Z64" s="1"/>
      <c r="AA64" s="1"/>
      <c r="AB64" s="1"/>
      <c r="AC64" s="1"/>
    </row>
    <row r="65" spans="1:29" s="14" customFormat="1" ht="12.75" customHeight="1" x14ac:dyDescent="0.2">
      <c r="A65" s="89">
        <v>38261</v>
      </c>
      <c r="B65" s="114">
        <v>1095</v>
      </c>
      <c r="C65" s="114">
        <v>1073</v>
      </c>
      <c r="D65" s="114">
        <v>2168</v>
      </c>
      <c r="E65" s="114">
        <v>2089</v>
      </c>
      <c r="F65" s="114">
        <v>4257</v>
      </c>
      <c r="G65" s="114">
        <v>4530</v>
      </c>
      <c r="H65" s="114">
        <v>8787</v>
      </c>
      <c r="I65" s="120">
        <v>547</v>
      </c>
      <c r="J65" s="20"/>
      <c r="K65" s="69"/>
      <c r="L65" s="69"/>
      <c r="M65" s="89">
        <v>38261</v>
      </c>
      <c r="N65" s="114">
        <f>'Reserve Bank'!B65-'Check RB Past'!B65</f>
        <v>0</v>
      </c>
      <c r="O65" s="114">
        <f>'Reserve Bank'!C65-'Check RB Past'!C65</f>
        <v>0</v>
      </c>
      <c r="P65" s="114">
        <f>'Reserve Bank'!D65-'Check RB Past'!D65</f>
        <v>0</v>
      </c>
      <c r="Q65" s="114">
        <f>'Reserve Bank'!E65-'Check RB Past'!E65</f>
        <v>0</v>
      </c>
      <c r="R65" s="114">
        <f>'Reserve Bank'!F65-'Check RB Past'!F65</f>
        <v>0</v>
      </c>
      <c r="S65" s="114">
        <f>'Reserve Bank'!G65-'Check RB Past'!G65</f>
        <v>0</v>
      </c>
      <c r="T65" s="114">
        <f>'Reserve Bank'!H65-'Check RB Past'!H65</f>
        <v>0</v>
      </c>
      <c r="U65" s="114">
        <f>'Reserve Bank'!I65-'Check RB Past'!I65</f>
        <v>0</v>
      </c>
      <c r="V65" s="1"/>
      <c r="W65" s="1"/>
      <c r="X65" s="1"/>
      <c r="Y65" s="1"/>
      <c r="Z65" s="1"/>
      <c r="AA65" s="1"/>
      <c r="AB65" s="1"/>
      <c r="AC65" s="1"/>
    </row>
    <row r="66" spans="1:29" s="14" customFormat="1" ht="12.75" customHeight="1" x14ac:dyDescent="0.2">
      <c r="A66" s="89">
        <v>38292</v>
      </c>
      <c r="B66" s="114">
        <v>1206</v>
      </c>
      <c r="C66" s="114">
        <v>1637</v>
      </c>
      <c r="D66" s="114">
        <v>2843</v>
      </c>
      <c r="E66" s="114">
        <v>1978</v>
      </c>
      <c r="F66" s="114">
        <v>4821</v>
      </c>
      <c r="G66" s="114">
        <v>5047</v>
      </c>
      <c r="H66" s="114">
        <v>9868</v>
      </c>
      <c r="I66" s="120">
        <v>540</v>
      </c>
      <c r="J66" s="20"/>
      <c r="K66" s="69"/>
      <c r="L66" s="69"/>
      <c r="M66" s="89">
        <v>38292</v>
      </c>
      <c r="N66" s="114">
        <f>'Reserve Bank'!B66-'Check RB Past'!B66</f>
        <v>0</v>
      </c>
      <c r="O66" s="114">
        <f>'Reserve Bank'!C66-'Check RB Past'!C66</f>
        <v>0</v>
      </c>
      <c r="P66" s="114">
        <f>'Reserve Bank'!D66-'Check RB Past'!D66</f>
        <v>0</v>
      </c>
      <c r="Q66" s="114">
        <f>'Reserve Bank'!E66-'Check RB Past'!E66</f>
        <v>0</v>
      </c>
      <c r="R66" s="114">
        <f>'Reserve Bank'!F66-'Check RB Past'!F66</f>
        <v>0</v>
      </c>
      <c r="S66" s="114">
        <f>'Reserve Bank'!G66-'Check RB Past'!G66</f>
        <v>0</v>
      </c>
      <c r="T66" s="114">
        <f>'Reserve Bank'!H66-'Check RB Past'!H66</f>
        <v>0</v>
      </c>
      <c r="U66" s="114">
        <f>'Reserve Bank'!I66-'Check RB Past'!I66</f>
        <v>0</v>
      </c>
      <c r="V66" s="1"/>
      <c r="W66" s="1"/>
      <c r="X66" s="1"/>
      <c r="Y66" s="1"/>
      <c r="Z66" s="1"/>
      <c r="AA66" s="1"/>
      <c r="AB66" s="1"/>
      <c r="AC66" s="1"/>
    </row>
    <row r="67" spans="1:29" s="14" customFormat="1" ht="12.75" customHeight="1" x14ac:dyDescent="0.2">
      <c r="A67" s="89">
        <v>38322</v>
      </c>
      <c r="B67" s="114">
        <v>1036</v>
      </c>
      <c r="C67" s="114">
        <v>1427</v>
      </c>
      <c r="D67" s="114">
        <v>2463</v>
      </c>
      <c r="E67" s="114">
        <v>2262</v>
      </c>
      <c r="F67" s="114">
        <v>4725</v>
      </c>
      <c r="G67" s="114">
        <v>4942</v>
      </c>
      <c r="H67" s="114">
        <v>9667</v>
      </c>
      <c r="I67" s="120">
        <v>630</v>
      </c>
      <c r="J67" s="20"/>
      <c r="K67" s="69"/>
      <c r="L67" s="69"/>
      <c r="M67" s="89">
        <v>38322</v>
      </c>
      <c r="N67" s="114">
        <f>'Reserve Bank'!B67-'Check RB Past'!B67</f>
        <v>0</v>
      </c>
      <c r="O67" s="114">
        <f>'Reserve Bank'!C67-'Check RB Past'!C67</f>
        <v>0</v>
      </c>
      <c r="P67" s="114">
        <f>'Reserve Bank'!D67-'Check RB Past'!D67</f>
        <v>0</v>
      </c>
      <c r="Q67" s="114">
        <f>'Reserve Bank'!E67-'Check RB Past'!E67</f>
        <v>0</v>
      </c>
      <c r="R67" s="114">
        <f>'Reserve Bank'!F67-'Check RB Past'!F67</f>
        <v>0</v>
      </c>
      <c r="S67" s="114">
        <f>'Reserve Bank'!G67-'Check RB Past'!G67</f>
        <v>0</v>
      </c>
      <c r="T67" s="114">
        <f>'Reserve Bank'!H67-'Check RB Past'!H67</f>
        <v>0</v>
      </c>
      <c r="U67" s="114">
        <f>'Reserve Bank'!I67-'Check RB Past'!I67</f>
        <v>0</v>
      </c>
      <c r="V67" s="1"/>
      <c r="W67" s="1"/>
      <c r="X67" s="1"/>
      <c r="Y67" s="1"/>
      <c r="Z67" s="1"/>
      <c r="AA67" s="1"/>
      <c r="AB67" s="1"/>
      <c r="AC67" s="1"/>
    </row>
    <row r="68" spans="1:29" s="14" customFormat="1" ht="12.75" customHeight="1" x14ac:dyDescent="0.2">
      <c r="A68" s="89">
        <v>38353</v>
      </c>
      <c r="B68" s="114">
        <v>747</v>
      </c>
      <c r="C68" s="114">
        <v>2206</v>
      </c>
      <c r="D68" s="114">
        <v>2953</v>
      </c>
      <c r="E68" s="114">
        <v>2499</v>
      </c>
      <c r="F68" s="114">
        <v>5452</v>
      </c>
      <c r="G68" s="114">
        <v>5116</v>
      </c>
      <c r="H68" s="114">
        <v>10568</v>
      </c>
      <c r="I68" s="120">
        <v>613</v>
      </c>
      <c r="J68" s="20"/>
      <c r="K68" s="69"/>
      <c r="L68" s="69"/>
      <c r="M68" s="89">
        <v>38353</v>
      </c>
      <c r="N68" s="114">
        <f>'Reserve Bank'!B68-'Check RB Past'!B68</f>
        <v>0</v>
      </c>
      <c r="O68" s="114">
        <f>'Reserve Bank'!C68-'Check RB Past'!C68</f>
        <v>0</v>
      </c>
      <c r="P68" s="114">
        <f>'Reserve Bank'!D68-'Check RB Past'!D68</f>
        <v>0</v>
      </c>
      <c r="Q68" s="114">
        <f>'Reserve Bank'!E68-'Check RB Past'!E68</f>
        <v>0</v>
      </c>
      <c r="R68" s="114">
        <f>'Reserve Bank'!F68-'Check RB Past'!F68</f>
        <v>0</v>
      </c>
      <c r="S68" s="114">
        <f>'Reserve Bank'!G68-'Check RB Past'!G68</f>
        <v>0</v>
      </c>
      <c r="T68" s="114">
        <f>'Reserve Bank'!H68-'Check RB Past'!H68</f>
        <v>0</v>
      </c>
      <c r="U68" s="114">
        <f>'Reserve Bank'!I68-'Check RB Past'!I68</f>
        <v>0</v>
      </c>
      <c r="V68" s="1"/>
      <c r="W68" s="1"/>
      <c r="X68" s="1"/>
      <c r="Y68" s="1"/>
      <c r="Z68" s="1"/>
      <c r="AA68" s="1"/>
      <c r="AB68" s="1"/>
      <c r="AC68" s="1"/>
    </row>
    <row r="69" spans="1:29" s="14" customFormat="1" ht="12.75" customHeight="1" x14ac:dyDescent="0.2">
      <c r="A69" s="89">
        <v>38384</v>
      </c>
      <c r="B69" s="114">
        <v>624</v>
      </c>
      <c r="C69" s="114">
        <v>159</v>
      </c>
      <c r="D69" s="114">
        <v>783</v>
      </c>
      <c r="E69" s="114">
        <v>2804</v>
      </c>
      <c r="F69" s="114">
        <v>3587</v>
      </c>
      <c r="G69" s="114">
        <v>4787</v>
      </c>
      <c r="H69" s="114">
        <v>8374</v>
      </c>
      <c r="I69" s="120">
        <v>647</v>
      </c>
      <c r="J69" s="20"/>
      <c r="K69" s="69"/>
      <c r="L69" s="69"/>
      <c r="M69" s="89">
        <v>38384</v>
      </c>
      <c r="N69" s="114">
        <f>'Reserve Bank'!B69-'Check RB Past'!B69</f>
        <v>0</v>
      </c>
      <c r="O69" s="114">
        <f>'Reserve Bank'!C69-'Check RB Past'!C69</f>
        <v>0</v>
      </c>
      <c r="P69" s="114">
        <f>'Reserve Bank'!D69-'Check RB Past'!D69</f>
        <v>0</v>
      </c>
      <c r="Q69" s="114">
        <f>'Reserve Bank'!E69-'Check RB Past'!E69</f>
        <v>0</v>
      </c>
      <c r="R69" s="114">
        <f>'Reserve Bank'!F69-'Check RB Past'!F69</f>
        <v>0</v>
      </c>
      <c r="S69" s="114">
        <f>'Reserve Bank'!G69-'Check RB Past'!G69</f>
        <v>0</v>
      </c>
      <c r="T69" s="114">
        <f>'Reserve Bank'!H69-'Check RB Past'!H69</f>
        <v>0</v>
      </c>
      <c r="U69" s="114">
        <f>'Reserve Bank'!I69-'Check RB Past'!I69</f>
        <v>0</v>
      </c>
      <c r="V69" s="1"/>
      <c r="W69" s="1"/>
      <c r="X69" s="1"/>
      <c r="Y69" s="1"/>
      <c r="Z69" s="1"/>
      <c r="AA69" s="1"/>
      <c r="AB69" s="1"/>
      <c r="AC69" s="1"/>
    </row>
    <row r="70" spans="1:29" s="14" customFormat="1" ht="12.75" customHeight="1" x14ac:dyDescent="0.2">
      <c r="A70" s="89">
        <v>38412</v>
      </c>
      <c r="B70" s="114">
        <v>949</v>
      </c>
      <c r="C70" s="114">
        <v>752</v>
      </c>
      <c r="D70" s="114">
        <v>1701</v>
      </c>
      <c r="E70" s="114">
        <v>2644</v>
      </c>
      <c r="F70" s="114">
        <v>4345</v>
      </c>
      <c r="G70" s="114">
        <v>4482</v>
      </c>
      <c r="H70" s="114">
        <v>8827</v>
      </c>
      <c r="I70" s="120">
        <v>589</v>
      </c>
      <c r="J70" s="20"/>
      <c r="K70" s="69"/>
      <c r="L70" s="69"/>
      <c r="M70" s="89">
        <v>38412</v>
      </c>
      <c r="N70" s="114">
        <f>'Reserve Bank'!B70-'Check RB Past'!B70</f>
        <v>0</v>
      </c>
      <c r="O70" s="114">
        <f>'Reserve Bank'!C70-'Check RB Past'!C70</f>
        <v>0</v>
      </c>
      <c r="P70" s="114">
        <f>'Reserve Bank'!D70-'Check RB Past'!D70</f>
        <v>0</v>
      </c>
      <c r="Q70" s="114">
        <f>'Reserve Bank'!E70-'Check RB Past'!E70</f>
        <v>0</v>
      </c>
      <c r="R70" s="114">
        <f>'Reserve Bank'!F70-'Check RB Past'!F70</f>
        <v>0</v>
      </c>
      <c r="S70" s="114">
        <f>'Reserve Bank'!G70-'Check RB Past'!G70</f>
        <v>0</v>
      </c>
      <c r="T70" s="114">
        <f>'Reserve Bank'!H70-'Check RB Past'!H70</f>
        <v>0</v>
      </c>
      <c r="U70" s="114">
        <f>'Reserve Bank'!I70-'Check RB Past'!I70</f>
        <v>0</v>
      </c>
      <c r="V70" s="1"/>
      <c r="W70" s="1"/>
      <c r="X70" s="1"/>
      <c r="Y70" s="1"/>
      <c r="Z70" s="1"/>
      <c r="AA70" s="1"/>
      <c r="AB70" s="1"/>
      <c r="AC70" s="1"/>
    </row>
    <row r="71" spans="1:29" s="14" customFormat="1" ht="12.75" customHeight="1" x14ac:dyDescent="0.2">
      <c r="A71" s="89">
        <v>38443</v>
      </c>
      <c r="B71" s="114">
        <v>1311</v>
      </c>
      <c r="C71" s="114">
        <v>2710</v>
      </c>
      <c r="D71" s="114">
        <v>4021</v>
      </c>
      <c r="E71" s="114">
        <v>2348</v>
      </c>
      <c r="F71" s="114">
        <v>6369</v>
      </c>
      <c r="G71" s="114">
        <v>4381</v>
      </c>
      <c r="H71" s="114">
        <v>10750</v>
      </c>
      <c r="I71" s="120">
        <v>690</v>
      </c>
      <c r="J71" s="20"/>
      <c r="K71" s="69"/>
      <c r="L71" s="69"/>
      <c r="M71" s="89">
        <v>38443</v>
      </c>
      <c r="N71" s="114">
        <f>'Reserve Bank'!B71-'Check RB Past'!B71</f>
        <v>0</v>
      </c>
      <c r="O71" s="114">
        <f>'Reserve Bank'!C71-'Check RB Past'!C71</f>
        <v>0</v>
      </c>
      <c r="P71" s="114">
        <f>'Reserve Bank'!D71-'Check RB Past'!D71</f>
        <v>0</v>
      </c>
      <c r="Q71" s="114">
        <f>'Reserve Bank'!E71-'Check RB Past'!E71</f>
        <v>0</v>
      </c>
      <c r="R71" s="114">
        <f>'Reserve Bank'!F71-'Check RB Past'!F71</f>
        <v>0</v>
      </c>
      <c r="S71" s="114">
        <f>'Reserve Bank'!G71-'Check RB Past'!G71</f>
        <v>0</v>
      </c>
      <c r="T71" s="114">
        <f>'Reserve Bank'!H71-'Check RB Past'!H71</f>
        <v>0</v>
      </c>
      <c r="U71" s="114">
        <f>'Reserve Bank'!I71-'Check RB Past'!I71</f>
        <v>0</v>
      </c>
      <c r="V71" s="1"/>
      <c r="W71" s="1"/>
      <c r="X71" s="1"/>
      <c r="Y71" s="1"/>
      <c r="Z71" s="1"/>
      <c r="AA71" s="1"/>
      <c r="AB71" s="1"/>
      <c r="AC71" s="1"/>
    </row>
    <row r="72" spans="1:29" s="14" customFormat="1" ht="12.75" customHeight="1" x14ac:dyDescent="0.2">
      <c r="A72" s="89">
        <v>38473</v>
      </c>
      <c r="B72" s="114">
        <v>703</v>
      </c>
      <c r="C72" s="114">
        <v>1667</v>
      </c>
      <c r="D72" s="114">
        <v>2370</v>
      </c>
      <c r="E72" s="114">
        <v>3046</v>
      </c>
      <c r="F72" s="114">
        <v>5416</v>
      </c>
      <c r="G72" s="114">
        <v>5042</v>
      </c>
      <c r="H72" s="114">
        <v>10458</v>
      </c>
      <c r="I72" s="120">
        <v>568</v>
      </c>
      <c r="J72" s="20"/>
      <c r="K72" s="69"/>
      <c r="L72" s="69"/>
      <c r="M72" s="89">
        <v>38473</v>
      </c>
      <c r="N72" s="114">
        <f>'Reserve Bank'!B72-'Check RB Past'!B72</f>
        <v>0</v>
      </c>
      <c r="O72" s="114">
        <f>'Reserve Bank'!C72-'Check RB Past'!C72</f>
        <v>0</v>
      </c>
      <c r="P72" s="114">
        <f>'Reserve Bank'!D72-'Check RB Past'!D72</f>
        <v>0</v>
      </c>
      <c r="Q72" s="114">
        <f>'Reserve Bank'!E72-'Check RB Past'!E72</f>
        <v>0</v>
      </c>
      <c r="R72" s="114">
        <f>'Reserve Bank'!F72-'Check RB Past'!F72</f>
        <v>0</v>
      </c>
      <c r="S72" s="114">
        <f>'Reserve Bank'!G72-'Check RB Past'!G72</f>
        <v>0</v>
      </c>
      <c r="T72" s="114">
        <f>'Reserve Bank'!H72-'Check RB Past'!H72</f>
        <v>0</v>
      </c>
      <c r="U72" s="114">
        <f>'Reserve Bank'!I72-'Check RB Past'!I72</f>
        <v>0</v>
      </c>
      <c r="V72" s="1"/>
      <c r="W72" s="1"/>
      <c r="X72" s="1"/>
      <c r="Y72" s="1"/>
      <c r="Z72" s="1"/>
      <c r="AA72" s="1"/>
      <c r="AB72" s="1"/>
      <c r="AC72" s="1"/>
    </row>
    <row r="73" spans="1:29" s="14" customFormat="1" ht="12.75" customHeight="1" x14ac:dyDescent="0.2">
      <c r="A73" s="89">
        <v>38504</v>
      </c>
      <c r="B73" s="114">
        <v>929</v>
      </c>
      <c r="C73" s="114">
        <v>773</v>
      </c>
      <c r="D73" s="114">
        <v>1702</v>
      </c>
      <c r="E73" s="114">
        <v>3030</v>
      </c>
      <c r="F73" s="114">
        <v>4732</v>
      </c>
      <c r="G73" s="114">
        <v>5668</v>
      </c>
      <c r="H73" s="114">
        <v>10400</v>
      </c>
      <c r="I73" s="120">
        <v>608</v>
      </c>
      <c r="J73" s="20"/>
      <c r="K73" s="69"/>
      <c r="L73" s="69"/>
      <c r="M73" s="89">
        <v>38504</v>
      </c>
      <c r="N73" s="114">
        <f>'Reserve Bank'!B73-'Check RB Past'!B73</f>
        <v>0</v>
      </c>
      <c r="O73" s="114">
        <f>'Reserve Bank'!C73-'Check RB Past'!C73</f>
        <v>0</v>
      </c>
      <c r="P73" s="114">
        <f>'Reserve Bank'!D73-'Check RB Past'!D73</f>
        <v>0</v>
      </c>
      <c r="Q73" s="114">
        <f>'Reserve Bank'!E73-'Check RB Past'!E73</f>
        <v>0</v>
      </c>
      <c r="R73" s="114">
        <f>'Reserve Bank'!F73-'Check RB Past'!F73</f>
        <v>0</v>
      </c>
      <c r="S73" s="114">
        <f>'Reserve Bank'!G73-'Check RB Past'!G73</f>
        <v>0</v>
      </c>
      <c r="T73" s="114">
        <f>'Reserve Bank'!H73-'Check RB Past'!H73</f>
        <v>0</v>
      </c>
      <c r="U73" s="114">
        <f>'Reserve Bank'!I73-'Check RB Past'!I73</f>
        <v>0</v>
      </c>
      <c r="V73" s="1"/>
      <c r="W73" s="1"/>
      <c r="X73" s="1"/>
      <c r="Y73" s="1"/>
      <c r="Z73" s="1"/>
      <c r="AA73" s="1"/>
      <c r="AB73" s="1"/>
      <c r="AC73" s="1"/>
    </row>
    <row r="74" spans="1:29" s="14" customFormat="1" ht="12.75" customHeight="1" x14ac:dyDescent="0.2">
      <c r="A74" s="89">
        <v>38534</v>
      </c>
      <c r="B74" s="114">
        <v>1246</v>
      </c>
      <c r="C74" s="114">
        <v>1722</v>
      </c>
      <c r="D74" s="114">
        <v>2968</v>
      </c>
      <c r="E74" s="114">
        <v>2745</v>
      </c>
      <c r="F74" s="114">
        <v>5713</v>
      </c>
      <c r="G74" s="114">
        <v>5451</v>
      </c>
      <c r="H74" s="114">
        <v>11164</v>
      </c>
      <c r="I74" s="120">
        <v>508</v>
      </c>
      <c r="J74" s="20"/>
      <c r="K74" s="69"/>
      <c r="L74" s="69"/>
      <c r="M74" s="89">
        <v>38534</v>
      </c>
      <c r="N74" s="114">
        <f>'Reserve Bank'!B74-'Check RB Past'!B74</f>
        <v>0</v>
      </c>
      <c r="O74" s="114">
        <f>'Reserve Bank'!C74-'Check RB Past'!C74</f>
        <v>0</v>
      </c>
      <c r="P74" s="114">
        <f>'Reserve Bank'!D74-'Check RB Past'!D74</f>
        <v>0</v>
      </c>
      <c r="Q74" s="114">
        <f>'Reserve Bank'!E74-'Check RB Past'!E74</f>
        <v>0</v>
      </c>
      <c r="R74" s="114">
        <f>'Reserve Bank'!F74-'Check RB Past'!F74</f>
        <v>0</v>
      </c>
      <c r="S74" s="114">
        <f>'Reserve Bank'!G74-'Check RB Past'!G74</f>
        <v>0</v>
      </c>
      <c r="T74" s="114">
        <f>'Reserve Bank'!H74-'Check RB Past'!H74</f>
        <v>0</v>
      </c>
      <c r="U74" s="114">
        <f>'Reserve Bank'!I74-'Check RB Past'!I74</f>
        <v>0</v>
      </c>
      <c r="V74" s="1"/>
      <c r="W74" s="1"/>
      <c r="X74" s="1"/>
      <c r="Y74" s="1"/>
      <c r="Z74" s="1"/>
      <c r="AA74" s="1"/>
      <c r="AB74" s="1"/>
      <c r="AC74" s="1"/>
    </row>
    <row r="75" spans="1:29" s="14" customFormat="1" ht="12.75" customHeight="1" x14ac:dyDescent="0.2">
      <c r="A75" s="89">
        <v>38565</v>
      </c>
      <c r="B75" s="114">
        <v>968</v>
      </c>
      <c r="C75" s="114">
        <v>1670</v>
      </c>
      <c r="D75" s="114">
        <v>2638</v>
      </c>
      <c r="E75" s="114">
        <v>2946</v>
      </c>
      <c r="F75" s="114">
        <v>5584</v>
      </c>
      <c r="G75" s="114">
        <v>5747</v>
      </c>
      <c r="H75" s="114">
        <v>11331</v>
      </c>
      <c r="I75" s="120">
        <v>515</v>
      </c>
      <c r="J75" s="20"/>
      <c r="K75" s="69"/>
      <c r="L75" s="69"/>
      <c r="M75" s="89">
        <v>38565</v>
      </c>
      <c r="N75" s="114">
        <f>'Reserve Bank'!B75-'Check RB Past'!B75</f>
        <v>0</v>
      </c>
      <c r="O75" s="114">
        <f>'Reserve Bank'!C75-'Check RB Past'!C75</f>
        <v>0</v>
      </c>
      <c r="P75" s="114">
        <f>'Reserve Bank'!D75-'Check RB Past'!D75</f>
        <v>0</v>
      </c>
      <c r="Q75" s="114">
        <f>'Reserve Bank'!E75-'Check RB Past'!E75</f>
        <v>0</v>
      </c>
      <c r="R75" s="114">
        <f>'Reserve Bank'!F75-'Check RB Past'!F75</f>
        <v>0</v>
      </c>
      <c r="S75" s="114">
        <f>'Reserve Bank'!G75-'Check RB Past'!G75</f>
        <v>0</v>
      </c>
      <c r="T75" s="114">
        <f>'Reserve Bank'!H75-'Check RB Past'!H75</f>
        <v>0</v>
      </c>
      <c r="U75" s="114">
        <f>'Reserve Bank'!I75-'Check RB Past'!I75</f>
        <v>0</v>
      </c>
      <c r="V75" s="1"/>
      <c r="W75" s="1"/>
      <c r="X75" s="1"/>
      <c r="Y75" s="1"/>
      <c r="Z75" s="1"/>
      <c r="AA75" s="1"/>
      <c r="AB75" s="1"/>
      <c r="AC75" s="1"/>
    </row>
    <row r="76" spans="1:29" s="14" customFormat="1" ht="12.75" customHeight="1" x14ac:dyDescent="0.2">
      <c r="A76" s="89">
        <v>38596</v>
      </c>
      <c r="B76" s="118">
        <v>2017</v>
      </c>
      <c r="C76" s="118">
        <v>16</v>
      </c>
      <c r="D76" s="119">
        <v>2033</v>
      </c>
      <c r="E76" s="119">
        <v>2979</v>
      </c>
      <c r="F76" s="119">
        <v>5012</v>
      </c>
      <c r="G76" s="119">
        <v>5703</v>
      </c>
      <c r="H76" s="119">
        <v>10715</v>
      </c>
      <c r="I76" s="118">
        <v>713</v>
      </c>
      <c r="J76" s="20"/>
      <c r="K76" s="69"/>
      <c r="L76" s="69"/>
      <c r="M76" s="89">
        <v>38596</v>
      </c>
      <c r="N76" s="114">
        <f>'Reserve Bank'!B76-'Check RB Past'!B76</f>
        <v>0</v>
      </c>
      <c r="O76" s="114">
        <f>'Reserve Bank'!C76-'Check RB Past'!C76</f>
        <v>0</v>
      </c>
      <c r="P76" s="114">
        <f>'Reserve Bank'!D76-'Check RB Past'!D76</f>
        <v>0</v>
      </c>
      <c r="Q76" s="114">
        <f>'Reserve Bank'!E76-'Check RB Past'!E76</f>
        <v>0</v>
      </c>
      <c r="R76" s="114">
        <f>'Reserve Bank'!F76-'Check RB Past'!F76</f>
        <v>0</v>
      </c>
      <c r="S76" s="114">
        <f>'Reserve Bank'!G76-'Check RB Past'!G76</f>
        <v>0</v>
      </c>
      <c r="T76" s="114">
        <f>'Reserve Bank'!H76-'Check RB Past'!H76</f>
        <v>0</v>
      </c>
      <c r="U76" s="114">
        <f>'Reserve Bank'!I76-'Check RB Past'!I76</f>
        <v>0</v>
      </c>
      <c r="V76" s="1"/>
      <c r="W76" s="1"/>
      <c r="X76" s="1"/>
      <c r="Y76" s="1"/>
      <c r="Z76" s="1"/>
      <c r="AA76" s="1"/>
      <c r="AB76" s="1"/>
      <c r="AC76" s="1"/>
    </row>
    <row r="77" spans="1:29" s="14" customFormat="1" ht="12.75" customHeight="1" x14ac:dyDescent="0.2">
      <c r="A77" s="89">
        <v>38626</v>
      </c>
      <c r="B77" s="118">
        <v>2427</v>
      </c>
      <c r="C77" s="118">
        <v>108</v>
      </c>
      <c r="D77" s="119">
        <v>2535</v>
      </c>
      <c r="E77" s="119">
        <v>3289</v>
      </c>
      <c r="F77" s="119">
        <v>5824</v>
      </c>
      <c r="G77" s="119">
        <v>5985</v>
      </c>
      <c r="H77" s="119">
        <v>11809</v>
      </c>
      <c r="I77" s="118">
        <v>836</v>
      </c>
      <c r="J77" s="20"/>
      <c r="K77" s="69"/>
      <c r="L77" s="69"/>
      <c r="M77" s="89">
        <v>38626</v>
      </c>
      <c r="N77" s="114">
        <f>'Reserve Bank'!B77-'Check RB Past'!B77</f>
        <v>0</v>
      </c>
      <c r="O77" s="114">
        <f>'Reserve Bank'!C77-'Check RB Past'!C77</f>
        <v>0</v>
      </c>
      <c r="P77" s="114">
        <f>'Reserve Bank'!D77-'Check RB Past'!D77</f>
        <v>0</v>
      </c>
      <c r="Q77" s="114">
        <f>'Reserve Bank'!E77-'Check RB Past'!E77</f>
        <v>0</v>
      </c>
      <c r="R77" s="114">
        <f>'Reserve Bank'!F77-'Check RB Past'!F77</f>
        <v>0</v>
      </c>
      <c r="S77" s="114">
        <f>'Reserve Bank'!G77-'Check RB Past'!G77</f>
        <v>0</v>
      </c>
      <c r="T77" s="114">
        <f>'Reserve Bank'!H77-'Check RB Past'!H77</f>
        <v>0</v>
      </c>
      <c r="U77" s="114">
        <f>'Reserve Bank'!I77-'Check RB Past'!I77</f>
        <v>0</v>
      </c>
      <c r="V77" s="1"/>
      <c r="W77" s="1"/>
      <c r="X77" s="1"/>
      <c r="Y77" s="1"/>
      <c r="Z77" s="1"/>
      <c r="AA77" s="1"/>
      <c r="AB77" s="1"/>
      <c r="AC77" s="1"/>
    </row>
    <row r="78" spans="1:29" s="14" customFormat="1" ht="12.75" customHeight="1" x14ac:dyDescent="0.2">
      <c r="A78" s="89">
        <v>38657</v>
      </c>
      <c r="B78" s="118">
        <v>2436</v>
      </c>
      <c r="C78" s="118">
        <v>115</v>
      </c>
      <c r="D78" s="119">
        <v>2551</v>
      </c>
      <c r="E78" s="119">
        <v>4475</v>
      </c>
      <c r="F78" s="119">
        <v>7026</v>
      </c>
      <c r="G78" s="119">
        <v>6093</v>
      </c>
      <c r="H78" s="119">
        <v>13119</v>
      </c>
      <c r="I78" s="118">
        <v>913</v>
      </c>
      <c r="J78" s="20"/>
      <c r="K78" s="69"/>
      <c r="L78" s="69"/>
      <c r="M78" s="89">
        <v>38657</v>
      </c>
      <c r="N78" s="114">
        <f>'Reserve Bank'!B78-'Check RB Past'!B78</f>
        <v>0</v>
      </c>
      <c r="O78" s="114">
        <f>'Reserve Bank'!C78-'Check RB Past'!C78</f>
        <v>0</v>
      </c>
      <c r="P78" s="114">
        <f>'Reserve Bank'!D78-'Check RB Past'!D78</f>
        <v>0</v>
      </c>
      <c r="Q78" s="114">
        <f>'Reserve Bank'!E78-'Check RB Past'!E78</f>
        <v>0</v>
      </c>
      <c r="R78" s="114">
        <f>'Reserve Bank'!F78-'Check RB Past'!F78</f>
        <v>0</v>
      </c>
      <c r="S78" s="114">
        <f>'Reserve Bank'!G78-'Check RB Past'!G78</f>
        <v>0</v>
      </c>
      <c r="T78" s="114">
        <f>'Reserve Bank'!H78-'Check RB Past'!H78</f>
        <v>0</v>
      </c>
      <c r="U78" s="114">
        <f>'Reserve Bank'!I78-'Check RB Past'!I78</f>
        <v>0</v>
      </c>
      <c r="V78" s="1"/>
      <c r="W78" s="1"/>
      <c r="X78" s="1"/>
      <c r="Y78" s="1"/>
      <c r="Z78" s="1"/>
      <c r="AA78" s="1"/>
      <c r="AB78" s="1"/>
      <c r="AC78" s="1"/>
    </row>
    <row r="79" spans="1:29" s="14" customFormat="1" ht="12.75" customHeight="1" x14ac:dyDescent="0.2">
      <c r="A79" s="89">
        <v>38687</v>
      </c>
      <c r="B79" s="118">
        <v>2832</v>
      </c>
      <c r="C79" s="118">
        <v>442</v>
      </c>
      <c r="D79" s="119">
        <v>3274</v>
      </c>
      <c r="E79" s="119">
        <v>3521</v>
      </c>
      <c r="F79" s="119">
        <v>6795</v>
      </c>
      <c r="G79" s="119">
        <v>6263</v>
      </c>
      <c r="H79" s="119">
        <v>13058</v>
      </c>
      <c r="I79" s="118">
        <v>522</v>
      </c>
      <c r="J79" s="20"/>
      <c r="K79" s="69"/>
      <c r="L79" s="69"/>
      <c r="M79" s="89">
        <v>38687</v>
      </c>
      <c r="N79" s="114">
        <f>'Reserve Bank'!B79-'Check RB Past'!B79</f>
        <v>0</v>
      </c>
      <c r="O79" s="114">
        <f>'Reserve Bank'!C79-'Check RB Past'!C79</f>
        <v>0</v>
      </c>
      <c r="P79" s="114">
        <f>'Reserve Bank'!D79-'Check RB Past'!D79</f>
        <v>0</v>
      </c>
      <c r="Q79" s="114">
        <f>'Reserve Bank'!E79-'Check RB Past'!E79</f>
        <v>0</v>
      </c>
      <c r="R79" s="114">
        <f>'Reserve Bank'!F79-'Check RB Past'!F79</f>
        <v>0</v>
      </c>
      <c r="S79" s="114">
        <f>'Reserve Bank'!G79-'Check RB Past'!G79</f>
        <v>0</v>
      </c>
      <c r="T79" s="114">
        <f>'Reserve Bank'!H79-'Check RB Past'!H79</f>
        <v>0</v>
      </c>
      <c r="U79" s="114">
        <f>'Reserve Bank'!I79-'Check RB Past'!I79</f>
        <v>0</v>
      </c>
      <c r="V79" s="1"/>
      <c r="W79" s="1"/>
      <c r="X79" s="1"/>
      <c r="Y79" s="1"/>
      <c r="Z79" s="1"/>
      <c r="AA79" s="1"/>
      <c r="AB79" s="1"/>
      <c r="AC79" s="1"/>
    </row>
    <row r="80" spans="1:29" s="14" customFormat="1" ht="12.75" customHeight="1" x14ac:dyDescent="0.2">
      <c r="A80" s="89">
        <v>38718</v>
      </c>
      <c r="B80" s="118">
        <v>2251</v>
      </c>
      <c r="C80" s="118">
        <v>13</v>
      </c>
      <c r="D80" s="119">
        <v>2264</v>
      </c>
      <c r="E80" s="119">
        <v>5142</v>
      </c>
      <c r="F80" s="119">
        <v>7406</v>
      </c>
      <c r="G80" s="119">
        <v>5580</v>
      </c>
      <c r="H80" s="119">
        <v>12986</v>
      </c>
      <c r="I80" s="118">
        <v>722</v>
      </c>
      <c r="J80" s="20"/>
      <c r="K80" s="69"/>
      <c r="L80" s="69"/>
      <c r="M80" s="89">
        <v>38718</v>
      </c>
      <c r="N80" s="114">
        <f>'Reserve Bank'!B80-'Check RB Past'!B80</f>
        <v>0</v>
      </c>
      <c r="O80" s="114">
        <f>'Reserve Bank'!C80-'Check RB Past'!C80</f>
        <v>0</v>
      </c>
      <c r="P80" s="114">
        <f>'Reserve Bank'!D80-'Check RB Past'!D80</f>
        <v>0</v>
      </c>
      <c r="Q80" s="114">
        <f>'Reserve Bank'!E80-'Check RB Past'!E80</f>
        <v>0</v>
      </c>
      <c r="R80" s="114">
        <f>'Reserve Bank'!F80-'Check RB Past'!F80</f>
        <v>0</v>
      </c>
      <c r="S80" s="114">
        <f>'Reserve Bank'!G80-'Check RB Past'!G80</f>
        <v>0</v>
      </c>
      <c r="T80" s="114">
        <f>'Reserve Bank'!H80-'Check RB Past'!H80</f>
        <v>0</v>
      </c>
      <c r="U80" s="114">
        <f>'Reserve Bank'!I80-'Check RB Past'!I80</f>
        <v>0</v>
      </c>
      <c r="V80" s="1"/>
      <c r="W80" s="1"/>
      <c r="X80" s="1"/>
      <c r="Y80" s="1"/>
      <c r="Z80" s="1"/>
      <c r="AA80" s="1"/>
      <c r="AB80" s="1"/>
      <c r="AC80" s="1"/>
    </row>
    <row r="81" spans="1:29" s="14" customFormat="1" ht="12.75" customHeight="1" x14ac:dyDescent="0.2">
      <c r="A81" s="89">
        <v>38749</v>
      </c>
      <c r="B81" s="118">
        <v>2367</v>
      </c>
      <c r="C81" s="118">
        <v>-74</v>
      </c>
      <c r="D81" s="119">
        <v>2293</v>
      </c>
      <c r="E81" s="119">
        <v>5926</v>
      </c>
      <c r="F81" s="119">
        <v>8219</v>
      </c>
      <c r="G81" s="119">
        <v>5565</v>
      </c>
      <c r="H81" s="119">
        <v>13784</v>
      </c>
      <c r="I81" s="118">
        <v>219</v>
      </c>
      <c r="J81" s="20"/>
      <c r="K81" s="69"/>
      <c r="L81" s="69"/>
      <c r="M81" s="89">
        <v>38749</v>
      </c>
      <c r="N81" s="114">
        <f>'Reserve Bank'!B81-'Check RB Past'!B81</f>
        <v>0</v>
      </c>
      <c r="O81" s="114">
        <f>'Reserve Bank'!C81-'Check RB Past'!C81</f>
        <v>0</v>
      </c>
      <c r="P81" s="114">
        <f>'Reserve Bank'!D81-'Check RB Past'!D81</f>
        <v>0</v>
      </c>
      <c r="Q81" s="114">
        <f>'Reserve Bank'!E81-'Check RB Past'!E81</f>
        <v>0</v>
      </c>
      <c r="R81" s="114">
        <f>'Reserve Bank'!F81-'Check RB Past'!F81</f>
        <v>0</v>
      </c>
      <c r="S81" s="114">
        <f>'Reserve Bank'!G81-'Check RB Past'!G81</f>
        <v>0</v>
      </c>
      <c r="T81" s="114">
        <f>'Reserve Bank'!H81-'Check RB Past'!H81</f>
        <v>0</v>
      </c>
      <c r="U81" s="114">
        <f>'Reserve Bank'!I81-'Check RB Past'!I81</f>
        <v>0</v>
      </c>
      <c r="V81" s="1"/>
      <c r="W81" s="1"/>
      <c r="X81" s="1"/>
      <c r="Y81" s="1"/>
      <c r="Z81" s="1"/>
      <c r="AA81" s="1"/>
      <c r="AB81" s="1"/>
      <c r="AC81" s="1"/>
    </row>
    <row r="82" spans="1:29" s="14" customFormat="1" ht="12.75" customHeight="1" x14ac:dyDescent="0.2">
      <c r="A82" s="89">
        <v>38777</v>
      </c>
      <c r="B82" s="118">
        <v>2840</v>
      </c>
      <c r="C82" s="118">
        <v>102</v>
      </c>
      <c r="D82" s="119">
        <v>2942</v>
      </c>
      <c r="E82" s="119">
        <v>5944</v>
      </c>
      <c r="F82" s="119">
        <v>8886</v>
      </c>
      <c r="G82" s="119">
        <v>5711</v>
      </c>
      <c r="H82" s="119">
        <v>14597</v>
      </c>
      <c r="I82" s="118">
        <v>-266</v>
      </c>
      <c r="J82" s="20"/>
      <c r="K82" s="69"/>
      <c r="L82" s="69"/>
      <c r="M82" s="89">
        <v>38777</v>
      </c>
      <c r="N82" s="114">
        <f>'Reserve Bank'!B82-'Check RB Past'!B82</f>
        <v>0</v>
      </c>
      <c r="O82" s="114">
        <f>'Reserve Bank'!C82-'Check RB Past'!C82</f>
        <v>0</v>
      </c>
      <c r="P82" s="114">
        <f>'Reserve Bank'!D82-'Check RB Past'!D82</f>
        <v>0</v>
      </c>
      <c r="Q82" s="114">
        <f>'Reserve Bank'!E82-'Check RB Past'!E82</f>
        <v>0</v>
      </c>
      <c r="R82" s="114">
        <f>'Reserve Bank'!F82-'Check RB Past'!F82</f>
        <v>0</v>
      </c>
      <c r="S82" s="114">
        <f>'Reserve Bank'!G82-'Check RB Past'!G82</f>
        <v>0</v>
      </c>
      <c r="T82" s="114">
        <f>'Reserve Bank'!H82-'Check RB Past'!H82</f>
        <v>0</v>
      </c>
      <c r="U82" s="114">
        <f>'Reserve Bank'!I82-'Check RB Past'!I82</f>
        <v>0</v>
      </c>
      <c r="V82" s="1"/>
      <c r="W82" s="1"/>
      <c r="X82" s="1"/>
      <c r="Y82" s="1"/>
      <c r="Z82" s="1"/>
      <c r="AA82" s="1"/>
      <c r="AB82" s="1"/>
      <c r="AC82" s="1"/>
    </row>
    <row r="83" spans="1:29" s="12" customFormat="1" ht="12.75" customHeight="1" x14ac:dyDescent="0.2">
      <c r="A83" s="89">
        <v>38808</v>
      </c>
      <c r="B83" s="118">
        <v>3193</v>
      </c>
      <c r="C83" s="118">
        <v>55</v>
      </c>
      <c r="D83" s="119">
        <v>3248</v>
      </c>
      <c r="E83" s="119">
        <v>6598</v>
      </c>
      <c r="F83" s="119">
        <v>9846</v>
      </c>
      <c r="G83" s="119">
        <v>5854</v>
      </c>
      <c r="H83" s="119">
        <v>15700</v>
      </c>
      <c r="I83" s="118">
        <v>227</v>
      </c>
      <c r="J83" s="107"/>
      <c r="K83" s="69"/>
      <c r="L83" s="69"/>
      <c r="M83" s="89">
        <v>38808</v>
      </c>
      <c r="N83" s="114">
        <f>'Reserve Bank'!B83-'Check RB Past'!B83</f>
        <v>0</v>
      </c>
      <c r="O83" s="114">
        <f>'Reserve Bank'!C83-'Check RB Past'!C83</f>
        <v>0</v>
      </c>
      <c r="P83" s="114">
        <f>'Reserve Bank'!D83-'Check RB Past'!D83</f>
        <v>0</v>
      </c>
      <c r="Q83" s="114">
        <f>'Reserve Bank'!E83-'Check RB Past'!E83</f>
        <v>0</v>
      </c>
      <c r="R83" s="114">
        <f>'Reserve Bank'!F83-'Check RB Past'!F83</f>
        <v>0</v>
      </c>
      <c r="S83" s="114">
        <f>'Reserve Bank'!G83-'Check RB Past'!G83</f>
        <v>0</v>
      </c>
      <c r="T83" s="114">
        <f>'Reserve Bank'!H83-'Check RB Past'!H83</f>
        <v>0</v>
      </c>
      <c r="U83" s="114">
        <f>'Reserve Bank'!I83-'Check RB Past'!I83</f>
        <v>0</v>
      </c>
      <c r="V83" s="13"/>
      <c r="W83" s="13"/>
      <c r="X83" s="13"/>
      <c r="Y83" s="13"/>
      <c r="Z83" s="13"/>
      <c r="AA83" s="13"/>
      <c r="AB83" s="13"/>
      <c r="AC83" s="13"/>
    </row>
    <row r="84" spans="1:29" s="14" customFormat="1" ht="12.75" customHeight="1" x14ac:dyDescent="0.2">
      <c r="A84" s="89">
        <v>38838</v>
      </c>
      <c r="B84" s="118">
        <v>4057</v>
      </c>
      <c r="C84" s="118">
        <v>-529</v>
      </c>
      <c r="D84" s="119">
        <v>3528</v>
      </c>
      <c r="E84" s="119">
        <v>7167</v>
      </c>
      <c r="F84" s="119">
        <v>10695</v>
      </c>
      <c r="G84" s="119">
        <v>6182</v>
      </c>
      <c r="H84" s="119">
        <v>16877</v>
      </c>
      <c r="I84" s="118">
        <v>305</v>
      </c>
      <c r="J84" s="20"/>
      <c r="K84" s="69"/>
      <c r="L84" s="69"/>
      <c r="M84" s="89">
        <v>38838</v>
      </c>
      <c r="N84" s="114">
        <f>'Reserve Bank'!B84-'Check RB Past'!B84</f>
        <v>0</v>
      </c>
      <c r="O84" s="114">
        <f>'Reserve Bank'!C84-'Check RB Past'!C84</f>
        <v>0</v>
      </c>
      <c r="P84" s="114">
        <f>'Reserve Bank'!D84-'Check RB Past'!D84</f>
        <v>0</v>
      </c>
      <c r="Q84" s="114">
        <f>'Reserve Bank'!E84-'Check RB Past'!E84</f>
        <v>0</v>
      </c>
      <c r="R84" s="114">
        <f>'Reserve Bank'!F84-'Check RB Past'!F84</f>
        <v>0</v>
      </c>
      <c r="S84" s="114">
        <f>'Reserve Bank'!G84-'Check RB Past'!G84</f>
        <v>0</v>
      </c>
      <c r="T84" s="114">
        <f>'Reserve Bank'!H84-'Check RB Past'!H84</f>
        <v>0</v>
      </c>
      <c r="U84" s="114">
        <f>'Reserve Bank'!I84-'Check RB Past'!I84</f>
        <v>0</v>
      </c>
      <c r="V84" s="1"/>
      <c r="W84" s="1"/>
      <c r="X84" s="1"/>
      <c r="Y84" s="1"/>
      <c r="Z84" s="1"/>
      <c r="AA84" s="1"/>
      <c r="AB84" s="1"/>
      <c r="AC84" s="1"/>
    </row>
    <row r="85" spans="1:29" s="14" customFormat="1" ht="12.75" customHeight="1" x14ac:dyDescent="0.2">
      <c r="A85" s="89">
        <v>38869</v>
      </c>
      <c r="B85" s="118">
        <v>3037</v>
      </c>
      <c r="C85" s="118">
        <v>100</v>
      </c>
      <c r="D85" s="119">
        <v>3137</v>
      </c>
      <c r="E85" s="119">
        <v>6740</v>
      </c>
      <c r="F85" s="119">
        <v>9877</v>
      </c>
      <c r="G85" s="119">
        <v>6389</v>
      </c>
      <c r="H85" s="119">
        <v>16266</v>
      </c>
      <c r="I85" s="118">
        <v>-129</v>
      </c>
      <c r="J85" s="20"/>
      <c r="K85" s="69"/>
      <c r="L85" s="69"/>
      <c r="M85" s="89">
        <v>38869</v>
      </c>
      <c r="N85" s="114">
        <f>'Reserve Bank'!B85-'Check RB Past'!B85</f>
        <v>0</v>
      </c>
      <c r="O85" s="114">
        <f>'Reserve Bank'!C85-'Check RB Past'!C85</f>
        <v>0</v>
      </c>
      <c r="P85" s="114">
        <f>'Reserve Bank'!D85-'Check RB Past'!D85</f>
        <v>0</v>
      </c>
      <c r="Q85" s="114">
        <f>'Reserve Bank'!E85-'Check RB Past'!E85</f>
        <v>0</v>
      </c>
      <c r="R85" s="114">
        <f>'Reserve Bank'!F85-'Check RB Past'!F85</f>
        <v>0</v>
      </c>
      <c r="S85" s="114">
        <f>'Reserve Bank'!G85-'Check RB Past'!G85</f>
        <v>0</v>
      </c>
      <c r="T85" s="114">
        <f>'Reserve Bank'!H85-'Check RB Past'!H85</f>
        <v>0</v>
      </c>
      <c r="U85" s="114">
        <f>'Reserve Bank'!I85-'Check RB Past'!I85</f>
        <v>0</v>
      </c>
      <c r="V85" s="1"/>
      <c r="W85" s="1"/>
      <c r="X85" s="1"/>
      <c r="Y85" s="1"/>
      <c r="Z85" s="1"/>
      <c r="AA85" s="1"/>
      <c r="AB85" s="1"/>
      <c r="AC85" s="1"/>
    </row>
    <row r="86" spans="1:29" s="14" customFormat="1" ht="12.75" customHeight="1" x14ac:dyDescent="0.2">
      <c r="A86" s="89">
        <v>38899</v>
      </c>
      <c r="B86" s="118">
        <v>4945</v>
      </c>
      <c r="C86" s="118">
        <v>91</v>
      </c>
      <c r="D86" s="119">
        <v>5036</v>
      </c>
      <c r="E86" s="119">
        <v>6483</v>
      </c>
      <c r="F86" s="119">
        <v>11519</v>
      </c>
      <c r="G86" s="119">
        <v>6788</v>
      </c>
      <c r="H86" s="119">
        <v>18307</v>
      </c>
      <c r="I86" s="118">
        <v>151</v>
      </c>
      <c r="J86" s="20"/>
      <c r="K86" s="69"/>
      <c r="L86" s="69"/>
      <c r="M86" s="89">
        <v>38899</v>
      </c>
      <c r="N86" s="114">
        <f>'Reserve Bank'!B86-'Check RB Past'!B86</f>
        <v>0</v>
      </c>
      <c r="O86" s="114">
        <f>'Reserve Bank'!C86-'Check RB Past'!C86</f>
        <v>0</v>
      </c>
      <c r="P86" s="114">
        <f>'Reserve Bank'!D86-'Check RB Past'!D86</f>
        <v>0</v>
      </c>
      <c r="Q86" s="114">
        <f>'Reserve Bank'!E86-'Check RB Past'!E86</f>
        <v>0</v>
      </c>
      <c r="R86" s="114">
        <f>'Reserve Bank'!F86-'Check RB Past'!F86</f>
        <v>0</v>
      </c>
      <c r="S86" s="114">
        <f>'Reserve Bank'!G86-'Check RB Past'!G86</f>
        <v>0</v>
      </c>
      <c r="T86" s="114">
        <f>'Reserve Bank'!H86-'Check RB Past'!H86</f>
        <v>0</v>
      </c>
      <c r="U86" s="114">
        <f>'Reserve Bank'!I86-'Check RB Past'!I86</f>
        <v>0</v>
      </c>
      <c r="V86" s="1"/>
      <c r="W86" s="1"/>
      <c r="X86" s="1"/>
      <c r="Y86" s="1"/>
      <c r="Z86" s="1"/>
      <c r="AA86" s="1"/>
      <c r="AB86" s="1"/>
      <c r="AC86" s="1"/>
    </row>
    <row r="87" spans="1:29" s="14" customFormat="1" ht="12.75" customHeight="1" x14ac:dyDescent="0.2">
      <c r="A87" s="89">
        <v>38930</v>
      </c>
      <c r="B87" s="118">
        <v>4865</v>
      </c>
      <c r="C87" s="118">
        <v>-4</v>
      </c>
      <c r="D87" s="119">
        <v>4861</v>
      </c>
      <c r="E87" s="119">
        <v>6609</v>
      </c>
      <c r="F87" s="119">
        <v>11470</v>
      </c>
      <c r="G87" s="119">
        <v>6411</v>
      </c>
      <c r="H87" s="119">
        <v>17881</v>
      </c>
      <c r="I87" s="118">
        <v>562</v>
      </c>
      <c r="J87" s="20"/>
      <c r="K87" s="69"/>
      <c r="L87" s="69"/>
      <c r="M87" s="89">
        <v>38930</v>
      </c>
      <c r="N87" s="114">
        <f>'Reserve Bank'!B87-'Check RB Past'!B87</f>
        <v>0</v>
      </c>
      <c r="O87" s="114">
        <f>'Reserve Bank'!C87-'Check RB Past'!C87</f>
        <v>0</v>
      </c>
      <c r="P87" s="114">
        <f>'Reserve Bank'!D87-'Check RB Past'!D87</f>
        <v>0</v>
      </c>
      <c r="Q87" s="114">
        <f>'Reserve Bank'!E87-'Check RB Past'!E87</f>
        <v>0</v>
      </c>
      <c r="R87" s="114">
        <f>'Reserve Bank'!F87-'Check RB Past'!F87</f>
        <v>0</v>
      </c>
      <c r="S87" s="114">
        <f>'Reserve Bank'!G87-'Check RB Past'!G87</f>
        <v>0</v>
      </c>
      <c r="T87" s="114">
        <f>'Reserve Bank'!H87-'Check RB Past'!H87</f>
        <v>0</v>
      </c>
      <c r="U87" s="114">
        <f>'Reserve Bank'!I87-'Check RB Past'!I87</f>
        <v>0</v>
      </c>
      <c r="V87" s="1"/>
      <c r="W87" s="1"/>
      <c r="X87" s="1"/>
      <c r="Y87" s="1"/>
      <c r="Z87" s="1"/>
      <c r="AA87" s="1"/>
      <c r="AB87" s="1"/>
      <c r="AC87" s="1"/>
    </row>
    <row r="88" spans="1:29" s="14" customFormat="1" ht="12.75" customHeight="1" x14ac:dyDescent="0.2">
      <c r="A88" s="89">
        <v>38961</v>
      </c>
      <c r="B88" s="118">
        <v>4637</v>
      </c>
      <c r="C88" s="118">
        <v>85</v>
      </c>
      <c r="D88" s="119">
        <v>4722</v>
      </c>
      <c r="E88" s="119">
        <v>7356</v>
      </c>
      <c r="F88" s="119">
        <v>12078</v>
      </c>
      <c r="G88" s="119">
        <v>6329</v>
      </c>
      <c r="H88" s="119">
        <v>18407</v>
      </c>
      <c r="I88" s="118">
        <v>402</v>
      </c>
      <c r="J88" s="20"/>
      <c r="K88" s="69"/>
      <c r="L88" s="69"/>
      <c r="M88" s="89">
        <v>38961</v>
      </c>
      <c r="N88" s="114">
        <f>'Reserve Bank'!B88-'Check RB Past'!B88</f>
        <v>0</v>
      </c>
      <c r="O88" s="114">
        <f>'Reserve Bank'!C88-'Check RB Past'!C88</f>
        <v>0</v>
      </c>
      <c r="P88" s="114">
        <f>'Reserve Bank'!D88-'Check RB Past'!D88</f>
        <v>0</v>
      </c>
      <c r="Q88" s="114">
        <f>'Reserve Bank'!E88-'Check RB Past'!E88</f>
        <v>0</v>
      </c>
      <c r="R88" s="114">
        <f>'Reserve Bank'!F88-'Check RB Past'!F88</f>
        <v>0</v>
      </c>
      <c r="S88" s="114">
        <f>'Reserve Bank'!G88-'Check RB Past'!G88</f>
        <v>0</v>
      </c>
      <c r="T88" s="114">
        <f>'Reserve Bank'!H88-'Check RB Past'!H88</f>
        <v>0</v>
      </c>
      <c r="U88" s="114">
        <f>'Reserve Bank'!I88-'Check RB Past'!I88</f>
        <v>0</v>
      </c>
      <c r="V88" s="1"/>
      <c r="W88" s="1"/>
      <c r="X88" s="1"/>
      <c r="Y88" s="1"/>
      <c r="Z88" s="1"/>
      <c r="AA88" s="1"/>
      <c r="AB88" s="1"/>
      <c r="AC88" s="1"/>
    </row>
    <row r="89" spans="1:29" s="14" customFormat="1" ht="12.75" customHeight="1" x14ac:dyDescent="0.2">
      <c r="A89" s="89">
        <v>38991</v>
      </c>
      <c r="B89" s="118">
        <v>6650</v>
      </c>
      <c r="C89" s="118">
        <v>169</v>
      </c>
      <c r="D89" s="119">
        <v>6819</v>
      </c>
      <c r="E89" s="119">
        <v>7390</v>
      </c>
      <c r="F89" s="119">
        <v>14209</v>
      </c>
      <c r="G89" s="119">
        <v>5171</v>
      </c>
      <c r="H89" s="119">
        <v>19380</v>
      </c>
      <c r="I89" s="118">
        <v>584</v>
      </c>
      <c r="J89" s="20"/>
      <c r="K89" s="69"/>
      <c r="L89" s="69"/>
      <c r="M89" s="89">
        <v>38991</v>
      </c>
      <c r="N89" s="114">
        <f>'Reserve Bank'!B89-'Check RB Past'!B89</f>
        <v>0</v>
      </c>
      <c r="O89" s="114">
        <f>'Reserve Bank'!C89-'Check RB Past'!C89</f>
        <v>0</v>
      </c>
      <c r="P89" s="114">
        <f>'Reserve Bank'!D89-'Check RB Past'!D89</f>
        <v>0</v>
      </c>
      <c r="Q89" s="114">
        <f>'Reserve Bank'!E89-'Check RB Past'!E89</f>
        <v>0</v>
      </c>
      <c r="R89" s="114">
        <f>'Reserve Bank'!F89-'Check RB Past'!F89</f>
        <v>0</v>
      </c>
      <c r="S89" s="114">
        <f>'Reserve Bank'!G89-'Check RB Past'!G89</f>
        <v>0</v>
      </c>
      <c r="T89" s="114">
        <f>'Reserve Bank'!H89-'Check RB Past'!H89</f>
        <v>0</v>
      </c>
      <c r="U89" s="114">
        <f>'Reserve Bank'!I89-'Check RB Past'!I89</f>
        <v>0</v>
      </c>
      <c r="V89" s="1"/>
      <c r="W89" s="1"/>
      <c r="X89" s="1"/>
      <c r="Y89" s="1"/>
      <c r="Z89" s="1"/>
      <c r="AA89" s="1"/>
      <c r="AB89" s="1"/>
      <c r="AC89" s="1"/>
    </row>
    <row r="90" spans="1:29" s="14" customFormat="1" ht="12.75" customHeight="1" x14ac:dyDescent="0.2">
      <c r="A90" s="89">
        <v>39022</v>
      </c>
      <c r="B90" s="118">
        <v>6347</v>
      </c>
      <c r="C90" s="118">
        <v>144</v>
      </c>
      <c r="D90" s="119">
        <v>6491</v>
      </c>
      <c r="E90" s="119">
        <v>7653</v>
      </c>
      <c r="F90" s="119">
        <v>14144</v>
      </c>
      <c r="G90" s="119">
        <v>5134</v>
      </c>
      <c r="H90" s="119">
        <v>19278</v>
      </c>
      <c r="I90" s="118">
        <v>652</v>
      </c>
      <c r="J90" s="20"/>
      <c r="K90" s="69"/>
      <c r="L90" s="69"/>
      <c r="M90" s="89">
        <v>39022</v>
      </c>
      <c r="N90" s="114">
        <f>'Reserve Bank'!B90-'Check RB Past'!B90</f>
        <v>0</v>
      </c>
      <c r="O90" s="114">
        <f>'Reserve Bank'!C90-'Check RB Past'!C90</f>
        <v>0</v>
      </c>
      <c r="P90" s="114">
        <f>'Reserve Bank'!D90-'Check RB Past'!D90</f>
        <v>0</v>
      </c>
      <c r="Q90" s="114">
        <f>'Reserve Bank'!E90-'Check RB Past'!E90</f>
        <v>0</v>
      </c>
      <c r="R90" s="114">
        <f>'Reserve Bank'!F90-'Check RB Past'!F90</f>
        <v>0</v>
      </c>
      <c r="S90" s="114">
        <f>'Reserve Bank'!G90-'Check RB Past'!G90</f>
        <v>0</v>
      </c>
      <c r="T90" s="114">
        <f>'Reserve Bank'!H90-'Check RB Past'!H90</f>
        <v>0</v>
      </c>
      <c r="U90" s="114">
        <f>'Reserve Bank'!I90-'Check RB Past'!I90</f>
        <v>0</v>
      </c>
      <c r="V90" s="1"/>
      <c r="W90" s="1"/>
      <c r="X90" s="1"/>
      <c r="Y90" s="1"/>
      <c r="Z90" s="1"/>
      <c r="AA90" s="1"/>
      <c r="AB90" s="1"/>
      <c r="AC90" s="1"/>
    </row>
    <row r="91" spans="1:29" s="14" customFormat="1" ht="12.75" customHeight="1" x14ac:dyDescent="0.2">
      <c r="A91" s="89">
        <v>39052</v>
      </c>
      <c r="B91" s="118">
        <v>7441</v>
      </c>
      <c r="C91" s="118">
        <v>111</v>
      </c>
      <c r="D91" s="119">
        <v>7552</v>
      </c>
      <c r="E91" s="119">
        <v>6982</v>
      </c>
      <c r="F91" s="119">
        <v>14534</v>
      </c>
      <c r="G91" s="119">
        <v>5383</v>
      </c>
      <c r="H91" s="119">
        <v>19917</v>
      </c>
      <c r="I91" s="118">
        <v>959</v>
      </c>
      <c r="J91" s="20"/>
      <c r="K91" s="69"/>
      <c r="L91" s="69"/>
      <c r="M91" s="89">
        <v>39052</v>
      </c>
      <c r="N91" s="114">
        <f>'Reserve Bank'!B91-'Check RB Past'!B91</f>
        <v>0</v>
      </c>
      <c r="O91" s="114">
        <f>'Reserve Bank'!C91-'Check RB Past'!C91</f>
        <v>0</v>
      </c>
      <c r="P91" s="114">
        <f>'Reserve Bank'!D91-'Check RB Past'!D91</f>
        <v>0</v>
      </c>
      <c r="Q91" s="114">
        <f>'Reserve Bank'!E91-'Check RB Past'!E91</f>
        <v>0</v>
      </c>
      <c r="R91" s="114">
        <f>'Reserve Bank'!F91-'Check RB Past'!F91</f>
        <v>0</v>
      </c>
      <c r="S91" s="114">
        <f>'Reserve Bank'!G91-'Check RB Past'!G91</f>
        <v>0</v>
      </c>
      <c r="T91" s="114">
        <f>'Reserve Bank'!H91-'Check RB Past'!H91</f>
        <v>0</v>
      </c>
      <c r="U91" s="114">
        <f>'Reserve Bank'!I91-'Check RB Past'!I91</f>
        <v>0</v>
      </c>
      <c r="V91" s="1"/>
      <c r="W91" s="1"/>
      <c r="X91" s="1"/>
      <c r="Y91" s="1"/>
      <c r="Z91" s="1"/>
      <c r="AA91" s="1"/>
      <c r="AB91" s="1"/>
      <c r="AC91" s="1"/>
    </row>
    <row r="92" spans="1:29" s="14" customFormat="1" ht="12.75" customHeight="1" x14ac:dyDescent="0.2">
      <c r="A92" s="110">
        <v>39083</v>
      </c>
      <c r="B92" s="118">
        <v>9808</v>
      </c>
      <c r="C92" s="118">
        <v>85</v>
      </c>
      <c r="D92" s="119">
        <v>9893</v>
      </c>
      <c r="E92" s="119">
        <v>4600</v>
      </c>
      <c r="F92" s="119">
        <v>14493</v>
      </c>
      <c r="G92" s="119">
        <v>4601</v>
      </c>
      <c r="H92" s="119">
        <v>19094</v>
      </c>
      <c r="I92" s="118">
        <v>469</v>
      </c>
      <c r="J92" s="20"/>
      <c r="K92" s="69"/>
      <c r="L92" s="69"/>
      <c r="M92" s="110">
        <v>39083</v>
      </c>
      <c r="N92" s="114">
        <f>'Reserve Bank'!B92-'Check RB Past'!B92</f>
        <v>0</v>
      </c>
      <c r="O92" s="114">
        <f>'Reserve Bank'!C92-'Check RB Past'!C92</f>
        <v>0</v>
      </c>
      <c r="P92" s="114">
        <f>'Reserve Bank'!D92-'Check RB Past'!D92</f>
        <v>0</v>
      </c>
      <c r="Q92" s="114">
        <f>'Reserve Bank'!E92-'Check RB Past'!E92</f>
        <v>0</v>
      </c>
      <c r="R92" s="114">
        <f>'Reserve Bank'!F92-'Check RB Past'!F92</f>
        <v>0</v>
      </c>
      <c r="S92" s="114">
        <f>'Reserve Bank'!G92-'Check RB Past'!G92</f>
        <v>0</v>
      </c>
      <c r="T92" s="114">
        <f>'Reserve Bank'!H92-'Check RB Past'!H92</f>
        <v>0</v>
      </c>
      <c r="U92" s="114">
        <f>'Reserve Bank'!I92-'Check RB Past'!I92</f>
        <v>0</v>
      </c>
      <c r="V92" s="1"/>
      <c r="W92" s="1"/>
      <c r="X92" s="1"/>
      <c r="Y92" s="1"/>
      <c r="Z92" s="1"/>
      <c r="AA92" s="1"/>
      <c r="AB92" s="1"/>
      <c r="AC92" s="1"/>
    </row>
    <row r="93" spans="1:29" s="14" customFormat="1" ht="12.75" customHeight="1" x14ac:dyDescent="0.2">
      <c r="A93" s="110">
        <v>39114</v>
      </c>
      <c r="B93" s="118">
        <v>10465</v>
      </c>
      <c r="C93" s="118">
        <v>2</v>
      </c>
      <c r="D93" s="119">
        <v>10467</v>
      </c>
      <c r="E93" s="119">
        <v>4271</v>
      </c>
      <c r="F93" s="119">
        <v>14738</v>
      </c>
      <c r="G93" s="119">
        <v>4748</v>
      </c>
      <c r="H93" s="119">
        <v>19486</v>
      </c>
      <c r="I93" s="118">
        <v>751</v>
      </c>
      <c r="J93" s="20"/>
      <c r="K93" s="69"/>
      <c r="L93" s="69"/>
      <c r="M93" s="110">
        <v>39114</v>
      </c>
      <c r="N93" s="114">
        <f>'Reserve Bank'!B93-'Check RB Past'!B93</f>
        <v>0</v>
      </c>
      <c r="O93" s="114">
        <f>'Reserve Bank'!C93-'Check RB Past'!C93</f>
        <v>0</v>
      </c>
      <c r="P93" s="114">
        <f>'Reserve Bank'!D93-'Check RB Past'!D93</f>
        <v>0</v>
      </c>
      <c r="Q93" s="114">
        <f>'Reserve Bank'!E93-'Check RB Past'!E93</f>
        <v>0</v>
      </c>
      <c r="R93" s="114">
        <f>'Reserve Bank'!F93-'Check RB Past'!F93</f>
        <v>0</v>
      </c>
      <c r="S93" s="114">
        <f>'Reserve Bank'!G93-'Check RB Past'!G93</f>
        <v>0</v>
      </c>
      <c r="T93" s="114">
        <f>'Reserve Bank'!H93-'Check RB Past'!H93</f>
        <v>0</v>
      </c>
      <c r="U93" s="114">
        <f>'Reserve Bank'!I93-'Check RB Past'!I93</f>
        <v>0</v>
      </c>
      <c r="V93" s="1"/>
      <c r="W93" s="1"/>
      <c r="X93" s="1"/>
      <c r="Y93" s="1"/>
      <c r="Z93" s="1"/>
      <c r="AA93" s="1"/>
      <c r="AB93" s="1"/>
      <c r="AC93" s="1"/>
    </row>
    <row r="94" spans="1:29" s="14" customFormat="1" ht="12.75" customHeight="1" x14ac:dyDescent="0.2">
      <c r="A94" s="110">
        <v>39142</v>
      </c>
      <c r="B94" s="118">
        <v>10740</v>
      </c>
      <c r="C94" s="118">
        <v>142</v>
      </c>
      <c r="D94" s="119">
        <v>10882</v>
      </c>
      <c r="E94" s="119">
        <v>4199</v>
      </c>
      <c r="F94" s="119">
        <v>15081</v>
      </c>
      <c r="G94" s="119">
        <v>5299</v>
      </c>
      <c r="H94" s="119">
        <v>20380</v>
      </c>
      <c r="I94" s="118">
        <v>966</v>
      </c>
      <c r="J94" s="20"/>
      <c r="K94" s="69"/>
      <c r="L94" s="69"/>
      <c r="M94" s="110">
        <v>39142</v>
      </c>
      <c r="N94" s="114">
        <f>'Reserve Bank'!B94-'Check RB Past'!B94</f>
        <v>0</v>
      </c>
      <c r="O94" s="114">
        <f>'Reserve Bank'!C94-'Check RB Past'!C94</f>
        <v>0</v>
      </c>
      <c r="P94" s="114">
        <f>'Reserve Bank'!D94-'Check RB Past'!D94</f>
        <v>0</v>
      </c>
      <c r="Q94" s="114">
        <f>'Reserve Bank'!E94-'Check RB Past'!E94</f>
        <v>0</v>
      </c>
      <c r="R94" s="114">
        <f>'Reserve Bank'!F94-'Check RB Past'!F94</f>
        <v>0</v>
      </c>
      <c r="S94" s="114">
        <f>'Reserve Bank'!G94-'Check RB Past'!G94</f>
        <v>0</v>
      </c>
      <c r="T94" s="114">
        <f>'Reserve Bank'!H94-'Check RB Past'!H94</f>
        <v>0</v>
      </c>
      <c r="U94" s="114">
        <f>'Reserve Bank'!I94-'Check RB Past'!I94</f>
        <v>0</v>
      </c>
      <c r="V94" s="1"/>
      <c r="W94" s="1"/>
      <c r="X94" s="1"/>
      <c r="Y94" s="1"/>
      <c r="Z94" s="1"/>
      <c r="AA94" s="1"/>
      <c r="AB94" s="1"/>
      <c r="AC94" s="1"/>
    </row>
    <row r="95" spans="1:29" s="14" customFormat="1" ht="12.75" customHeight="1" x14ac:dyDescent="0.2">
      <c r="A95" s="110">
        <v>39173</v>
      </c>
      <c r="B95" s="118">
        <v>11251</v>
      </c>
      <c r="C95" s="118">
        <v>-34</v>
      </c>
      <c r="D95" s="119">
        <v>11217</v>
      </c>
      <c r="E95" s="119">
        <v>4305</v>
      </c>
      <c r="F95" s="119">
        <v>15522</v>
      </c>
      <c r="G95" s="119">
        <v>6070</v>
      </c>
      <c r="H95" s="119">
        <v>21592</v>
      </c>
      <c r="I95" s="118">
        <v>1109</v>
      </c>
      <c r="J95" s="20"/>
      <c r="K95" s="69"/>
      <c r="L95" s="69"/>
      <c r="M95" s="110">
        <v>39173</v>
      </c>
      <c r="N95" s="114">
        <f>'Reserve Bank'!B95-'Check RB Past'!B95</f>
        <v>0</v>
      </c>
      <c r="O95" s="114">
        <f>'Reserve Bank'!C95-'Check RB Past'!C95</f>
        <v>0</v>
      </c>
      <c r="P95" s="114">
        <f>'Reserve Bank'!D95-'Check RB Past'!D95</f>
        <v>0</v>
      </c>
      <c r="Q95" s="114">
        <f>'Reserve Bank'!E95-'Check RB Past'!E95</f>
        <v>0</v>
      </c>
      <c r="R95" s="114">
        <f>'Reserve Bank'!F95-'Check RB Past'!F95</f>
        <v>0</v>
      </c>
      <c r="S95" s="114">
        <f>'Reserve Bank'!G95-'Check RB Past'!G95</f>
        <v>0</v>
      </c>
      <c r="T95" s="114">
        <f>'Reserve Bank'!H95-'Check RB Past'!H95</f>
        <v>0</v>
      </c>
      <c r="U95" s="114">
        <f>'Reserve Bank'!I95-'Check RB Past'!I95</f>
        <v>0</v>
      </c>
      <c r="V95" s="1"/>
      <c r="W95" s="1"/>
      <c r="X95" s="1"/>
      <c r="Y95" s="1"/>
      <c r="Z95" s="1"/>
      <c r="AA95" s="1"/>
      <c r="AB95" s="1"/>
      <c r="AC95" s="1"/>
    </row>
    <row r="96" spans="1:29" s="14" customFormat="1" ht="12.75" customHeight="1" x14ac:dyDescent="0.2">
      <c r="A96" s="110">
        <v>39203</v>
      </c>
      <c r="B96" s="118">
        <v>12103</v>
      </c>
      <c r="C96" s="118">
        <v>-2</v>
      </c>
      <c r="D96" s="118">
        <v>12101</v>
      </c>
      <c r="E96" s="119">
        <v>4033</v>
      </c>
      <c r="F96" s="119">
        <v>16134</v>
      </c>
      <c r="G96" s="119">
        <v>5175</v>
      </c>
      <c r="H96" s="119">
        <v>21309</v>
      </c>
      <c r="I96" s="118">
        <v>779</v>
      </c>
      <c r="J96" s="20"/>
      <c r="K96" s="69"/>
      <c r="L96" s="69"/>
      <c r="M96" s="110">
        <v>39203</v>
      </c>
      <c r="N96" s="114">
        <f>'Reserve Bank'!B96-'Check RB Past'!B96</f>
        <v>0</v>
      </c>
      <c r="O96" s="114">
        <f>'Reserve Bank'!C96-'Check RB Past'!C96</f>
        <v>0</v>
      </c>
      <c r="P96" s="114">
        <f>'Reserve Bank'!D96-'Check RB Past'!D96</f>
        <v>0</v>
      </c>
      <c r="Q96" s="114">
        <f>'Reserve Bank'!E96-'Check RB Past'!E96</f>
        <v>0</v>
      </c>
      <c r="R96" s="114">
        <f>'Reserve Bank'!F96-'Check RB Past'!F96</f>
        <v>0</v>
      </c>
      <c r="S96" s="114">
        <f>'Reserve Bank'!G96-'Check RB Past'!G96</f>
        <v>0</v>
      </c>
      <c r="T96" s="114">
        <f>'Reserve Bank'!H96-'Check RB Past'!H96</f>
        <v>0</v>
      </c>
      <c r="U96" s="114">
        <f>'Reserve Bank'!I96-'Check RB Past'!I96</f>
        <v>0</v>
      </c>
      <c r="V96" s="1"/>
      <c r="W96" s="1"/>
      <c r="X96" s="1"/>
      <c r="Y96" s="1"/>
      <c r="Z96" s="1"/>
      <c r="AA96" s="1"/>
      <c r="AB96" s="1"/>
      <c r="AC96" s="1"/>
    </row>
    <row r="97" spans="1:29" s="14" customFormat="1" ht="12.75" customHeight="1" x14ac:dyDescent="0.2">
      <c r="A97" s="110">
        <v>39234</v>
      </c>
      <c r="B97" s="118">
        <v>11682</v>
      </c>
      <c r="C97" s="118">
        <v>341</v>
      </c>
      <c r="D97" s="118">
        <v>12023</v>
      </c>
      <c r="E97" s="119">
        <v>3479</v>
      </c>
      <c r="F97" s="119">
        <v>15502</v>
      </c>
      <c r="G97" s="119">
        <v>5446</v>
      </c>
      <c r="H97" s="118">
        <v>20948</v>
      </c>
      <c r="I97" s="118">
        <v>1151</v>
      </c>
      <c r="J97" s="20"/>
      <c r="K97" s="69"/>
      <c r="L97" s="69"/>
      <c r="M97" s="110">
        <v>39234</v>
      </c>
      <c r="N97" s="114">
        <f>'Reserve Bank'!B97-'Check RB Past'!B97</f>
        <v>0</v>
      </c>
      <c r="O97" s="114">
        <f>'Reserve Bank'!C97-'Check RB Past'!C97</f>
        <v>0</v>
      </c>
      <c r="P97" s="114">
        <f>'Reserve Bank'!D97-'Check RB Past'!D97</f>
        <v>0</v>
      </c>
      <c r="Q97" s="114">
        <f>'Reserve Bank'!E97-'Check RB Past'!E97</f>
        <v>0</v>
      </c>
      <c r="R97" s="114">
        <f>'Reserve Bank'!F97-'Check RB Past'!F97</f>
        <v>0</v>
      </c>
      <c r="S97" s="114">
        <f>'Reserve Bank'!G97-'Check RB Past'!G97</f>
        <v>0</v>
      </c>
      <c r="T97" s="114">
        <f>'Reserve Bank'!H97-'Check RB Past'!H97</f>
        <v>0</v>
      </c>
      <c r="U97" s="114">
        <f>'Reserve Bank'!I97-'Check RB Past'!I97</f>
        <v>0</v>
      </c>
      <c r="V97" s="1"/>
      <c r="W97" s="1"/>
      <c r="X97" s="1"/>
      <c r="Y97" s="1"/>
      <c r="Z97" s="1"/>
      <c r="AA97" s="1"/>
      <c r="AB97" s="1"/>
      <c r="AC97" s="1"/>
    </row>
    <row r="98" spans="1:29" s="14" customFormat="1" ht="12.75" customHeight="1" x14ac:dyDescent="0.2">
      <c r="A98" s="110">
        <v>39264</v>
      </c>
      <c r="B98" s="118">
        <v>14322</v>
      </c>
      <c r="C98" s="118">
        <v>411</v>
      </c>
      <c r="D98" s="118">
        <v>14733</v>
      </c>
      <c r="E98" s="119">
        <v>1902</v>
      </c>
      <c r="F98" s="119">
        <v>16635</v>
      </c>
      <c r="G98" s="119">
        <v>5634</v>
      </c>
      <c r="H98" s="118">
        <v>22269</v>
      </c>
      <c r="I98" s="118">
        <v>1011</v>
      </c>
      <c r="J98" s="20"/>
      <c r="K98" s="69"/>
      <c r="L98" s="69"/>
      <c r="M98" s="110">
        <v>39264</v>
      </c>
      <c r="N98" s="114">
        <f>'Reserve Bank'!B98-'Check RB Past'!B98</f>
        <v>0</v>
      </c>
      <c r="O98" s="114">
        <f>'Reserve Bank'!C98-'Check RB Past'!C98</f>
        <v>0</v>
      </c>
      <c r="P98" s="114">
        <f>'Reserve Bank'!D98-'Check RB Past'!D98</f>
        <v>0</v>
      </c>
      <c r="Q98" s="114">
        <f>'Reserve Bank'!E98-'Check RB Past'!E98</f>
        <v>0</v>
      </c>
      <c r="R98" s="114">
        <f>'Reserve Bank'!F98-'Check RB Past'!F98</f>
        <v>0</v>
      </c>
      <c r="S98" s="114">
        <f>'Reserve Bank'!G98-'Check RB Past'!G98</f>
        <v>0</v>
      </c>
      <c r="T98" s="114">
        <f>'Reserve Bank'!H98-'Check RB Past'!H98</f>
        <v>0</v>
      </c>
      <c r="U98" s="114">
        <f>'Reserve Bank'!I98-'Check RB Past'!I98</f>
        <v>0</v>
      </c>
      <c r="V98" s="1"/>
      <c r="W98" s="1"/>
      <c r="X98" s="1"/>
      <c r="Y98" s="1"/>
      <c r="Z98" s="1"/>
      <c r="AA98" s="1"/>
      <c r="AB98" s="1"/>
      <c r="AC98" s="1"/>
    </row>
    <row r="99" spans="1:29" s="14" customFormat="1" ht="12.75" customHeight="1" x14ac:dyDescent="0.2">
      <c r="A99" s="110">
        <v>39295</v>
      </c>
      <c r="B99" s="118">
        <v>15447</v>
      </c>
      <c r="C99" s="118">
        <v>617</v>
      </c>
      <c r="D99" s="118">
        <v>16064</v>
      </c>
      <c r="E99" s="119">
        <v>1731</v>
      </c>
      <c r="F99" s="119">
        <v>17795</v>
      </c>
      <c r="G99" s="119">
        <v>6123</v>
      </c>
      <c r="H99" s="118">
        <v>23918</v>
      </c>
      <c r="I99" s="118">
        <v>-254</v>
      </c>
      <c r="J99" s="20"/>
      <c r="K99" s="69"/>
      <c r="L99" s="69"/>
      <c r="M99" s="110">
        <v>39295</v>
      </c>
      <c r="N99" s="114">
        <f>'Reserve Bank'!B99-'Check RB Past'!B99</f>
        <v>0</v>
      </c>
      <c r="O99" s="114">
        <f>'Reserve Bank'!C99-'Check RB Past'!C99</f>
        <v>0</v>
      </c>
      <c r="P99" s="114">
        <f>'Reserve Bank'!D99-'Check RB Past'!D99</f>
        <v>0</v>
      </c>
      <c r="Q99" s="114">
        <f>'Reserve Bank'!E99-'Check RB Past'!E99</f>
        <v>0</v>
      </c>
      <c r="R99" s="114">
        <f>'Reserve Bank'!F99-'Check RB Past'!F99</f>
        <v>0</v>
      </c>
      <c r="S99" s="114">
        <f>'Reserve Bank'!G99-'Check RB Past'!G99</f>
        <v>0</v>
      </c>
      <c r="T99" s="114">
        <f>'Reserve Bank'!H99-'Check RB Past'!H99</f>
        <v>0</v>
      </c>
      <c r="U99" s="114">
        <f>'Reserve Bank'!I99-'Check RB Past'!I99</f>
        <v>0</v>
      </c>
      <c r="V99" s="1"/>
      <c r="W99" s="1"/>
      <c r="X99" s="1"/>
      <c r="Y99" s="1"/>
      <c r="Z99" s="1"/>
      <c r="AA99" s="1"/>
      <c r="AB99" s="1"/>
      <c r="AC99" s="1"/>
    </row>
    <row r="100" spans="1:29" s="14" customFormat="1" ht="12.75" customHeight="1" x14ac:dyDescent="0.2">
      <c r="A100" s="110">
        <v>39326</v>
      </c>
      <c r="B100" s="118">
        <v>14114</v>
      </c>
      <c r="C100" s="118">
        <v>272</v>
      </c>
      <c r="D100" s="118">
        <v>14386</v>
      </c>
      <c r="E100" s="118">
        <v>2055</v>
      </c>
      <c r="F100" s="119">
        <v>16441</v>
      </c>
      <c r="G100" s="118">
        <v>5884</v>
      </c>
      <c r="H100" s="118">
        <v>22325</v>
      </c>
      <c r="I100" s="118">
        <v>1020</v>
      </c>
      <c r="J100" s="20"/>
      <c r="K100" s="69"/>
      <c r="L100" s="69"/>
      <c r="M100" s="110">
        <v>39326</v>
      </c>
      <c r="N100" s="114">
        <f>'Reserve Bank'!B100-'Check RB Past'!B100</f>
        <v>0</v>
      </c>
      <c r="O100" s="114">
        <f>'Reserve Bank'!C100-'Check RB Past'!C100</f>
        <v>0</v>
      </c>
      <c r="P100" s="114">
        <f>'Reserve Bank'!D100-'Check RB Past'!D100</f>
        <v>0</v>
      </c>
      <c r="Q100" s="114">
        <f>'Reserve Bank'!E100-'Check RB Past'!E100</f>
        <v>0</v>
      </c>
      <c r="R100" s="114">
        <f>'Reserve Bank'!F100-'Check RB Past'!F100</f>
        <v>0</v>
      </c>
      <c r="S100" s="114">
        <f>'Reserve Bank'!G100-'Check RB Past'!G100</f>
        <v>0</v>
      </c>
      <c r="T100" s="114">
        <f>'Reserve Bank'!H100-'Check RB Past'!H100</f>
        <v>0</v>
      </c>
      <c r="U100" s="114">
        <f>'Reserve Bank'!I100-'Check RB Past'!I100</f>
        <v>0</v>
      </c>
      <c r="V100" s="1"/>
      <c r="W100" s="1"/>
      <c r="X100" s="1"/>
      <c r="Y100" s="1"/>
      <c r="Z100" s="1"/>
      <c r="AA100" s="1"/>
      <c r="AB100" s="1"/>
      <c r="AC100" s="1"/>
    </row>
    <row r="101" spans="1:29" s="14" customFormat="1" ht="12.75" customHeight="1" x14ac:dyDescent="0.2">
      <c r="A101" s="110">
        <v>39356</v>
      </c>
      <c r="B101" s="118">
        <v>14030</v>
      </c>
      <c r="C101" s="118">
        <v>-29</v>
      </c>
      <c r="D101" s="118">
        <v>14001</v>
      </c>
      <c r="E101" s="118">
        <v>2215</v>
      </c>
      <c r="F101" s="118">
        <v>16216</v>
      </c>
      <c r="G101" s="118">
        <v>6074</v>
      </c>
      <c r="H101" s="118">
        <v>22290</v>
      </c>
      <c r="I101" s="118">
        <v>1147</v>
      </c>
      <c r="J101" s="20"/>
      <c r="K101" s="69"/>
      <c r="L101" s="69"/>
      <c r="M101" s="110">
        <v>39356</v>
      </c>
      <c r="N101" s="114">
        <f>'Reserve Bank'!B101-'Check RB Past'!B101</f>
        <v>0</v>
      </c>
      <c r="O101" s="114">
        <f>'Reserve Bank'!C101-'Check RB Past'!C101</f>
        <v>0</v>
      </c>
      <c r="P101" s="114">
        <f>'Reserve Bank'!D101-'Check RB Past'!D101</f>
        <v>0</v>
      </c>
      <c r="Q101" s="114">
        <f>'Reserve Bank'!E101-'Check RB Past'!E101</f>
        <v>0</v>
      </c>
      <c r="R101" s="114">
        <f>'Reserve Bank'!F101-'Check RB Past'!F101</f>
        <v>0</v>
      </c>
      <c r="S101" s="114">
        <f>'Reserve Bank'!G101-'Check RB Past'!G101</f>
        <v>0</v>
      </c>
      <c r="T101" s="114">
        <f>'Reserve Bank'!H101-'Check RB Past'!H101</f>
        <v>0</v>
      </c>
      <c r="U101" s="114">
        <f>'Reserve Bank'!I101-'Check RB Past'!I101</f>
        <v>0</v>
      </c>
      <c r="V101" s="1"/>
      <c r="W101" s="1"/>
      <c r="X101" s="1"/>
      <c r="Y101" s="1"/>
      <c r="Z101" s="1"/>
      <c r="AA101" s="1"/>
      <c r="AB101" s="1"/>
      <c r="AC101" s="1"/>
    </row>
    <row r="102" spans="1:29" s="14" customFormat="1" ht="12.75" customHeight="1" x14ac:dyDescent="0.2">
      <c r="A102" s="110">
        <v>39387</v>
      </c>
      <c r="B102" s="118">
        <v>13511</v>
      </c>
      <c r="C102" s="118">
        <v>309</v>
      </c>
      <c r="D102" s="118">
        <v>13820</v>
      </c>
      <c r="E102" s="118">
        <v>2045</v>
      </c>
      <c r="F102" s="118">
        <v>15865</v>
      </c>
      <c r="G102" s="118">
        <v>6124</v>
      </c>
      <c r="H102" s="118">
        <v>21989</v>
      </c>
      <c r="I102" s="118">
        <v>1169</v>
      </c>
      <c r="J102" s="20"/>
      <c r="K102" s="69"/>
      <c r="L102" s="69"/>
      <c r="M102" s="110">
        <v>39387</v>
      </c>
      <c r="N102" s="114">
        <f>'Reserve Bank'!B102-'Check RB Past'!B102</f>
        <v>0</v>
      </c>
      <c r="O102" s="114">
        <f>'Reserve Bank'!C102-'Check RB Past'!C102</f>
        <v>0</v>
      </c>
      <c r="P102" s="114">
        <f>'Reserve Bank'!D102-'Check RB Past'!D102</f>
        <v>0</v>
      </c>
      <c r="Q102" s="114">
        <f>'Reserve Bank'!E102-'Check RB Past'!E102</f>
        <v>0</v>
      </c>
      <c r="R102" s="114">
        <f>'Reserve Bank'!F102-'Check RB Past'!F102</f>
        <v>0</v>
      </c>
      <c r="S102" s="114">
        <f>'Reserve Bank'!G102-'Check RB Past'!G102</f>
        <v>0</v>
      </c>
      <c r="T102" s="114">
        <f>'Reserve Bank'!H102-'Check RB Past'!H102</f>
        <v>0</v>
      </c>
      <c r="U102" s="114">
        <f>'Reserve Bank'!I102-'Check RB Past'!I102</f>
        <v>0</v>
      </c>
      <c r="V102" s="1"/>
      <c r="W102" s="1"/>
      <c r="X102" s="1"/>
      <c r="Y102" s="1"/>
      <c r="Z102" s="1"/>
      <c r="AA102" s="1"/>
      <c r="AB102" s="1"/>
      <c r="AC102" s="1"/>
    </row>
    <row r="103" spans="1:29" s="14" customFormat="1" ht="12.75" customHeight="1" x14ac:dyDescent="0.2">
      <c r="A103" s="110">
        <v>39417</v>
      </c>
      <c r="B103" s="118">
        <v>14526</v>
      </c>
      <c r="C103" s="118">
        <v>83</v>
      </c>
      <c r="D103" s="118">
        <v>14609</v>
      </c>
      <c r="E103" s="118">
        <v>1996</v>
      </c>
      <c r="F103" s="118">
        <v>16605</v>
      </c>
      <c r="G103" s="118">
        <v>5664</v>
      </c>
      <c r="H103" s="118">
        <v>22269</v>
      </c>
      <c r="I103" s="118">
        <v>932</v>
      </c>
      <c r="J103" s="20"/>
      <c r="K103" s="69"/>
      <c r="L103" s="69"/>
      <c r="M103" s="110">
        <v>39417</v>
      </c>
      <c r="N103" s="114">
        <f>'Reserve Bank'!B103-'Check RB Past'!B103</f>
        <v>0</v>
      </c>
      <c r="O103" s="114">
        <f>'Reserve Bank'!C103-'Check RB Past'!C103</f>
        <v>0</v>
      </c>
      <c r="P103" s="114">
        <f>'Reserve Bank'!D103-'Check RB Past'!D103</f>
        <v>0</v>
      </c>
      <c r="Q103" s="114">
        <f>'Reserve Bank'!E103-'Check RB Past'!E103</f>
        <v>0</v>
      </c>
      <c r="R103" s="114">
        <f>'Reserve Bank'!F103-'Check RB Past'!F103</f>
        <v>0</v>
      </c>
      <c r="S103" s="114">
        <f>'Reserve Bank'!G103-'Check RB Past'!G103</f>
        <v>0</v>
      </c>
      <c r="T103" s="114">
        <f>'Reserve Bank'!H103-'Check RB Past'!H103</f>
        <v>0</v>
      </c>
      <c r="U103" s="114">
        <f>'Reserve Bank'!I103-'Check RB Past'!I103</f>
        <v>0</v>
      </c>
      <c r="V103" s="1"/>
      <c r="W103" s="1"/>
      <c r="X103" s="1"/>
      <c r="Y103" s="1"/>
      <c r="Z103" s="1"/>
      <c r="AA103" s="1"/>
      <c r="AB103" s="1"/>
      <c r="AC103" s="1"/>
    </row>
    <row r="104" spans="1:29" s="14" customFormat="1" ht="12.75" customHeight="1" x14ac:dyDescent="0.2">
      <c r="A104" s="110">
        <v>39448</v>
      </c>
      <c r="B104" s="118">
        <v>14455</v>
      </c>
      <c r="C104" s="118">
        <v>206</v>
      </c>
      <c r="D104" s="118">
        <v>14661</v>
      </c>
      <c r="E104" s="118">
        <v>1990</v>
      </c>
      <c r="F104" s="118">
        <v>16651</v>
      </c>
      <c r="G104" s="118">
        <v>6015</v>
      </c>
      <c r="H104" s="118">
        <v>22666</v>
      </c>
      <c r="I104" s="118">
        <v>993</v>
      </c>
      <c r="J104" s="20"/>
      <c r="K104" s="69"/>
      <c r="L104" s="69"/>
      <c r="M104" s="110">
        <v>39448</v>
      </c>
      <c r="N104" s="114">
        <f>'Reserve Bank'!B104-'Check RB Past'!B104</f>
        <v>0</v>
      </c>
      <c r="O104" s="114">
        <f>'Reserve Bank'!C104-'Check RB Past'!C104</f>
        <v>0</v>
      </c>
      <c r="P104" s="114">
        <f>'Reserve Bank'!D104-'Check RB Past'!D104</f>
        <v>0</v>
      </c>
      <c r="Q104" s="114">
        <f>'Reserve Bank'!E104-'Check RB Past'!E104</f>
        <v>0</v>
      </c>
      <c r="R104" s="114">
        <f>'Reserve Bank'!F104-'Check RB Past'!F104</f>
        <v>0</v>
      </c>
      <c r="S104" s="114">
        <f>'Reserve Bank'!G104-'Check RB Past'!G104</f>
        <v>0</v>
      </c>
      <c r="T104" s="114">
        <f>'Reserve Bank'!H104-'Check RB Past'!H104</f>
        <v>0</v>
      </c>
      <c r="U104" s="114">
        <f>'Reserve Bank'!I104-'Check RB Past'!I104</f>
        <v>0</v>
      </c>
      <c r="V104" s="1"/>
      <c r="W104" s="1"/>
      <c r="X104" s="1"/>
      <c r="Y104" s="1"/>
      <c r="Z104" s="1"/>
      <c r="AA104" s="1"/>
      <c r="AB104" s="1"/>
      <c r="AC104" s="1"/>
    </row>
    <row r="105" spans="1:29" s="14" customFormat="1" ht="12.75" customHeight="1" x14ac:dyDescent="0.2">
      <c r="A105" s="110">
        <v>39479</v>
      </c>
      <c r="B105" s="118">
        <v>14091</v>
      </c>
      <c r="C105" s="118">
        <v>677</v>
      </c>
      <c r="D105" s="118">
        <v>14768</v>
      </c>
      <c r="E105" s="118">
        <v>1832</v>
      </c>
      <c r="F105" s="118">
        <v>16600</v>
      </c>
      <c r="G105" s="118">
        <v>5480</v>
      </c>
      <c r="H105" s="118">
        <v>22080</v>
      </c>
      <c r="I105" s="118">
        <v>1350</v>
      </c>
      <c r="J105" s="20"/>
      <c r="K105" s="69"/>
      <c r="L105" s="69"/>
      <c r="M105" s="110">
        <v>39479</v>
      </c>
      <c r="N105" s="114">
        <f>'Reserve Bank'!B105-'Check RB Past'!B105</f>
        <v>0</v>
      </c>
      <c r="O105" s="114">
        <f>'Reserve Bank'!C105-'Check RB Past'!C105</f>
        <v>0</v>
      </c>
      <c r="P105" s="114">
        <f>'Reserve Bank'!D105-'Check RB Past'!D105</f>
        <v>0</v>
      </c>
      <c r="Q105" s="114">
        <f>'Reserve Bank'!E105-'Check RB Past'!E105</f>
        <v>0</v>
      </c>
      <c r="R105" s="114">
        <f>'Reserve Bank'!F105-'Check RB Past'!F105</f>
        <v>0</v>
      </c>
      <c r="S105" s="114">
        <f>'Reserve Bank'!G105-'Check RB Past'!G105</f>
        <v>0</v>
      </c>
      <c r="T105" s="114">
        <f>'Reserve Bank'!H105-'Check RB Past'!H105</f>
        <v>0</v>
      </c>
      <c r="U105" s="114">
        <f>'Reserve Bank'!I105-'Check RB Past'!I105</f>
        <v>0</v>
      </c>
      <c r="V105" s="1"/>
      <c r="W105" s="1"/>
      <c r="X105" s="1"/>
      <c r="Y105" s="1"/>
      <c r="Z105" s="1"/>
      <c r="AA105" s="1"/>
      <c r="AB105" s="1"/>
      <c r="AC105" s="1"/>
    </row>
    <row r="106" spans="1:29" s="14" customFormat="1" ht="12.75" customHeight="1" x14ac:dyDescent="0.2">
      <c r="A106" s="110">
        <v>39508</v>
      </c>
      <c r="B106" s="118">
        <v>17111</v>
      </c>
      <c r="C106" s="118">
        <v>309</v>
      </c>
      <c r="D106" s="118">
        <v>17420</v>
      </c>
      <c r="E106" s="118">
        <v>1777</v>
      </c>
      <c r="F106" s="118">
        <v>19197</v>
      </c>
      <c r="G106" s="118">
        <v>5342</v>
      </c>
      <c r="H106" s="118">
        <v>24539</v>
      </c>
      <c r="I106" s="118">
        <v>804</v>
      </c>
      <c r="J106" s="20"/>
      <c r="K106" s="69"/>
      <c r="L106" s="69"/>
      <c r="M106" s="110">
        <v>39508</v>
      </c>
      <c r="N106" s="114">
        <f>'Reserve Bank'!B106-'Check RB Past'!B106</f>
        <v>0</v>
      </c>
      <c r="O106" s="114">
        <f>'Reserve Bank'!C106-'Check RB Past'!C106</f>
        <v>0</v>
      </c>
      <c r="P106" s="114">
        <f>'Reserve Bank'!D106-'Check RB Past'!D106</f>
        <v>0</v>
      </c>
      <c r="Q106" s="114">
        <f>'Reserve Bank'!E106-'Check RB Past'!E106</f>
        <v>0</v>
      </c>
      <c r="R106" s="114">
        <f>'Reserve Bank'!F106-'Check RB Past'!F106</f>
        <v>0</v>
      </c>
      <c r="S106" s="114">
        <f>'Reserve Bank'!G106-'Check RB Past'!G106</f>
        <v>0</v>
      </c>
      <c r="T106" s="114">
        <f>'Reserve Bank'!H106-'Check RB Past'!H106</f>
        <v>0</v>
      </c>
      <c r="U106" s="114">
        <f>'Reserve Bank'!I106-'Check RB Past'!I106</f>
        <v>0</v>
      </c>
      <c r="V106" s="1"/>
      <c r="W106" s="1"/>
      <c r="X106" s="1"/>
      <c r="Y106" s="1"/>
      <c r="Z106" s="1"/>
      <c r="AA106" s="1"/>
      <c r="AB106" s="1"/>
      <c r="AC106" s="1"/>
    </row>
    <row r="107" spans="1:29" s="14" customFormat="1" ht="12.75" customHeight="1" x14ac:dyDescent="0.2">
      <c r="A107" s="110">
        <v>39539</v>
      </c>
      <c r="B107" s="118">
        <v>16803</v>
      </c>
      <c r="C107" s="118">
        <v>629</v>
      </c>
      <c r="D107" s="118">
        <v>17432</v>
      </c>
      <c r="E107" s="118">
        <v>1716</v>
      </c>
      <c r="F107" s="118">
        <v>19148</v>
      </c>
      <c r="G107" s="118">
        <v>5596</v>
      </c>
      <c r="H107" s="118">
        <v>24744</v>
      </c>
      <c r="I107" s="118">
        <v>502</v>
      </c>
      <c r="J107" s="20"/>
      <c r="K107" s="69"/>
      <c r="L107" s="69"/>
      <c r="M107" s="110">
        <v>39539</v>
      </c>
      <c r="N107" s="114">
        <f>'Reserve Bank'!B107-'Check RB Past'!B107</f>
        <v>0</v>
      </c>
      <c r="O107" s="114">
        <f>'Reserve Bank'!C107-'Check RB Past'!C107</f>
        <v>0</v>
      </c>
      <c r="P107" s="114">
        <f>'Reserve Bank'!D107-'Check RB Past'!D107</f>
        <v>0</v>
      </c>
      <c r="Q107" s="114">
        <f>'Reserve Bank'!E107-'Check RB Past'!E107</f>
        <v>0</v>
      </c>
      <c r="R107" s="114">
        <f>'Reserve Bank'!F107-'Check RB Past'!F107</f>
        <v>0</v>
      </c>
      <c r="S107" s="114">
        <f>'Reserve Bank'!G107-'Check RB Past'!G107</f>
        <v>0</v>
      </c>
      <c r="T107" s="114">
        <f>'Reserve Bank'!H107-'Check RB Past'!H107</f>
        <v>0</v>
      </c>
      <c r="U107" s="114">
        <f>'Reserve Bank'!I107-'Check RB Past'!I107</f>
        <v>0</v>
      </c>
      <c r="V107" s="1"/>
      <c r="W107" s="1"/>
      <c r="X107" s="1"/>
      <c r="Y107" s="1"/>
      <c r="Z107" s="1"/>
      <c r="AA107" s="1"/>
      <c r="AB107" s="1"/>
      <c r="AC107" s="1"/>
    </row>
    <row r="108" spans="1:29" s="14" customFormat="1" ht="12.75" customHeight="1" x14ac:dyDescent="0.2">
      <c r="A108" s="110">
        <v>39569</v>
      </c>
      <c r="B108" s="118">
        <v>17487</v>
      </c>
      <c r="C108" s="118">
        <v>1060</v>
      </c>
      <c r="D108" s="118">
        <v>18547</v>
      </c>
      <c r="E108" s="118">
        <v>1797</v>
      </c>
      <c r="F108" s="118">
        <v>20344</v>
      </c>
      <c r="G108" s="118">
        <v>5678</v>
      </c>
      <c r="H108" s="118">
        <v>26022</v>
      </c>
      <c r="I108" s="118">
        <v>750</v>
      </c>
      <c r="J108" s="20"/>
      <c r="K108" s="69"/>
      <c r="L108" s="69"/>
      <c r="M108" s="110">
        <v>39569</v>
      </c>
      <c r="N108" s="114">
        <f>'Reserve Bank'!B108-'Check RB Past'!B108</f>
        <v>0</v>
      </c>
      <c r="O108" s="114">
        <f>'Reserve Bank'!C108-'Check RB Past'!C108</f>
        <v>0</v>
      </c>
      <c r="P108" s="114">
        <f>'Reserve Bank'!D108-'Check RB Past'!D108</f>
        <v>0</v>
      </c>
      <c r="Q108" s="114">
        <f>'Reserve Bank'!E108-'Check RB Past'!E108</f>
        <v>0</v>
      </c>
      <c r="R108" s="114">
        <f>'Reserve Bank'!F108-'Check RB Past'!F108</f>
        <v>0</v>
      </c>
      <c r="S108" s="114">
        <f>'Reserve Bank'!G108-'Check RB Past'!G108</f>
        <v>0</v>
      </c>
      <c r="T108" s="114">
        <f>'Reserve Bank'!H108-'Check RB Past'!H108</f>
        <v>0</v>
      </c>
      <c r="U108" s="114">
        <f>'Reserve Bank'!I108-'Check RB Past'!I108</f>
        <v>0</v>
      </c>
      <c r="V108" s="1"/>
      <c r="W108" s="1"/>
      <c r="X108" s="1"/>
      <c r="Y108" s="1"/>
      <c r="Z108" s="1"/>
      <c r="AA108" s="1"/>
      <c r="AB108" s="1"/>
      <c r="AC108" s="1"/>
    </row>
    <row r="109" spans="1:29" s="14" customFormat="1" ht="12.75" customHeight="1" x14ac:dyDescent="0.2">
      <c r="A109" s="110">
        <v>39600</v>
      </c>
      <c r="B109" s="118">
        <v>17694</v>
      </c>
      <c r="C109" s="118">
        <v>558</v>
      </c>
      <c r="D109" s="118">
        <v>18252</v>
      </c>
      <c r="E109" s="118">
        <v>1684</v>
      </c>
      <c r="F109" s="118">
        <v>19936</v>
      </c>
      <c r="G109" s="118">
        <v>5688</v>
      </c>
      <c r="H109" s="118">
        <v>25624</v>
      </c>
      <c r="I109" s="118">
        <v>122</v>
      </c>
      <c r="J109" s="20"/>
      <c r="K109" s="69"/>
      <c r="L109" s="69"/>
      <c r="M109" s="110">
        <v>39600</v>
      </c>
      <c r="N109" s="114">
        <f>'Reserve Bank'!B109-'Check RB Past'!B109</f>
        <v>0</v>
      </c>
      <c r="O109" s="114">
        <f>'Reserve Bank'!C109-'Check RB Past'!C109</f>
        <v>0</v>
      </c>
      <c r="P109" s="114">
        <f>'Reserve Bank'!D109-'Check RB Past'!D109</f>
        <v>0</v>
      </c>
      <c r="Q109" s="114">
        <f>'Reserve Bank'!E109-'Check RB Past'!E109</f>
        <v>0</v>
      </c>
      <c r="R109" s="114">
        <f>'Reserve Bank'!F109-'Check RB Past'!F109</f>
        <v>0</v>
      </c>
      <c r="S109" s="114">
        <f>'Reserve Bank'!G109-'Check RB Past'!G109</f>
        <v>0</v>
      </c>
      <c r="T109" s="114">
        <f>'Reserve Bank'!H109-'Check RB Past'!H109</f>
        <v>0</v>
      </c>
      <c r="U109" s="114">
        <f>'Reserve Bank'!I109-'Check RB Past'!I109</f>
        <v>0</v>
      </c>
      <c r="V109" s="1"/>
      <c r="W109" s="1"/>
      <c r="X109" s="1"/>
      <c r="Y109" s="1"/>
      <c r="Z109" s="1"/>
      <c r="AA109" s="1"/>
      <c r="AB109" s="1"/>
      <c r="AC109" s="1"/>
    </row>
    <row r="110" spans="1:29" s="14" customFormat="1" ht="12.75" customHeight="1" x14ac:dyDescent="0.2">
      <c r="A110" s="110">
        <v>39630</v>
      </c>
      <c r="B110" s="118">
        <v>13707</v>
      </c>
      <c r="C110" s="118">
        <v>499</v>
      </c>
      <c r="D110" s="118">
        <v>14206</v>
      </c>
      <c r="E110" s="118">
        <v>1876</v>
      </c>
      <c r="F110" s="118">
        <v>16082</v>
      </c>
      <c r="G110" s="118">
        <v>4498</v>
      </c>
      <c r="H110" s="118">
        <v>20580</v>
      </c>
      <c r="I110" s="118">
        <v>24</v>
      </c>
      <c r="J110" s="20"/>
      <c r="K110" s="69"/>
      <c r="L110" s="69"/>
      <c r="M110" s="110">
        <v>39630</v>
      </c>
      <c r="N110" s="114">
        <f>'Reserve Bank'!B110-'Check RB Past'!B110</f>
        <v>0</v>
      </c>
      <c r="O110" s="114">
        <f>'Reserve Bank'!C110-'Check RB Past'!C110</f>
        <v>0</v>
      </c>
      <c r="P110" s="114">
        <f>'Reserve Bank'!D110-'Check RB Past'!D110</f>
        <v>0</v>
      </c>
      <c r="Q110" s="114">
        <f>'Reserve Bank'!E110-'Check RB Past'!E110</f>
        <v>0</v>
      </c>
      <c r="R110" s="114">
        <f>'Reserve Bank'!F110-'Check RB Past'!F110</f>
        <v>0</v>
      </c>
      <c r="S110" s="114">
        <f>'Reserve Bank'!G110-'Check RB Past'!G110</f>
        <v>0</v>
      </c>
      <c r="T110" s="114">
        <f>'Reserve Bank'!H110-'Check RB Past'!H110</f>
        <v>0</v>
      </c>
      <c r="U110" s="114">
        <f>'Reserve Bank'!I110-'Check RB Past'!I110</f>
        <v>0</v>
      </c>
      <c r="V110" s="1"/>
      <c r="W110" s="1"/>
      <c r="X110" s="1"/>
      <c r="Y110" s="1"/>
      <c r="Z110" s="1"/>
      <c r="AA110" s="1"/>
      <c r="AB110" s="1"/>
      <c r="AC110" s="1"/>
    </row>
    <row r="111" spans="1:29" s="14" customFormat="1" ht="12.75" customHeight="1" x14ac:dyDescent="0.2">
      <c r="A111" s="110">
        <v>39661</v>
      </c>
      <c r="B111" s="118">
        <v>12574</v>
      </c>
      <c r="C111" s="118">
        <v>367</v>
      </c>
      <c r="D111" s="118">
        <v>12941</v>
      </c>
      <c r="E111" s="118">
        <v>2601</v>
      </c>
      <c r="F111" s="118">
        <v>15542</v>
      </c>
      <c r="G111" s="118">
        <v>4566</v>
      </c>
      <c r="H111" s="118">
        <v>20108</v>
      </c>
      <c r="I111" s="118">
        <v>-64</v>
      </c>
      <c r="J111" s="20"/>
      <c r="K111" s="69"/>
      <c r="L111" s="69"/>
      <c r="M111" s="110">
        <v>39661</v>
      </c>
      <c r="N111" s="114">
        <f>'Reserve Bank'!B111-'Check RB Past'!B111</f>
        <v>0</v>
      </c>
      <c r="O111" s="114">
        <f>'Reserve Bank'!C111-'Check RB Past'!C111</f>
        <v>0</v>
      </c>
      <c r="P111" s="114">
        <f>'Reserve Bank'!D111-'Check RB Past'!D111</f>
        <v>0</v>
      </c>
      <c r="Q111" s="114">
        <f>'Reserve Bank'!E111-'Check RB Past'!E111</f>
        <v>0</v>
      </c>
      <c r="R111" s="114">
        <f>'Reserve Bank'!F111-'Check RB Past'!F111</f>
        <v>0</v>
      </c>
      <c r="S111" s="114">
        <f>'Reserve Bank'!G111-'Check RB Past'!G111</f>
        <v>0</v>
      </c>
      <c r="T111" s="114">
        <f>'Reserve Bank'!H111-'Check RB Past'!H111</f>
        <v>0</v>
      </c>
      <c r="U111" s="114">
        <f>'Reserve Bank'!I111-'Check RB Past'!I111</f>
        <v>0</v>
      </c>
      <c r="V111" s="1"/>
      <c r="W111" s="1"/>
      <c r="X111" s="1"/>
      <c r="Y111" s="1"/>
      <c r="Z111" s="1"/>
      <c r="AA111" s="1"/>
      <c r="AB111" s="1"/>
      <c r="AC111" s="1"/>
    </row>
    <row r="112" spans="1:29" s="14" customFormat="1" ht="12.75" customHeight="1" x14ac:dyDescent="0.2">
      <c r="A112" s="110">
        <v>39692</v>
      </c>
      <c r="B112" s="118">
        <v>12386</v>
      </c>
      <c r="C112" s="118">
        <v>384</v>
      </c>
      <c r="D112" s="118">
        <v>12770</v>
      </c>
      <c r="E112" s="118">
        <v>3772</v>
      </c>
      <c r="F112" s="118">
        <v>16542</v>
      </c>
      <c r="G112" s="118">
        <v>4875</v>
      </c>
      <c r="H112" s="118">
        <v>21417</v>
      </c>
      <c r="I112" s="118">
        <v>-375</v>
      </c>
      <c r="J112" s="20"/>
      <c r="K112" s="69"/>
      <c r="L112" s="69"/>
      <c r="M112" s="110">
        <v>39692</v>
      </c>
      <c r="N112" s="114">
        <f>'Reserve Bank'!B112-'Check RB Past'!B112</f>
        <v>0</v>
      </c>
      <c r="O112" s="114">
        <f>'Reserve Bank'!C112-'Check RB Past'!C112</f>
        <v>0</v>
      </c>
      <c r="P112" s="114">
        <f>'Reserve Bank'!D112-'Check RB Past'!D112</f>
        <v>0</v>
      </c>
      <c r="Q112" s="114">
        <f>'Reserve Bank'!E112-'Check RB Past'!E112</f>
        <v>0</v>
      </c>
      <c r="R112" s="114">
        <f>'Reserve Bank'!F112-'Check RB Past'!F112</f>
        <v>0</v>
      </c>
      <c r="S112" s="114">
        <f>'Reserve Bank'!G112-'Check RB Past'!G112</f>
        <v>0</v>
      </c>
      <c r="T112" s="114">
        <f>'Reserve Bank'!H112-'Check RB Past'!H112</f>
        <v>0</v>
      </c>
      <c r="U112" s="114">
        <f>'Reserve Bank'!I112-'Check RB Past'!I112</f>
        <v>0</v>
      </c>
      <c r="V112" s="1"/>
      <c r="W112" s="1"/>
      <c r="X112" s="1"/>
      <c r="Y112" s="1"/>
      <c r="Z112" s="1"/>
      <c r="AA112" s="1"/>
      <c r="AB112" s="1"/>
      <c r="AC112" s="1"/>
    </row>
    <row r="113" spans="1:29" s="14" customFormat="1" ht="12.75" customHeight="1" x14ac:dyDescent="0.2">
      <c r="A113" s="110">
        <v>39722</v>
      </c>
      <c r="B113" s="118">
        <v>12212</v>
      </c>
      <c r="C113" s="118">
        <v>844</v>
      </c>
      <c r="D113" s="118">
        <v>13056</v>
      </c>
      <c r="E113" s="118">
        <v>2376</v>
      </c>
      <c r="F113" s="118">
        <v>15432</v>
      </c>
      <c r="G113" s="118">
        <v>6495</v>
      </c>
      <c r="H113" s="118">
        <v>21927</v>
      </c>
      <c r="I113" s="118">
        <v>-992</v>
      </c>
      <c r="J113" s="20"/>
      <c r="K113" s="69"/>
      <c r="L113" s="69"/>
      <c r="M113" s="110">
        <v>39722</v>
      </c>
      <c r="N113" s="114">
        <f>'Reserve Bank'!B113-'Check RB Past'!B113</f>
        <v>0</v>
      </c>
      <c r="O113" s="114">
        <f>'Reserve Bank'!C113-'Check RB Past'!C113</f>
        <v>0</v>
      </c>
      <c r="P113" s="114">
        <f>'Reserve Bank'!D113-'Check RB Past'!D113</f>
        <v>0</v>
      </c>
      <c r="Q113" s="114">
        <f>'Reserve Bank'!E113-'Check RB Past'!E113</f>
        <v>0</v>
      </c>
      <c r="R113" s="114">
        <f>'Reserve Bank'!F113-'Check RB Past'!F113</f>
        <v>0</v>
      </c>
      <c r="S113" s="114">
        <f>'Reserve Bank'!G113-'Check RB Past'!G113</f>
        <v>0</v>
      </c>
      <c r="T113" s="114">
        <f>'Reserve Bank'!H113-'Check RB Past'!H113</f>
        <v>0</v>
      </c>
      <c r="U113" s="114">
        <f>'Reserve Bank'!I113-'Check RB Past'!I113</f>
        <v>0</v>
      </c>
      <c r="V113" s="1"/>
      <c r="W113" s="1"/>
      <c r="X113" s="1"/>
      <c r="Y113" s="1"/>
      <c r="Z113" s="1"/>
      <c r="AA113" s="1"/>
      <c r="AB113" s="1"/>
      <c r="AC113" s="1"/>
    </row>
    <row r="114" spans="1:29" s="14" customFormat="1" ht="12.75" customHeight="1" x14ac:dyDescent="0.2">
      <c r="A114" s="110">
        <v>39753</v>
      </c>
      <c r="B114" s="118">
        <v>12264</v>
      </c>
      <c r="C114" s="118">
        <v>1745</v>
      </c>
      <c r="D114" s="118">
        <v>14009</v>
      </c>
      <c r="E114" s="118">
        <v>1250</v>
      </c>
      <c r="F114" s="118">
        <v>15259</v>
      </c>
      <c r="G114" s="118">
        <v>6339</v>
      </c>
      <c r="H114" s="118">
        <v>21598</v>
      </c>
      <c r="I114" s="118">
        <v>-874</v>
      </c>
      <c r="J114" s="20"/>
      <c r="K114" s="69"/>
      <c r="L114" s="69"/>
      <c r="M114" s="110">
        <v>39753</v>
      </c>
      <c r="N114" s="114">
        <f>'Reserve Bank'!B114-'Check RB Past'!B114</f>
        <v>0</v>
      </c>
      <c r="O114" s="114">
        <f>'Reserve Bank'!C114-'Check RB Past'!C114</f>
        <v>0</v>
      </c>
      <c r="P114" s="114">
        <f>'Reserve Bank'!D114-'Check RB Past'!D114</f>
        <v>0</v>
      </c>
      <c r="Q114" s="114">
        <f>'Reserve Bank'!E114-'Check RB Past'!E114</f>
        <v>0</v>
      </c>
      <c r="R114" s="114">
        <f>'Reserve Bank'!F114-'Check RB Past'!F114</f>
        <v>0</v>
      </c>
      <c r="S114" s="114">
        <f>'Reserve Bank'!G114-'Check RB Past'!G114</f>
        <v>0</v>
      </c>
      <c r="T114" s="114">
        <f>'Reserve Bank'!H114-'Check RB Past'!H114</f>
        <v>0</v>
      </c>
      <c r="U114" s="114">
        <f>'Reserve Bank'!I114-'Check RB Past'!I114</f>
        <v>0</v>
      </c>
      <c r="V114" s="1"/>
      <c r="W114" s="1"/>
      <c r="X114" s="1"/>
      <c r="Y114" s="1"/>
      <c r="Z114" s="1"/>
      <c r="AA114" s="1"/>
      <c r="AB114" s="1"/>
      <c r="AC114" s="1"/>
    </row>
    <row r="115" spans="1:29" s="12" customFormat="1" ht="12.75" customHeight="1" x14ac:dyDescent="0.2">
      <c r="A115" s="110">
        <v>39783</v>
      </c>
      <c r="B115" s="117">
        <v>12155</v>
      </c>
      <c r="C115" s="117">
        <v>844</v>
      </c>
      <c r="D115" s="117">
        <v>12999</v>
      </c>
      <c r="E115" s="117">
        <v>1798</v>
      </c>
      <c r="F115" s="117">
        <v>14797</v>
      </c>
      <c r="G115" s="117">
        <v>4308</v>
      </c>
      <c r="H115" s="117">
        <v>19105</v>
      </c>
      <c r="I115" s="117">
        <v>-273</v>
      </c>
      <c r="J115" s="107"/>
      <c r="K115" s="69"/>
      <c r="L115" s="69"/>
      <c r="M115" s="110">
        <v>39783</v>
      </c>
      <c r="N115" s="114">
        <f>'Reserve Bank'!B115-'Check RB Past'!B115</f>
        <v>0</v>
      </c>
      <c r="O115" s="114">
        <f>'Reserve Bank'!C115-'Check RB Past'!C115</f>
        <v>0</v>
      </c>
      <c r="P115" s="114">
        <f>'Reserve Bank'!D115-'Check RB Past'!D115</f>
        <v>0</v>
      </c>
      <c r="Q115" s="114">
        <f>'Reserve Bank'!E115-'Check RB Past'!E115</f>
        <v>0</v>
      </c>
      <c r="R115" s="114">
        <f>'Reserve Bank'!F115-'Check RB Past'!F115</f>
        <v>0</v>
      </c>
      <c r="S115" s="114">
        <f>'Reserve Bank'!G115-'Check RB Past'!G115</f>
        <v>0</v>
      </c>
      <c r="T115" s="114">
        <f>'Reserve Bank'!H115-'Check RB Past'!H115</f>
        <v>0</v>
      </c>
      <c r="U115" s="114">
        <f>'Reserve Bank'!I115-'Check RB Past'!I115</f>
        <v>0</v>
      </c>
      <c r="V115" s="13"/>
      <c r="W115" s="13"/>
      <c r="X115" s="13"/>
      <c r="Y115" s="13"/>
      <c r="Z115" s="13"/>
      <c r="AA115" s="13"/>
      <c r="AB115" s="13"/>
      <c r="AC115" s="13"/>
    </row>
    <row r="116" spans="1:29" s="12" customFormat="1" ht="12.75" customHeight="1" x14ac:dyDescent="0.2">
      <c r="A116" s="110">
        <v>39814</v>
      </c>
      <c r="B116" s="117">
        <v>17851</v>
      </c>
      <c r="C116" s="117">
        <v>1165</v>
      </c>
      <c r="D116" s="117">
        <v>19016</v>
      </c>
      <c r="E116" s="117">
        <v>1672</v>
      </c>
      <c r="F116" s="117">
        <v>20688</v>
      </c>
      <c r="G116" s="117">
        <v>3453</v>
      </c>
      <c r="H116" s="117">
        <v>24141</v>
      </c>
      <c r="I116" s="117">
        <v>-776</v>
      </c>
      <c r="J116" s="107"/>
      <c r="K116" s="69"/>
      <c r="L116" s="69"/>
      <c r="M116" s="110">
        <v>39814</v>
      </c>
      <c r="N116" s="114">
        <f>'Reserve Bank'!B116-'Check RB Past'!B116</f>
        <v>0</v>
      </c>
      <c r="O116" s="114">
        <f>'Reserve Bank'!C116-'Check RB Past'!C116</f>
        <v>0</v>
      </c>
      <c r="P116" s="114">
        <f>'Reserve Bank'!D116-'Check RB Past'!D116</f>
        <v>0</v>
      </c>
      <c r="Q116" s="114">
        <f>'Reserve Bank'!E116-'Check RB Past'!E116</f>
        <v>0</v>
      </c>
      <c r="R116" s="114">
        <f>'Reserve Bank'!F116-'Check RB Past'!F116</f>
        <v>0</v>
      </c>
      <c r="S116" s="114">
        <f>'Reserve Bank'!G116-'Check RB Past'!G116</f>
        <v>0</v>
      </c>
      <c r="T116" s="114">
        <f>'Reserve Bank'!H116-'Check RB Past'!H116</f>
        <v>0</v>
      </c>
      <c r="U116" s="114">
        <f>'Reserve Bank'!I116-'Check RB Past'!I116</f>
        <v>0</v>
      </c>
      <c r="V116" s="13"/>
      <c r="W116" s="13"/>
      <c r="X116" s="13"/>
      <c r="Y116" s="13"/>
      <c r="Z116" s="13"/>
      <c r="AA116" s="13"/>
      <c r="AB116" s="13"/>
      <c r="AC116" s="13"/>
    </row>
    <row r="117" spans="1:29" s="12" customFormat="1" ht="12.75" customHeight="1" x14ac:dyDescent="0.2">
      <c r="A117" s="110">
        <v>39845</v>
      </c>
      <c r="B117" s="117">
        <v>18759</v>
      </c>
      <c r="C117" s="117">
        <v>946</v>
      </c>
      <c r="D117" s="117">
        <v>19705</v>
      </c>
      <c r="E117" s="117">
        <v>1261</v>
      </c>
      <c r="F117" s="117">
        <v>20966</v>
      </c>
      <c r="G117" s="117">
        <v>3235</v>
      </c>
      <c r="H117" s="117">
        <v>24201</v>
      </c>
      <c r="I117" s="117">
        <v>-947</v>
      </c>
      <c r="J117" s="107"/>
      <c r="K117" s="69"/>
      <c r="L117" s="69"/>
      <c r="M117" s="110">
        <v>39845</v>
      </c>
      <c r="N117" s="114">
        <f>'Reserve Bank'!B117-'Check RB Past'!B117</f>
        <v>0</v>
      </c>
      <c r="O117" s="114">
        <f>'Reserve Bank'!C117-'Check RB Past'!C117</f>
        <v>0</v>
      </c>
      <c r="P117" s="114">
        <f>'Reserve Bank'!D117-'Check RB Past'!D117</f>
        <v>0</v>
      </c>
      <c r="Q117" s="114">
        <f>'Reserve Bank'!E117-'Check RB Past'!E117</f>
        <v>0</v>
      </c>
      <c r="R117" s="114">
        <f>'Reserve Bank'!F117-'Check RB Past'!F117</f>
        <v>0</v>
      </c>
      <c r="S117" s="114">
        <f>'Reserve Bank'!G117-'Check RB Past'!G117</f>
        <v>0</v>
      </c>
      <c r="T117" s="114">
        <f>'Reserve Bank'!H117-'Check RB Past'!H117</f>
        <v>0</v>
      </c>
      <c r="U117" s="114">
        <f>'Reserve Bank'!I117-'Check RB Past'!I117</f>
        <v>0</v>
      </c>
      <c r="V117" s="13"/>
      <c r="W117" s="13"/>
      <c r="X117" s="13"/>
      <c r="Y117" s="13"/>
      <c r="Z117" s="13"/>
      <c r="AA117" s="13"/>
      <c r="AB117" s="13"/>
      <c r="AC117" s="13"/>
    </row>
    <row r="118" spans="1:29" s="12" customFormat="1" ht="12.75" customHeight="1" x14ac:dyDescent="0.2">
      <c r="A118" s="110">
        <v>39873</v>
      </c>
      <c r="B118" s="117">
        <v>14706</v>
      </c>
      <c r="C118" s="117">
        <v>1222</v>
      </c>
      <c r="D118" s="117">
        <v>15928</v>
      </c>
      <c r="E118" s="117">
        <v>1162</v>
      </c>
      <c r="F118" s="117">
        <v>17090</v>
      </c>
      <c r="G118" s="117">
        <v>3374</v>
      </c>
      <c r="H118" s="117">
        <v>20464</v>
      </c>
      <c r="I118" s="117">
        <v>264</v>
      </c>
      <c r="J118" s="107"/>
      <c r="K118" s="69"/>
      <c r="L118" s="69"/>
      <c r="M118" s="110">
        <v>39873</v>
      </c>
      <c r="N118" s="114">
        <f>'Reserve Bank'!B118-'Check RB Past'!B118</f>
        <v>0</v>
      </c>
      <c r="O118" s="114">
        <f>'Reserve Bank'!C118-'Check RB Past'!C118</f>
        <v>0</v>
      </c>
      <c r="P118" s="114">
        <f>'Reserve Bank'!D118-'Check RB Past'!D118</f>
        <v>0</v>
      </c>
      <c r="Q118" s="114">
        <f>'Reserve Bank'!E118-'Check RB Past'!E118</f>
        <v>0</v>
      </c>
      <c r="R118" s="114">
        <f>'Reserve Bank'!F118-'Check RB Past'!F118</f>
        <v>0</v>
      </c>
      <c r="S118" s="114">
        <f>'Reserve Bank'!G118-'Check RB Past'!G118</f>
        <v>0</v>
      </c>
      <c r="T118" s="114">
        <f>'Reserve Bank'!H118-'Check RB Past'!H118</f>
        <v>0</v>
      </c>
      <c r="U118" s="114">
        <f>'Reserve Bank'!I118-'Check RB Past'!I118</f>
        <v>0</v>
      </c>
      <c r="V118" s="13"/>
      <c r="W118" s="13"/>
      <c r="X118" s="13"/>
      <c r="Y118" s="13"/>
      <c r="Z118" s="13"/>
      <c r="AA118" s="13"/>
      <c r="AB118" s="13"/>
      <c r="AC118" s="13"/>
    </row>
    <row r="119" spans="1:29" s="12" customFormat="1" ht="12.75" customHeight="1" x14ac:dyDescent="0.2">
      <c r="A119" s="110">
        <v>39904</v>
      </c>
      <c r="B119" s="117">
        <v>14332</v>
      </c>
      <c r="C119" s="117">
        <v>994</v>
      </c>
      <c r="D119" s="117">
        <v>15326</v>
      </c>
      <c r="E119" s="117">
        <v>698</v>
      </c>
      <c r="F119" s="117">
        <v>16024</v>
      </c>
      <c r="G119" s="117">
        <v>3196</v>
      </c>
      <c r="H119" s="117">
        <v>19220</v>
      </c>
      <c r="I119" s="117">
        <v>162</v>
      </c>
      <c r="J119" s="107"/>
      <c r="K119" s="69"/>
      <c r="L119" s="69"/>
      <c r="M119" s="110">
        <v>39904</v>
      </c>
      <c r="N119" s="114">
        <f>'Reserve Bank'!B119-'Check RB Past'!B119</f>
        <v>0</v>
      </c>
      <c r="O119" s="114">
        <f>'Reserve Bank'!C119-'Check RB Past'!C119</f>
        <v>0</v>
      </c>
      <c r="P119" s="114">
        <f>'Reserve Bank'!D119-'Check RB Past'!D119</f>
        <v>0</v>
      </c>
      <c r="Q119" s="114">
        <f>'Reserve Bank'!E119-'Check RB Past'!E119</f>
        <v>0</v>
      </c>
      <c r="R119" s="114">
        <f>'Reserve Bank'!F119-'Check RB Past'!F119</f>
        <v>0</v>
      </c>
      <c r="S119" s="114">
        <f>'Reserve Bank'!G119-'Check RB Past'!G119</f>
        <v>0</v>
      </c>
      <c r="T119" s="114">
        <f>'Reserve Bank'!H119-'Check RB Past'!H119</f>
        <v>0</v>
      </c>
      <c r="U119" s="114">
        <f>'Reserve Bank'!I119-'Check RB Past'!I119</f>
        <v>0</v>
      </c>
      <c r="V119" s="13"/>
      <c r="W119" s="13"/>
      <c r="X119" s="13"/>
      <c r="Y119" s="13"/>
      <c r="Z119" s="13"/>
      <c r="AA119" s="13"/>
      <c r="AB119" s="13"/>
      <c r="AC119" s="13"/>
    </row>
    <row r="120" spans="1:29" s="12" customFormat="1" ht="12.75" customHeight="1" x14ac:dyDescent="0.2">
      <c r="A120" s="110">
        <v>39934</v>
      </c>
      <c r="B120" s="117">
        <v>14329</v>
      </c>
      <c r="C120" s="117">
        <v>897</v>
      </c>
      <c r="D120" s="117">
        <v>15226</v>
      </c>
      <c r="E120" s="117">
        <v>1924</v>
      </c>
      <c r="F120" s="117">
        <v>17150</v>
      </c>
      <c r="G120" s="117">
        <v>3411</v>
      </c>
      <c r="H120" s="117">
        <v>20561</v>
      </c>
      <c r="I120" s="117">
        <v>1345</v>
      </c>
      <c r="J120" s="107"/>
      <c r="K120" s="69"/>
      <c r="L120" s="69"/>
      <c r="M120" s="110">
        <v>39934</v>
      </c>
      <c r="N120" s="114">
        <f>'Reserve Bank'!B120-'Check RB Past'!B120</f>
        <v>0</v>
      </c>
      <c r="O120" s="114">
        <f>'Reserve Bank'!C120-'Check RB Past'!C120</f>
        <v>0</v>
      </c>
      <c r="P120" s="114">
        <f>'Reserve Bank'!D120-'Check RB Past'!D120</f>
        <v>0</v>
      </c>
      <c r="Q120" s="114">
        <f>'Reserve Bank'!E120-'Check RB Past'!E120</f>
        <v>0</v>
      </c>
      <c r="R120" s="114">
        <f>'Reserve Bank'!F120-'Check RB Past'!F120</f>
        <v>0</v>
      </c>
      <c r="S120" s="114">
        <f>'Reserve Bank'!G120-'Check RB Past'!G120</f>
        <v>0</v>
      </c>
      <c r="T120" s="114">
        <f>'Reserve Bank'!H120-'Check RB Past'!H120</f>
        <v>0</v>
      </c>
      <c r="U120" s="114">
        <f>'Reserve Bank'!I120-'Check RB Past'!I120</f>
        <v>0</v>
      </c>
      <c r="V120" s="13"/>
      <c r="W120" s="13"/>
      <c r="X120" s="13"/>
      <c r="Y120" s="13"/>
      <c r="Z120" s="13"/>
      <c r="AA120" s="13"/>
      <c r="AB120" s="13"/>
      <c r="AC120" s="13"/>
    </row>
    <row r="121" spans="1:29" s="12" customFormat="1" ht="12.75" customHeight="1" x14ac:dyDescent="0.2">
      <c r="A121" s="110">
        <v>39965</v>
      </c>
      <c r="B121" s="117">
        <v>14722</v>
      </c>
      <c r="C121" s="117">
        <v>267</v>
      </c>
      <c r="D121" s="117">
        <v>14989</v>
      </c>
      <c r="E121" s="117">
        <v>2008</v>
      </c>
      <c r="F121" s="117">
        <v>16997</v>
      </c>
      <c r="G121" s="117">
        <v>3270</v>
      </c>
      <c r="H121" s="117">
        <v>20267</v>
      </c>
      <c r="I121" s="117">
        <v>1334</v>
      </c>
      <c r="J121" s="107"/>
      <c r="K121" s="69"/>
      <c r="L121" s="69"/>
      <c r="M121" s="110">
        <v>39965</v>
      </c>
      <c r="N121" s="114">
        <f>'Reserve Bank'!B121-'Check RB Past'!B121</f>
        <v>0</v>
      </c>
      <c r="O121" s="114">
        <f>'Reserve Bank'!C121-'Check RB Past'!C121</f>
        <v>0</v>
      </c>
      <c r="P121" s="114">
        <f>'Reserve Bank'!D121-'Check RB Past'!D121</f>
        <v>0</v>
      </c>
      <c r="Q121" s="114">
        <f>'Reserve Bank'!E121-'Check RB Past'!E121</f>
        <v>0</v>
      </c>
      <c r="R121" s="114">
        <f>'Reserve Bank'!F121-'Check RB Past'!F121</f>
        <v>0</v>
      </c>
      <c r="S121" s="114">
        <f>'Reserve Bank'!G121-'Check RB Past'!G121</f>
        <v>0</v>
      </c>
      <c r="T121" s="114">
        <f>'Reserve Bank'!H121-'Check RB Past'!H121</f>
        <v>0</v>
      </c>
      <c r="U121" s="114">
        <f>'Reserve Bank'!I121-'Check RB Past'!I121</f>
        <v>0</v>
      </c>
      <c r="V121" s="13"/>
      <c r="W121" s="13"/>
      <c r="X121" s="13"/>
      <c r="Y121" s="13"/>
      <c r="Z121" s="13"/>
      <c r="AA121" s="13"/>
      <c r="AB121" s="13"/>
      <c r="AC121" s="13"/>
    </row>
    <row r="122" spans="1:29" s="12" customFormat="1" ht="12.75" customHeight="1" x14ac:dyDescent="0.2">
      <c r="A122" s="110">
        <v>39995</v>
      </c>
      <c r="B122" s="117">
        <v>13264</v>
      </c>
      <c r="C122" s="117">
        <v>395</v>
      </c>
      <c r="D122" s="117">
        <v>13659</v>
      </c>
      <c r="E122" s="117">
        <v>1223</v>
      </c>
      <c r="F122" s="117">
        <v>14882</v>
      </c>
      <c r="G122" s="117">
        <v>2793</v>
      </c>
      <c r="H122" s="117">
        <v>17675</v>
      </c>
      <c r="I122" s="117">
        <v>1296</v>
      </c>
      <c r="J122" s="107"/>
      <c r="K122" s="69"/>
      <c r="L122" s="69"/>
      <c r="M122" s="110">
        <v>39995</v>
      </c>
      <c r="N122" s="114">
        <f>'Reserve Bank'!B122-'Check RB Past'!B122</f>
        <v>0</v>
      </c>
      <c r="O122" s="114">
        <f>'Reserve Bank'!C122-'Check RB Past'!C122</f>
        <v>0</v>
      </c>
      <c r="P122" s="114">
        <f>'Reserve Bank'!D122-'Check RB Past'!D122</f>
        <v>0</v>
      </c>
      <c r="Q122" s="114">
        <f>'Reserve Bank'!E122-'Check RB Past'!E122</f>
        <v>0</v>
      </c>
      <c r="R122" s="114">
        <f>'Reserve Bank'!F122-'Check RB Past'!F122</f>
        <v>0</v>
      </c>
      <c r="S122" s="114">
        <f>'Reserve Bank'!G122-'Check RB Past'!G122</f>
        <v>0</v>
      </c>
      <c r="T122" s="114">
        <f>'Reserve Bank'!H122-'Check RB Past'!H122</f>
        <v>0</v>
      </c>
      <c r="U122" s="114">
        <f>'Reserve Bank'!I122-'Check RB Past'!I122</f>
        <v>0</v>
      </c>
      <c r="V122" s="13"/>
      <c r="W122" s="13"/>
      <c r="X122" s="13"/>
      <c r="Y122" s="13"/>
      <c r="Z122" s="13"/>
      <c r="AA122" s="13"/>
      <c r="AB122" s="13"/>
      <c r="AC122" s="13"/>
    </row>
    <row r="123" spans="1:29" s="12" customFormat="1" ht="12.75" customHeight="1" x14ac:dyDescent="0.2">
      <c r="A123" s="110">
        <v>40026</v>
      </c>
      <c r="B123" s="117">
        <v>13093</v>
      </c>
      <c r="C123" s="117">
        <v>440</v>
      </c>
      <c r="D123" s="117">
        <v>13533</v>
      </c>
      <c r="E123" s="117">
        <v>1237</v>
      </c>
      <c r="F123" s="117">
        <v>14770</v>
      </c>
      <c r="G123" s="117">
        <v>4429</v>
      </c>
      <c r="H123" s="117">
        <v>19199</v>
      </c>
      <c r="I123" s="117">
        <v>1638</v>
      </c>
      <c r="J123" s="107"/>
      <c r="K123" s="69"/>
      <c r="L123" s="69"/>
      <c r="M123" s="110">
        <v>40026</v>
      </c>
      <c r="N123" s="114">
        <f>'Reserve Bank'!B123-'Check RB Past'!B123</f>
        <v>0</v>
      </c>
      <c r="O123" s="114">
        <f>'Reserve Bank'!C123-'Check RB Past'!C123</f>
        <v>0</v>
      </c>
      <c r="P123" s="114">
        <f>'Reserve Bank'!D123-'Check RB Past'!D123</f>
        <v>0</v>
      </c>
      <c r="Q123" s="114">
        <f>'Reserve Bank'!E123-'Check RB Past'!E123</f>
        <v>0</v>
      </c>
      <c r="R123" s="114">
        <f>'Reserve Bank'!F123-'Check RB Past'!F123</f>
        <v>0</v>
      </c>
      <c r="S123" s="114">
        <f>'Reserve Bank'!G123-'Check RB Past'!G123</f>
        <v>0</v>
      </c>
      <c r="T123" s="114">
        <f>'Reserve Bank'!H123-'Check RB Past'!H123</f>
        <v>0</v>
      </c>
      <c r="U123" s="114">
        <f>'Reserve Bank'!I123-'Check RB Past'!I123</f>
        <v>0</v>
      </c>
      <c r="V123" s="13"/>
      <c r="W123" s="13"/>
      <c r="X123" s="13"/>
      <c r="Y123" s="13"/>
      <c r="Z123" s="13"/>
      <c r="AA123" s="13"/>
      <c r="AB123" s="13"/>
      <c r="AC123" s="13"/>
    </row>
    <row r="124" spans="1:29" s="12" customFormat="1" ht="12.75" customHeight="1" x14ac:dyDescent="0.2">
      <c r="A124" s="110">
        <v>40057</v>
      </c>
      <c r="B124" s="117">
        <v>14104</v>
      </c>
      <c r="C124" s="117">
        <v>200</v>
      </c>
      <c r="D124" s="117">
        <v>14304</v>
      </c>
      <c r="E124" s="117">
        <v>943</v>
      </c>
      <c r="F124" s="117">
        <v>15247</v>
      </c>
      <c r="G124" s="117">
        <v>4749</v>
      </c>
      <c r="H124" s="117">
        <v>19996</v>
      </c>
      <c r="I124" s="117">
        <v>2208</v>
      </c>
      <c r="J124" s="107"/>
      <c r="K124" s="69"/>
      <c r="L124" s="69"/>
      <c r="M124" s="110">
        <v>40057</v>
      </c>
      <c r="N124" s="114">
        <f>'Reserve Bank'!B124-'Check RB Past'!B124</f>
        <v>0</v>
      </c>
      <c r="O124" s="114">
        <f>'Reserve Bank'!C124-'Check RB Past'!C124</f>
        <v>0</v>
      </c>
      <c r="P124" s="114">
        <f>'Reserve Bank'!D124-'Check RB Past'!D124</f>
        <v>0</v>
      </c>
      <c r="Q124" s="114">
        <f>'Reserve Bank'!E124-'Check RB Past'!E124</f>
        <v>0</v>
      </c>
      <c r="R124" s="114">
        <f>'Reserve Bank'!F124-'Check RB Past'!F124</f>
        <v>0</v>
      </c>
      <c r="S124" s="114">
        <f>'Reserve Bank'!G124-'Check RB Past'!G124</f>
        <v>0</v>
      </c>
      <c r="T124" s="114">
        <f>'Reserve Bank'!H124-'Check RB Past'!H124</f>
        <v>0</v>
      </c>
      <c r="U124" s="114">
        <f>'Reserve Bank'!I124-'Check RB Past'!I124</f>
        <v>0</v>
      </c>
      <c r="V124" s="13"/>
      <c r="W124" s="13"/>
      <c r="X124" s="13"/>
      <c r="Y124" s="13"/>
      <c r="Z124" s="13"/>
      <c r="AA124" s="13"/>
      <c r="AB124" s="13"/>
      <c r="AC124" s="13"/>
    </row>
    <row r="125" spans="1:29" s="12" customFormat="1" ht="12.75" customHeight="1" x14ac:dyDescent="0.2">
      <c r="A125" s="110">
        <v>40087</v>
      </c>
      <c r="B125" s="117">
        <v>14756</v>
      </c>
      <c r="C125" s="117">
        <v>332</v>
      </c>
      <c r="D125" s="117">
        <v>15088</v>
      </c>
      <c r="E125" s="117">
        <v>463</v>
      </c>
      <c r="F125" s="117">
        <v>15551</v>
      </c>
      <c r="G125" s="117">
        <v>4862</v>
      </c>
      <c r="H125" s="117">
        <v>20413</v>
      </c>
      <c r="I125" s="117">
        <v>2140</v>
      </c>
      <c r="J125" s="107"/>
      <c r="K125" s="69"/>
      <c r="L125" s="69"/>
      <c r="M125" s="110">
        <v>40087</v>
      </c>
      <c r="N125" s="114">
        <f>'Reserve Bank'!B125-'Check RB Past'!B125</f>
        <v>0</v>
      </c>
      <c r="O125" s="114">
        <f>'Reserve Bank'!C125-'Check RB Past'!C125</f>
        <v>0</v>
      </c>
      <c r="P125" s="114">
        <f>'Reserve Bank'!D125-'Check RB Past'!D125</f>
        <v>0</v>
      </c>
      <c r="Q125" s="114">
        <f>'Reserve Bank'!E125-'Check RB Past'!E125</f>
        <v>0</v>
      </c>
      <c r="R125" s="114">
        <f>'Reserve Bank'!F125-'Check RB Past'!F125</f>
        <v>0</v>
      </c>
      <c r="S125" s="114">
        <f>'Reserve Bank'!G125-'Check RB Past'!G125</f>
        <v>0</v>
      </c>
      <c r="T125" s="114">
        <f>'Reserve Bank'!H125-'Check RB Past'!H125</f>
        <v>0</v>
      </c>
      <c r="U125" s="114">
        <f>'Reserve Bank'!I125-'Check RB Past'!I125</f>
        <v>0</v>
      </c>
      <c r="V125" s="13"/>
      <c r="W125" s="13"/>
      <c r="X125" s="13"/>
      <c r="Y125" s="13"/>
      <c r="Z125" s="13"/>
      <c r="AA125" s="13"/>
      <c r="AB125" s="13"/>
      <c r="AC125" s="13"/>
    </row>
    <row r="126" spans="1:29" s="12" customFormat="1" ht="12.75" customHeight="1" x14ac:dyDescent="0.2">
      <c r="A126" s="110">
        <v>40118</v>
      </c>
      <c r="B126" s="117">
        <v>16698</v>
      </c>
      <c r="C126" s="117">
        <v>312</v>
      </c>
      <c r="D126" s="117">
        <v>17010</v>
      </c>
      <c r="E126" s="117">
        <v>319</v>
      </c>
      <c r="F126" s="117">
        <v>17329</v>
      </c>
      <c r="G126" s="117">
        <v>4487</v>
      </c>
      <c r="H126" s="117">
        <v>21816</v>
      </c>
      <c r="I126" s="117">
        <v>1553</v>
      </c>
      <c r="J126" s="107"/>
      <c r="K126" s="69"/>
      <c r="L126" s="69"/>
      <c r="M126" s="110">
        <v>40118</v>
      </c>
      <c r="N126" s="114">
        <f>'Reserve Bank'!B126-'Check RB Past'!B126</f>
        <v>0</v>
      </c>
      <c r="O126" s="114">
        <f>'Reserve Bank'!C126-'Check RB Past'!C126</f>
        <v>0</v>
      </c>
      <c r="P126" s="114">
        <f>'Reserve Bank'!D126-'Check RB Past'!D126</f>
        <v>0</v>
      </c>
      <c r="Q126" s="114">
        <f>'Reserve Bank'!E126-'Check RB Past'!E126</f>
        <v>0</v>
      </c>
      <c r="R126" s="114">
        <f>'Reserve Bank'!F126-'Check RB Past'!F126</f>
        <v>0</v>
      </c>
      <c r="S126" s="114">
        <f>'Reserve Bank'!G126-'Check RB Past'!G126</f>
        <v>0</v>
      </c>
      <c r="T126" s="114">
        <f>'Reserve Bank'!H126-'Check RB Past'!H126</f>
        <v>0</v>
      </c>
      <c r="U126" s="114">
        <f>'Reserve Bank'!I126-'Check RB Past'!I126</f>
        <v>0</v>
      </c>
      <c r="V126" s="13"/>
      <c r="W126" s="13"/>
      <c r="X126" s="13"/>
      <c r="Y126" s="13"/>
      <c r="Z126" s="13"/>
      <c r="AA126" s="13"/>
      <c r="AB126" s="13"/>
      <c r="AC126" s="13"/>
    </row>
    <row r="127" spans="1:29" s="12" customFormat="1" ht="12.75" customHeight="1" x14ac:dyDescent="0.2">
      <c r="A127" s="110">
        <v>40148</v>
      </c>
      <c r="B127" s="117">
        <v>14785</v>
      </c>
      <c r="C127" s="117">
        <v>588</v>
      </c>
      <c r="D127" s="117">
        <v>15373</v>
      </c>
      <c r="E127" s="117">
        <v>790</v>
      </c>
      <c r="F127" s="117">
        <v>16163</v>
      </c>
      <c r="G127" s="117">
        <v>5429</v>
      </c>
      <c r="H127" s="117">
        <v>21592</v>
      </c>
      <c r="I127" s="117">
        <v>1905</v>
      </c>
      <c r="J127" s="107"/>
      <c r="K127" s="69"/>
      <c r="L127" s="69"/>
      <c r="M127" s="110">
        <v>40148</v>
      </c>
      <c r="N127" s="114">
        <f>'Reserve Bank'!B127-'Check RB Past'!B127</f>
        <v>0</v>
      </c>
      <c r="O127" s="114">
        <f>'Reserve Bank'!C127-'Check RB Past'!C127</f>
        <v>0</v>
      </c>
      <c r="P127" s="114">
        <f>'Reserve Bank'!D127-'Check RB Past'!D127</f>
        <v>0</v>
      </c>
      <c r="Q127" s="114">
        <f>'Reserve Bank'!E127-'Check RB Past'!E127</f>
        <v>0</v>
      </c>
      <c r="R127" s="114">
        <f>'Reserve Bank'!F127-'Check RB Past'!F127</f>
        <v>0</v>
      </c>
      <c r="S127" s="114">
        <f>'Reserve Bank'!G127-'Check RB Past'!G127</f>
        <v>0</v>
      </c>
      <c r="T127" s="114">
        <f>'Reserve Bank'!H127-'Check RB Past'!H127</f>
        <v>0</v>
      </c>
      <c r="U127" s="114">
        <f>'Reserve Bank'!I127-'Check RB Past'!I127</f>
        <v>0</v>
      </c>
      <c r="V127" s="13"/>
      <c r="W127" s="13"/>
      <c r="X127" s="13"/>
      <c r="Y127" s="13"/>
      <c r="Z127" s="13"/>
      <c r="AA127" s="13"/>
      <c r="AB127" s="13"/>
      <c r="AC127" s="13"/>
    </row>
    <row r="128" spans="1:29" s="12" customFormat="1" ht="12.75" customHeight="1" x14ac:dyDescent="0.2">
      <c r="A128" s="110">
        <v>40179</v>
      </c>
      <c r="B128" s="117">
        <v>18189</v>
      </c>
      <c r="C128" s="117">
        <v>821</v>
      </c>
      <c r="D128" s="117">
        <v>19010</v>
      </c>
      <c r="E128" s="117">
        <v>136</v>
      </c>
      <c r="F128" s="117">
        <v>19146</v>
      </c>
      <c r="G128" s="117">
        <v>5762</v>
      </c>
      <c r="H128" s="117">
        <v>24908</v>
      </c>
      <c r="I128" s="117">
        <v>1193</v>
      </c>
      <c r="J128" s="107"/>
      <c r="K128" s="69"/>
      <c r="L128" s="69"/>
      <c r="M128" s="110">
        <v>40179</v>
      </c>
      <c r="N128" s="114">
        <f>'Reserve Bank'!B128-'Check RB Past'!B128</f>
        <v>0</v>
      </c>
      <c r="O128" s="114">
        <f>'Reserve Bank'!C128-'Check RB Past'!C128</f>
        <v>0</v>
      </c>
      <c r="P128" s="114">
        <f>'Reserve Bank'!D128-'Check RB Past'!D128</f>
        <v>0</v>
      </c>
      <c r="Q128" s="114">
        <f>'Reserve Bank'!E128-'Check RB Past'!E128</f>
        <v>0</v>
      </c>
      <c r="R128" s="114">
        <f>'Reserve Bank'!F128-'Check RB Past'!F128</f>
        <v>0</v>
      </c>
      <c r="S128" s="114">
        <f>'Reserve Bank'!G128-'Check RB Past'!G128</f>
        <v>0</v>
      </c>
      <c r="T128" s="114">
        <f>'Reserve Bank'!H128-'Check RB Past'!H128</f>
        <v>0</v>
      </c>
      <c r="U128" s="114">
        <f>'Reserve Bank'!I128-'Check RB Past'!I128</f>
        <v>0</v>
      </c>
      <c r="V128" s="13"/>
      <c r="W128" s="13"/>
      <c r="X128" s="13"/>
      <c r="Y128" s="13"/>
      <c r="Z128" s="13"/>
      <c r="AA128" s="13"/>
      <c r="AB128" s="13"/>
      <c r="AC128" s="13"/>
    </row>
    <row r="129" spans="1:29" s="12" customFormat="1" ht="12.75" customHeight="1" x14ac:dyDescent="0.2">
      <c r="A129" s="110">
        <v>40210</v>
      </c>
      <c r="B129" s="117">
        <v>16957</v>
      </c>
      <c r="C129" s="117">
        <v>946</v>
      </c>
      <c r="D129" s="117">
        <v>17903</v>
      </c>
      <c r="E129" s="117">
        <v>116</v>
      </c>
      <c r="F129" s="117">
        <v>18019</v>
      </c>
      <c r="G129" s="117">
        <v>5945</v>
      </c>
      <c r="H129" s="117">
        <v>23964</v>
      </c>
      <c r="I129" s="117">
        <v>1215</v>
      </c>
      <c r="J129" s="107"/>
      <c r="K129" s="69"/>
      <c r="L129" s="69"/>
      <c r="M129" s="110">
        <v>40210</v>
      </c>
      <c r="N129" s="114">
        <f>'Reserve Bank'!B129-'Check RB Past'!B129</f>
        <v>0</v>
      </c>
      <c r="O129" s="114">
        <f>'Reserve Bank'!C129-'Check RB Past'!C129</f>
        <v>0</v>
      </c>
      <c r="P129" s="114">
        <f>'Reserve Bank'!D129-'Check RB Past'!D129</f>
        <v>0</v>
      </c>
      <c r="Q129" s="114">
        <f>'Reserve Bank'!E129-'Check RB Past'!E129</f>
        <v>0</v>
      </c>
      <c r="R129" s="114">
        <f>'Reserve Bank'!F129-'Check RB Past'!F129</f>
        <v>0</v>
      </c>
      <c r="S129" s="114">
        <f>'Reserve Bank'!G129-'Check RB Past'!G129</f>
        <v>0</v>
      </c>
      <c r="T129" s="114">
        <f>'Reserve Bank'!H129-'Check RB Past'!H129</f>
        <v>0</v>
      </c>
      <c r="U129" s="114">
        <f>'Reserve Bank'!I129-'Check RB Past'!I129</f>
        <v>0</v>
      </c>
      <c r="V129" s="13"/>
      <c r="W129" s="13"/>
      <c r="X129" s="13"/>
      <c r="Y129" s="13"/>
      <c r="Z129" s="13"/>
      <c r="AA129" s="13"/>
      <c r="AB129" s="13"/>
      <c r="AC129" s="13"/>
    </row>
    <row r="130" spans="1:29" s="12" customFormat="1" ht="12.75" customHeight="1" x14ac:dyDescent="0.2">
      <c r="A130" s="110">
        <v>40238</v>
      </c>
      <c r="B130" s="117">
        <v>15511</v>
      </c>
      <c r="C130" s="117">
        <v>1481</v>
      </c>
      <c r="D130" s="117">
        <v>16992</v>
      </c>
      <c r="E130" s="117">
        <v>322</v>
      </c>
      <c r="F130" s="117">
        <v>17314</v>
      </c>
      <c r="G130" s="117">
        <v>6109</v>
      </c>
      <c r="H130" s="117">
        <v>23423</v>
      </c>
      <c r="I130" s="117">
        <v>1690</v>
      </c>
      <c r="J130" s="107"/>
      <c r="K130" s="69"/>
      <c r="L130" s="69"/>
      <c r="M130" s="110">
        <v>40238</v>
      </c>
      <c r="N130" s="114">
        <f>'Reserve Bank'!B130-'Check RB Past'!B130</f>
        <v>0</v>
      </c>
      <c r="O130" s="114">
        <f>'Reserve Bank'!C130-'Check RB Past'!C130</f>
        <v>0</v>
      </c>
      <c r="P130" s="114">
        <f>'Reserve Bank'!D130-'Check RB Past'!D130</f>
        <v>0</v>
      </c>
      <c r="Q130" s="114">
        <f>'Reserve Bank'!E130-'Check RB Past'!E130</f>
        <v>0</v>
      </c>
      <c r="R130" s="114">
        <f>'Reserve Bank'!F130-'Check RB Past'!F130</f>
        <v>0</v>
      </c>
      <c r="S130" s="114">
        <f>'Reserve Bank'!G130-'Check RB Past'!G130</f>
        <v>0</v>
      </c>
      <c r="T130" s="114">
        <f>'Reserve Bank'!H130-'Check RB Past'!H130</f>
        <v>0</v>
      </c>
      <c r="U130" s="114">
        <f>'Reserve Bank'!I130-'Check RB Past'!I130</f>
        <v>0</v>
      </c>
      <c r="V130" s="13"/>
      <c r="W130" s="13"/>
      <c r="X130" s="13"/>
      <c r="Y130" s="13"/>
      <c r="Z130" s="13"/>
      <c r="AA130" s="13"/>
      <c r="AB130" s="13"/>
      <c r="AC130" s="13"/>
    </row>
    <row r="131" spans="1:29" s="12" customFormat="1" ht="12.75" customHeight="1" x14ac:dyDescent="0.2">
      <c r="A131" s="110">
        <v>40269</v>
      </c>
      <c r="B131" s="117">
        <v>15505</v>
      </c>
      <c r="C131" s="117">
        <v>475</v>
      </c>
      <c r="D131" s="117">
        <v>15980</v>
      </c>
      <c r="E131" s="117">
        <v>1209</v>
      </c>
      <c r="F131" s="117">
        <v>17189</v>
      </c>
      <c r="G131" s="117">
        <v>6357</v>
      </c>
      <c r="H131" s="117">
        <v>23546</v>
      </c>
      <c r="I131" s="117">
        <v>2114</v>
      </c>
      <c r="J131" s="107"/>
      <c r="K131" s="69"/>
      <c r="L131" s="69"/>
      <c r="M131" s="110">
        <v>40269</v>
      </c>
      <c r="N131" s="114">
        <f>'Reserve Bank'!B131-'Check RB Past'!B131</f>
        <v>0</v>
      </c>
      <c r="O131" s="114">
        <f>'Reserve Bank'!C131-'Check RB Past'!C131</f>
        <v>0</v>
      </c>
      <c r="P131" s="114">
        <f>'Reserve Bank'!D131-'Check RB Past'!D131</f>
        <v>0</v>
      </c>
      <c r="Q131" s="114">
        <f>'Reserve Bank'!E131-'Check RB Past'!E131</f>
        <v>0</v>
      </c>
      <c r="R131" s="114">
        <f>'Reserve Bank'!F131-'Check RB Past'!F131</f>
        <v>0</v>
      </c>
      <c r="S131" s="114">
        <f>'Reserve Bank'!G131-'Check RB Past'!G131</f>
        <v>0</v>
      </c>
      <c r="T131" s="114">
        <f>'Reserve Bank'!H131-'Check RB Past'!H131</f>
        <v>0</v>
      </c>
      <c r="U131" s="114">
        <f>'Reserve Bank'!I131-'Check RB Past'!I131</f>
        <v>0</v>
      </c>
      <c r="V131" s="13"/>
      <c r="W131" s="13"/>
      <c r="X131" s="13"/>
      <c r="Y131" s="13"/>
      <c r="Z131" s="13"/>
      <c r="AA131" s="13"/>
      <c r="AB131" s="13"/>
      <c r="AC131" s="13"/>
    </row>
    <row r="132" spans="1:29" s="12" customFormat="1" ht="12.75" customHeight="1" x14ac:dyDescent="0.2">
      <c r="A132" s="110">
        <v>40299</v>
      </c>
      <c r="B132" s="117">
        <v>18622</v>
      </c>
      <c r="C132" s="117">
        <v>1027</v>
      </c>
      <c r="D132" s="117">
        <v>19649</v>
      </c>
      <c r="E132" s="117">
        <v>965</v>
      </c>
      <c r="F132" s="117">
        <v>20614</v>
      </c>
      <c r="G132" s="117">
        <v>5929</v>
      </c>
      <c r="H132" s="117">
        <v>26543</v>
      </c>
      <c r="I132" s="117">
        <v>1454</v>
      </c>
      <c r="J132" s="107"/>
      <c r="K132" s="69"/>
      <c r="L132" s="69"/>
      <c r="M132" s="110">
        <v>40299</v>
      </c>
      <c r="N132" s="114">
        <f>'Reserve Bank'!B132-'Check RB Past'!B132</f>
        <v>0</v>
      </c>
      <c r="O132" s="114">
        <f>'Reserve Bank'!C132-'Check RB Past'!C132</f>
        <v>0</v>
      </c>
      <c r="P132" s="114">
        <f>'Reserve Bank'!D132-'Check RB Past'!D132</f>
        <v>0</v>
      </c>
      <c r="Q132" s="114">
        <f>'Reserve Bank'!E132-'Check RB Past'!E132</f>
        <v>0</v>
      </c>
      <c r="R132" s="114">
        <f>'Reserve Bank'!F132-'Check RB Past'!F132</f>
        <v>0</v>
      </c>
      <c r="S132" s="114">
        <f>'Reserve Bank'!G132-'Check RB Past'!G132</f>
        <v>0</v>
      </c>
      <c r="T132" s="114">
        <f>'Reserve Bank'!H132-'Check RB Past'!H132</f>
        <v>0</v>
      </c>
      <c r="U132" s="114">
        <f>'Reserve Bank'!I132-'Check RB Past'!I132</f>
        <v>0</v>
      </c>
      <c r="V132" s="13"/>
      <c r="W132" s="13"/>
      <c r="X132" s="13"/>
      <c r="Y132" s="13"/>
      <c r="Z132" s="13"/>
      <c r="AA132" s="13"/>
      <c r="AB132" s="13"/>
      <c r="AC132" s="13"/>
    </row>
    <row r="133" spans="1:29" s="12" customFormat="1" ht="12.75" customHeight="1" x14ac:dyDescent="0.2">
      <c r="A133" s="110">
        <v>40330</v>
      </c>
      <c r="B133" s="117">
        <v>17937</v>
      </c>
      <c r="C133" s="117">
        <v>635</v>
      </c>
      <c r="D133" s="117">
        <v>18572</v>
      </c>
      <c r="E133" s="117">
        <v>1152</v>
      </c>
      <c r="F133" s="117">
        <v>19724</v>
      </c>
      <c r="G133" s="117">
        <v>4949</v>
      </c>
      <c r="H133" s="117">
        <v>24673</v>
      </c>
      <c r="I133" s="117">
        <v>1740</v>
      </c>
      <c r="J133" s="107"/>
      <c r="K133" s="69"/>
      <c r="L133" s="69"/>
      <c r="M133" s="110">
        <v>40330</v>
      </c>
      <c r="N133" s="114">
        <f>'Reserve Bank'!B133-'Check RB Past'!B133</f>
        <v>0</v>
      </c>
      <c r="O133" s="114">
        <f>'Reserve Bank'!C133-'Check RB Past'!C133</f>
        <v>0</v>
      </c>
      <c r="P133" s="114">
        <f>'Reserve Bank'!D133-'Check RB Past'!D133</f>
        <v>0</v>
      </c>
      <c r="Q133" s="114">
        <f>'Reserve Bank'!E133-'Check RB Past'!E133</f>
        <v>0</v>
      </c>
      <c r="R133" s="114">
        <f>'Reserve Bank'!F133-'Check RB Past'!F133</f>
        <v>0</v>
      </c>
      <c r="S133" s="114">
        <f>'Reserve Bank'!G133-'Check RB Past'!G133</f>
        <v>0</v>
      </c>
      <c r="T133" s="114">
        <f>'Reserve Bank'!H133-'Check RB Past'!H133</f>
        <v>0</v>
      </c>
      <c r="U133" s="114">
        <f>'Reserve Bank'!I133-'Check RB Past'!I133</f>
        <v>0</v>
      </c>
      <c r="V133" s="13"/>
      <c r="W133" s="13"/>
      <c r="X133" s="13"/>
      <c r="Y133" s="13"/>
      <c r="Z133" s="13"/>
      <c r="AA133" s="13"/>
      <c r="AB133" s="13"/>
      <c r="AC133" s="13"/>
    </row>
    <row r="134" spans="1:29" s="12" customFormat="1" ht="12.75" customHeight="1" x14ac:dyDescent="0.2">
      <c r="A134" s="110">
        <v>40360</v>
      </c>
      <c r="B134" s="117">
        <v>15302</v>
      </c>
      <c r="C134" s="117">
        <v>587</v>
      </c>
      <c r="D134" s="117">
        <v>15889</v>
      </c>
      <c r="E134" s="117">
        <v>933</v>
      </c>
      <c r="F134" s="117">
        <v>16822</v>
      </c>
      <c r="G134" s="117">
        <v>4681</v>
      </c>
      <c r="H134" s="117">
        <v>21503</v>
      </c>
      <c r="I134" s="117">
        <v>2038</v>
      </c>
      <c r="J134" s="107"/>
      <c r="K134" s="69"/>
      <c r="L134" s="69"/>
      <c r="M134" s="110">
        <v>40360</v>
      </c>
      <c r="N134" s="114">
        <f>'Reserve Bank'!B134-'Check RB Past'!B134</f>
        <v>0</v>
      </c>
      <c r="O134" s="114">
        <f>'Reserve Bank'!C134-'Check RB Past'!C134</f>
        <v>0</v>
      </c>
      <c r="P134" s="114">
        <f>'Reserve Bank'!D134-'Check RB Past'!D134</f>
        <v>0</v>
      </c>
      <c r="Q134" s="114">
        <f>'Reserve Bank'!E134-'Check RB Past'!E134</f>
        <v>0</v>
      </c>
      <c r="R134" s="114">
        <f>'Reserve Bank'!F134-'Check RB Past'!F134</f>
        <v>0</v>
      </c>
      <c r="S134" s="114">
        <f>'Reserve Bank'!G134-'Check RB Past'!G134</f>
        <v>0</v>
      </c>
      <c r="T134" s="114">
        <f>'Reserve Bank'!H134-'Check RB Past'!H134</f>
        <v>0</v>
      </c>
      <c r="U134" s="114">
        <f>'Reserve Bank'!I134-'Check RB Past'!I134</f>
        <v>0</v>
      </c>
      <c r="V134" s="13"/>
      <c r="W134" s="13"/>
      <c r="X134" s="13"/>
      <c r="Y134" s="13"/>
      <c r="Z134" s="13"/>
      <c r="AA134" s="13"/>
      <c r="AB134" s="13"/>
      <c r="AC134" s="13"/>
    </row>
    <row r="135" spans="1:29" s="12" customFormat="1" ht="12.75" customHeight="1" x14ac:dyDescent="0.2">
      <c r="A135" s="110">
        <v>40391</v>
      </c>
      <c r="B135" s="117">
        <v>16762</v>
      </c>
      <c r="C135" s="117">
        <v>326</v>
      </c>
      <c r="D135" s="117">
        <v>17088</v>
      </c>
      <c r="E135" s="117">
        <v>1308</v>
      </c>
      <c r="F135" s="117">
        <v>18396</v>
      </c>
      <c r="G135" s="117">
        <v>4647</v>
      </c>
      <c r="H135" s="117">
        <v>23043</v>
      </c>
      <c r="I135" s="117">
        <v>1610</v>
      </c>
      <c r="J135" s="107"/>
      <c r="K135" s="69"/>
      <c r="L135" s="69"/>
      <c r="M135" s="110">
        <v>40391</v>
      </c>
      <c r="N135" s="114">
        <f>'Reserve Bank'!B135-'Check RB Past'!B135</f>
        <v>0</v>
      </c>
      <c r="O135" s="114">
        <f>'Reserve Bank'!C135-'Check RB Past'!C135</f>
        <v>0</v>
      </c>
      <c r="P135" s="114">
        <f>'Reserve Bank'!D135-'Check RB Past'!D135</f>
        <v>0</v>
      </c>
      <c r="Q135" s="114">
        <f>'Reserve Bank'!E135-'Check RB Past'!E135</f>
        <v>0</v>
      </c>
      <c r="R135" s="114">
        <f>'Reserve Bank'!F135-'Check RB Past'!F135</f>
        <v>0</v>
      </c>
      <c r="S135" s="114">
        <f>'Reserve Bank'!G135-'Check RB Past'!G135</f>
        <v>0</v>
      </c>
      <c r="T135" s="114">
        <f>'Reserve Bank'!H135-'Check RB Past'!H135</f>
        <v>0</v>
      </c>
      <c r="U135" s="114">
        <f>'Reserve Bank'!I135-'Check RB Past'!I135</f>
        <v>0</v>
      </c>
      <c r="V135" s="13"/>
      <c r="W135" s="13"/>
      <c r="X135" s="13"/>
      <c r="Y135" s="13"/>
      <c r="Z135" s="13"/>
      <c r="AA135" s="13"/>
      <c r="AB135" s="13"/>
      <c r="AC135" s="13"/>
    </row>
    <row r="136" spans="1:29" s="12" customFormat="1" ht="12.75" customHeight="1" x14ac:dyDescent="0.2">
      <c r="A136" s="110">
        <v>40422</v>
      </c>
      <c r="B136" s="117">
        <v>14518</v>
      </c>
      <c r="C136" s="117">
        <v>1875</v>
      </c>
      <c r="D136" s="117">
        <v>16393</v>
      </c>
      <c r="E136" s="117">
        <v>1751</v>
      </c>
      <c r="F136" s="117">
        <v>18144</v>
      </c>
      <c r="G136" s="117">
        <v>4970</v>
      </c>
      <c r="H136" s="117">
        <v>23114</v>
      </c>
      <c r="I136" s="117">
        <v>1929</v>
      </c>
      <c r="J136" s="107"/>
      <c r="K136" s="69"/>
      <c r="L136" s="69"/>
      <c r="M136" s="110">
        <v>40422</v>
      </c>
      <c r="N136" s="114">
        <f>'Reserve Bank'!B136-'Check RB Past'!B136</f>
        <v>0</v>
      </c>
      <c r="O136" s="114">
        <f>'Reserve Bank'!C136-'Check RB Past'!C136</f>
        <v>0</v>
      </c>
      <c r="P136" s="114">
        <f>'Reserve Bank'!D136-'Check RB Past'!D136</f>
        <v>0</v>
      </c>
      <c r="Q136" s="114">
        <f>'Reserve Bank'!E136-'Check RB Past'!E136</f>
        <v>0</v>
      </c>
      <c r="R136" s="114">
        <f>'Reserve Bank'!F136-'Check RB Past'!F136</f>
        <v>0</v>
      </c>
      <c r="S136" s="114">
        <f>'Reserve Bank'!G136-'Check RB Past'!G136</f>
        <v>0</v>
      </c>
      <c r="T136" s="114">
        <f>'Reserve Bank'!H136-'Check RB Past'!H136</f>
        <v>0</v>
      </c>
      <c r="U136" s="114">
        <f>'Reserve Bank'!I136-'Check RB Past'!I136</f>
        <v>0</v>
      </c>
      <c r="V136" s="13"/>
      <c r="W136" s="13"/>
      <c r="X136" s="13"/>
      <c r="Y136" s="13"/>
      <c r="Z136" s="13"/>
      <c r="AA136" s="13"/>
      <c r="AB136" s="13"/>
      <c r="AC136" s="13"/>
    </row>
    <row r="137" spans="1:29" s="12" customFormat="1" ht="12.75" customHeight="1" x14ac:dyDescent="0.2">
      <c r="A137" s="110">
        <v>40452</v>
      </c>
      <c r="B137" s="117">
        <v>13091</v>
      </c>
      <c r="C137" s="117">
        <v>873</v>
      </c>
      <c r="D137" s="117">
        <v>13964</v>
      </c>
      <c r="E137" s="117">
        <v>2186</v>
      </c>
      <c r="F137" s="117">
        <v>16150</v>
      </c>
      <c r="G137" s="117">
        <v>4818</v>
      </c>
      <c r="H137" s="117">
        <v>20968</v>
      </c>
      <c r="I137" s="117">
        <v>2437</v>
      </c>
      <c r="J137" s="107"/>
      <c r="K137" s="69"/>
      <c r="L137" s="69"/>
      <c r="M137" s="110">
        <v>40452</v>
      </c>
      <c r="N137" s="114">
        <f>'Reserve Bank'!B137-'Check RB Past'!B137</f>
        <v>0</v>
      </c>
      <c r="O137" s="114">
        <f>'Reserve Bank'!C137-'Check RB Past'!C137</f>
        <v>0</v>
      </c>
      <c r="P137" s="114">
        <f>'Reserve Bank'!D137-'Check RB Past'!D137</f>
        <v>0</v>
      </c>
      <c r="Q137" s="114">
        <f>'Reserve Bank'!E137-'Check RB Past'!E137</f>
        <v>0</v>
      </c>
      <c r="R137" s="114">
        <f>'Reserve Bank'!F137-'Check RB Past'!F137</f>
        <v>0</v>
      </c>
      <c r="S137" s="114">
        <f>'Reserve Bank'!G137-'Check RB Past'!G137</f>
        <v>0</v>
      </c>
      <c r="T137" s="114">
        <f>'Reserve Bank'!H137-'Check RB Past'!H137</f>
        <v>0</v>
      </c>
      <c r="U137" s="114">
        <f>'Reserve Bank'!I137-'Check RB Past'!I137</f>
        <v>0</v>
      </c>
      <c r="V137" s="13"/>
      <c r="W137" s="13"/>
      <c r="X137" s="13"/>
      <c r="Y137" s="13"/>
      <c r="Z137" s="13"/>
      <c r="AA137" s="13"/>
      <c r="AB137" s="13"/>
      <c r="AC137" s="13"/>
    </row>
    <row r="138" spans="1:29" s="12" customFormat="1" ht="12.75" customHeight="1" x14ac:dyDescent="0.2">
      <c r="A138" s="110">
        <v>40483</v>
      </c>
      <c r="B138" s="117">
        <v>14434</v>
      </c>
      <c r="C138" s="117">
        <v>1092</v>
      </c>
      <c r="D138" s="117">
        <v>15526</v>
      </c>
      <c r="E138" s="117">
        <v>1571</v>
      </c>
      <c r="F138" s="117">
        <v>17097</v>
      </c>
      <c r="G138" s="117">
        <v>5128</v>
      </c>
      <c r="H138" s="117">
        <v>22225</v>
      </c>
      <c r="I138" s="117">
        <v>2542</v>
      </c>
      <c r="J138" s="107"/>
      <c r="K138" s="69"/>
      <c r="L138" s="69"/>
      <c r="M138" s="110">
        <v>40483</v>
      </c>
      <c r="N138" s="114">
        <f>'Reserve Bank'!B138-'Check RB Past'!B138</f>
        <v>0</v>
      </c>
      <c r="O138" s="114">
        <f>'Reserve Bank'!C138-'Check RB Past'!C138</f>
        <v>0</v>
      </c>
      <c r="P138" s="114">
        <f>'Reserve Bank'!D138-'Check RB Past'!D138</f>
        <v>0</v>
      </c>
      <c r="Q138" s="114">
        <f>'Reserve Bank'!E138-'Check RB Past'!E138</f>
        <v>0</v>
      </c>
      <c r="R138" s="114">
        <f>'Reserve Bank'!F138-'Check RB Past'!F138</f>
        <v>0</v>
      </c>
      <c r="S138" s="114">
        <f>'Reserve Bank'!G138-'Check RB Past'!G138</f>
        <v>0</v>
      </c>
      <c r="T138" s="114">
        <f>'Reserve Bank'!H138-'Check RB Past'!H138</f>
        <v>0</v>
      </c>
      <c r="U138" s="114">
        <f>'Reserve Bank'!I138-'Check RB Past'!I138</f>
        <v>0</v>
      </c>
      <c r="V138" s="13"/>
      <c r="W138" s="13"/>
      <c r="X138" s="13"/>
      <c r="Y138" s="13"/>
      <c r="Z138" s="13"/>
      <c r="AA138" s="13"/>
      <c r="AB138" s="13"/>
      <c r="AC138" s="13"/>
    </row>
    <row r="139" spans="1:29" s="12" customFormat="1" ht="12.75" customHeight="1" x14ac:dyDescent="0.2">
      <c r="A139" s="110">
        <v>40513</v>
      </c>
      <c r="B139" s="117">
        <v>14473</v>
      </c>
      <c r="C139" s="117">
        <v>812</v>
      </c>
      <c r="D139" s="117">
        <v>15285</v>
      </c>
      <c r="E139" s="117">
        <v>1552</v>
      </c>
      <c r="F139" s="117">
        <v>16837</v>
      </c>
      <c r="G139" s="117">
        <v>4867</v>
      </c>
      <c r="H139" s="117">
        <v>21704</v>
      </c>
      <c r="I139" s="117">
        <v>2673</v>
      </c>
      <c r="J139" s="107"/>
      <c r="K139" s="69"/>
      <c r="L139" s="69"/>
      <c r="M139" s="110">
        <v>40513</v>
      </c>
      <c r="N139" s="114">
        <f>'Reserve Bank'!B139-'Check RB Past'!B139</f>
        <v>0</v>
      </c>
      <c r="O139" s="114">
        <f>'Reserve Bank'!C139-'Check RB Past'!C139</f>
        <v>0</v>
      </c>
      <c r="P139" s="114">
        <f>'Reserve Bank'!D139-'Check RB Past'!D139</f>
        <v>0</v>
      </c>
      <c r="Q139" s="114">
        <f>'Reserve Bank'!E139-'Check RB Past'!E139</f>
        <v>0</v>
      </c>
      <c r="R139" s="114">
        <f>'Reserve Bank'!F139-'Check RB Past'!F139</f>
        <v>0</v>
      </c>
      <c r="S139" s="114">
        <f>'Reserve Bank'!G139-'Check RB Past'!G139</f>
        <v>0</v>
      </c>
      <c r="T139" s="114">
        <f>'Reserve Bank'!H139-'Check RB Past'!H139</f>
        <v>0</v>
      </c>
      <c r="U139" s="114">
        <f>'Reserve Bank'!I139-'Check RB Past'!I139</f>
        <v>0</v>
      </c>
      <c r="V139" s="13"/>
      <c r="W139" s="13"/>
      <c r="X139" s="13"/>
      <c r="Y139" s="13"/>
      <c r="Z139" s="13"/>
      <c r="AA139" s="13"/>
      <c r="AB139" s="13"/>
      <c r="AC139" s="13"/>
    </row>
    <row r="140" spans="1:29" s="12" customFormat="1" ht="12.75" customHeight="1" x14ac:dyDescent="0.2">
      <c r="A140" s="110">
        <v>40544</v>
      </c>
      <c r="B140" s="117">
        <v>17919</v>
      </c>
      <c r="C140" s="117">
        <v>280</v>
      </c>
      <c r="D140" s="117">
        <v>18199</v>
      </c>
      <c r="E140" s="117">
        <v>1080</v>
      </c>
      <c r="F140" s="117">
        <v>19279</v>
      </c>
      <c r="G140" s="117">
        <v>4674</v>
      </c>
      <c r="H140" s="117">
        <v>23953</v>
      </c>
      <c r="I140" s="117">
        <v>2490</v>
      </c>
      <c r="J140" s="107"/>
      <c r="K140" s="69"/>
      <c r="L140" s="69"/>
      <c r="M140" s="110">
        <v>40544</v>
      </c>
      <c r="N140" s="114">
        <f>'Reserve Bank'!B140-'Check RB Past'!B140</f>
        <v>0</v>
      </c>
      <c r="O140" s="114">
        <f>'Reserve Bank'!C140-'Check RB Past'!C140</f>
        <v>0</v>
      </c>
      <c r="P140" s="114">
        <f>'Reserve Bank'!D140-'Check RB Past'!D140</f>
        <v>0</v>
      </c>
      <c r="Q140" s="114">
        <f>'Reserve Bank'!E140-'Check RB Past'!E140</f>
        <v>0</v>
      </c>
      <c r="R140" s="114">
        <f>'Reserve Bank'!F140-'Check RB Past'!F140</f>
        <v>0</v>
      </c>
      <c r="S140" s="114">
        <f>'Reserve Bank'!G140-'Check RB Past'!G140</f>
        <v>0</v>
      </c>
      <c r="T140" s="114">
        <f>'Reserve Bank'!H140-'Check RB Past'!H140</f>
        <v>0</v>
      </c>
      <c r="U140" s="114">
        <f>'Reserve Bank'!I140-'Check RB Past'!I140</f>
        <v>0</v>
      </c>
    </row>
    <row r="141" spans="1:29" s="12" customFormat="1" ht="12.75" customHeight="1" x14ac:dyDescent="0.2">
      <c r="A141" s="110">
        <v>40575</v>
      </c>
      <c r="B141" s="117">
        <v>16582</v>
      </c>
      <c r="C141" s="117">
        <v>649</v>
      </c>
      <c r="D141" s="117">
        <v>17231</v>
      </c>
      <c r="E141" s="117">
        <v>1935</v>
      </c>
      <c r="F141" s="117">
        <v>19166</v>
      </c>
      <c r="G141" s="117">
        <v>4327</v>
      </c>
      <c r="H141" s="117">
        <v>23493</v>
      </c>
      <c r="I141" s="117">
        <v>2017</v>
      </c>
      <c r="J141" s="107"/>
      <c r="K141" s="69"/>
      <c r="L141" s="69"/>
      <c r="M141" s="110">
        <v>40575</v>
      </c>
      <c r="N141" s="114">
        <f>'Reserve Bank'!B141-'Check RB Past'!B141</f>
        <v>0</v>
      </c>
      <c r="O141" s="114">
        <f>'Reserve Bank'!C141-'Check RB Past'!C141</f>
        <v>0</v>
      </c>
      <c r="P141" s="114">
        <f>'Reserve Bank'!D141-'Check RB Past'!D141</f>
        <v>0</v>
      </c>
      <c r="Q141" s="114">
        <f>'Reserve Bank'!E141-'Check RB Past'!E141</f>
        <v>0</v>
      </c>
      <c r="R141" s="114">
        <f>'Reserve Bank'!F141-'Check RB Past'!F141</f>
        <v>0</v>
      </c>
      <c r="S141" s="114">
        <f>'Reserve Bank'!G141-'Check RB Past'!G141</f>
        <v>0</v>
      </c>
      <c r="T141" s="114">
        <f>'Reserve Bank'!H141-'Check RB Past'!H141</f>
        <v>0</v>
      </c>
      <c r="U141" s="114">
        <f>'Reserve Bank'!I141-'Check RB Past'!I141</f>
        <v>0</v>
      </c>
    </row>
    <row r="142" spans="1:29" s="14" customFormat="1" ht="12.75" customHeight="1" x14ac:dyDescent="0.2">
      <c r="A142" s="110">
        <v>40603</v>
      </c>
      <c r="B142" s="117">
        <v>15925</v>
      </c>
      <c r="C142" s="117">
        <v>1912</v>
      </c>
      <c r="D142" s="117">
        <v>17837</v>
      </c>
      <c r="E142" s="117">
        <v>2218</v>
      </c>
      <c r="F142" s="117">
        <v>20055</v>
      </c>
      <c r="G142" s="117">
        <v>4683</v>
      </c>
      <c r="H142" s="117">
        <v>24738</v>
      </c>
      <c r="I142" s="117">
        <v>2306</v>
      </c>
      <c r="J142" s="20"/>
      <c r="K142" s="69"/>
      <c r="L142" s="69"/>
      <c r="M142" s="110">
        <v>40603</v>
      </c>
      <c r="N142" s="114">
        <f>'Reserve Bank'!B142-'Check RB Past'!B142</f>
        <v>0</v>
      </c>
      <c r="O142" s="114">
        <f>'Reserve Bank'!C142-'Check RB Past'!C142</f>
        <v>0</v>
      </c>
      <c r="P142" s="114">
        <f>'Reserve Bank'!D142-'Check RB Past'!D142</f>
        <v>0</v>
      </c>
      <c r="Q142" s="114">
        <f>'Reserve Bank'!E142-'Check RB Past'!E142</f>
        <v>0</v>
      </c>
      <c r="R142" s="114">
        <f>'Reserve Bank'!F142-'Check RB Past'!F142</f>
        <v>0</v>
      </c>
      <c r="S142" s="114">
        <f>'Reserve Bank'!G142-'Check RB Past'!G142</f>
        <v>0</v>
      </c>
      <c r="T142" s="114">
        <f>'Reserve Bank'!H142-'Check RB Past'!H142</f>
        <v>0</v>
      </c>
      <c r="U142" s="114">
        <f>'Reserve Bank'!I142-'Check RB Past'!I142</f>
        <v>0</v>
      </c>
    </row>
    <row r="143" spans="1:29" s="14" customFormat="1" ht="12.75" customHeight="1" x14ac:dyDescent="0.2">
      <c r="A143" s="110">
        <v>40634</v>
      </c>
      <c r="B143" s="117">
        <v>16212</v>
      </c>
      <c r="C143" s="117">
        <v>323</v>
      </c>
      <c r="D143" s="117">
        <v>16535</v>
      </c>
      <c r="E143" s="117">
        <v>3811</v>
      </c>
      <c r="F143" s="117">
        <v>20346</v>
      </c>
      <c r="G143" s="117">
        <v>4898</v>
      </c>
      <c r="H143" s="117">
        <v>25244</v>
      </c>
      <c r="I143" s="117">
        <v>2866</v>
      </c>
      <c r="J143" s="20"/>
      <c r="K143" s="69"/>
      <c r="L143" s="69"/>
      <c r="M143" s="110">
        <v>40634</v>
      </c>
      <c r="N143" s="114">
        <f>'Reserve Bank'!B143-'Check RB Past'!B143</f>
        <v>0</v>
      </c>
      <c r="O143" s="114">
        <f>'Reserve Bank'!C143-'Check RB Past'!C143</f>
        <v>0</v>
      </c>
      <c r="P143" s="114">
        <f>'Reserve Bank'!D143-'Check RB Past'!D143</f>
        <v>0</v>
      </c>
      <c r="Q143" s="114">
        <f>'Reserve Bank'!E143-'Check RB Past'!E143</f>
        <v>0</v>
      </c>
      <c r="R143" s="114">
        <f>'Reserve Bank'!F143-'Check RB Past'!F143</f>
        <v>0</v>
      </c>
      <c r="S143" s="114">
        <f>'Reserve Bank'!G143-'Check RB Past'!G143</f>
        <v>0</v>
      </c>
      <c r="T143" s="114">
        <f>'Reserve Bank'!H143-'Check RB Past'!H143</f>
        <v>0</v>
      </c>
      <c r="U143" s="114">
        <f>'Reserve Bank'!I143-'Check RB Past'!I143</f>
        <v>0</v>
      </c>
    </row>
    <row r="144" spans="1:29" s="14" customFormat="1" ht="12.75" customHeight="1" x14ac:dyDescent="0.2">
      <c r="A144" s="110">
        <v>40664</v>
      </c>
      <c r="B144" s="117">
        <v>16442</v>
      </c>
      <c r="C144" s="117">
        <v>1292</v>
      </c>
      <c r="D144" s="117">
        <v>17734</v>
      </c>
      <c r="E144" s="117">
        <v>3554</v>
      </c>
      <c r="F144" s="117">
        <v>21288</v>
      </c>
      <c r="G144" s="117">
        <v>5170</v>
      </c>
      <c r="H144" s="117">
        <v>26458</v>
      </c>
      <c r="I144" s="117">
        <v>3342</v>
      </c>
      <c r="J144" s="20"/>
      <c r="K144" s="69"/>
      <c r="L144" s="69"/>
      <c r="M144" s="110">
        <v>40664</v>
      </c>
      <c r="N144" s="114">
        <f>'Reserve Bank'!B144-'Check RB Past'!B144</f>
        <v>0</v>
      </c>
      <c r="O144" s="114">
        <f>'Reserve Bank'!C144-'Check RB Past'!C144</f>
        <v>0</v>
      </c>
      <c r="P144" s="114">
        <f>'Reserve Bank'!D144-'Check RB Past'!D144</f>
        <v>0</v>
      </c>
      <c r="Q144" s="114">
        <f>'Reserve Bank'!E144-'Check RB Past'!E144</f>
        <v>0</v>
      </c>
      <c r="R144" s="114">
        <f>'Reserve Bank'!F144-'Check RB Past'!F144</f>
        <v>0</v>
      </c>
      <c r="S144" s="114">
        <f>'Reserve Bank'!G144-'Check RB Past'!G144</f>
        <v>0</v>
      </c>
      <c r="T144" s="114">
        <f>'Reserve Bank'!H144-'Check RB Past'!H144</f>
        <v>0</v>
      </c>
      <c r="U144" s="114">
        <f>'Reserve Bank'!I144-'Check RB Past'!I144</f>
        <v>0</v>
      </c>
    </row>
    <row r="145" spans="1:29" s="14" customFormat="1" ht="12.75" customHeight="1" x14ac:dyDescent="0.2">
      <c r="A145" s="110">
        <v>40695</v>
      </c>
      <c r="B145" s="117">
        <v>16438</v>
      </c>
      <c r="C145" s="117">
        <v>963</v>
      </c>
      <c r="D145" s="117">
        <v>17401</v>
      </c>
      <c r="E145" s="117">
        <v>4394</v>
      </c>
      <c r="F145" s="117">
        <v>21795</v>
      </c>
      <c r="G145" s="117">
        <v>4635</v>
      </c>
      <c r="H145" s="117">
        <v>26430</v>
      </c>
      <c r="I145" s="117">
        <v>3273</v>
      </c>
      <c r="J145" s="20"/>
      <c r="K145" s="69"/>
      <c r="L145" s="69"/>
      <c r="M145" s="110">
        <v>40695</v>
      </c>
      <c r="N145" s="114">
        <f>'Reserve Bank'!B145-'Check RB Past'!B145</f>
        <v>0</v>
      </c>
      <c r="O145" s="114">
        <f>'Reserve Bank'!C145-'Check RB Past'!C145</f>
        <v>0</v>
      </c>
      <c r="P145" s="114">
        <f>'Reserve Bank'!D145-'Check RB Past'!D145</f>
        <v>0</v>
      </c>
      <c r="Q145" s="114">
        <f>'Reserve Bank'!E145-'Check RB Past'!E145</f>
        <v>0</v>
      </c>
      <c r="R145" s="114">
        <f>'Reserve Bank'!F145-'Check RB Past'!F145</f>
        <v>0</v>
      </c>
      <c r="S145" s="114">
        <f>'Reserve Bank'!G145-'Check RB Past'!G145</f>
        <v>0</v>
      </c>
      <c r="T145" s="114">
        <f>'Reserve Bank'!H145-'Check RB Past'!H145</f>
        <v>0</v>
      </c>
      <c r="U145" s="114">
        <f>'Reserve Bank'!I145-'Check RB Past'!I145</f>
        <v>0</v>
      </c>
    </row>
    <row r="146" spans="1:29" s="14" customFormat="1" ht="12.75" customHeight="1" x14ac:dyDescent="0.2">
      <c r="A146" s="110">
        <v>40725</v>
      </c>
      <c r="B146" s="117">
        <v>14434</v>
      </c>
      <c r="C146" s="117">
        <v>536</v>
      </c>
      <c r="D146" s="117">
        <v>14970</v>
      </c>
      <c r="E146" s="117">
        <v>4352</v>
      </c>
      <c r="F146" s="117">
        <v>19322</v>
      </c>
      <c r="G146" s="117">
        <v>5484</v>
      </c>
      <c r="H146" s="117">
        <v>24806</v>
      </c>
      <c r="I146" s="117">
        <v>3708</v>
      </c>
      <c r="J146" s="20"/>
      <c r="K146" s="69"/>
      <c r="L146" s="69"/>
      <c r="M146" s="110">
        <v>40725</v>
      </c>
      <c r="N146" s="114">
        <f>'Reserve Bank'!B146-'Check RB Past'!B146</f>
        <v>0</v>
      </c>
      <c r="O146" s="114">
        <f>'Reserve Bank'!C146-'Check RB Past'!C146</f>
        <v>0</v>
      </c>
      <c r="P146" s="114">
        <f>'Reserve Bank'!D146-'Check RB Past'!D146</f>
        <v>0</v>
      </c>
      <c r="Q146" s="114">
        <f>'Reserve Bank'!E146-'Check RB Past'!E146</f>
        <v>0</v>
      </c>
      <c r="R146" s="114">
        <f>'Reserve Bank'!F146-'Check RB Past'!F146</f>
        <v>0</v>
      </c>
      <c r="S146" s="114">
        <f>'Reserve Bank'!G146-'Check RB Past'!G146</f>
        <v>0</v>
      </c>
      <c r="T146" s="114">
        <f>'Reserve Bank'!H146-'Check RB Past'!H146</f>
        <v>0</v>
      </c>
      <c r="U146" s="114">
        <f>'Reserve Bank'!I146-'Check RB Past'!I146</f>
        <v>0</v>
      </c>
      <c r="V146" s="1"/>
      <c r="W146" s="1"/>
      <c r="X146" s="1"/>
      <c r="Y146" s="1"/>
      <c r="Z146" s="1"/>
      <c r="AA146" s="1"/>
      <c r="AB146" s="1"/>
      <c r="AC146" s="1"/>
    </row>
    <row r="147" spans="1:29" s="12" customFormat="1" ht="12.75" customHeight="1" x14ac:dyDescent="0.2">
      <c r="A147" s="110">
        <v>40756</v>
      </c>
      <c r="B147" s="117">
        <v>13516</v>
      </c>
      <c r="C147" s="117">
        <v>1993</v>
      </c>
      <c r="D147" s="117">
        <v>15509</v>
      </c>
      <c r="E147" s="117">
        <v>3523</v>
      </c>
      <c r="F147" s="117">
        <v>19032</v>
      </c>
      <c r="G147" s="117">
        <v>5012</v>
      </c>
      <c r="H147" s="117">
        <v>24044</v>
      </c>
      <c r="I147" s="117">
        <v>3434</v>
      </c>
      <c r="J147" s="107"/>
      <c r="K147" s="69"/>
      <c r="L147" s="69"/>
      <c r="M147" s="110">
        <v>40756</v>
      </c>
      <c r="N147" s="114">
        <f>'Reserve Bank'!B147-'Check RB Past'!B147</f>
        <v>0</v>
      </c>
      <c r="O147" s="114">
        <f>'Reserve Bank'!C147-'Check RB Past'!C147</f>
        <v>0</v>
      </c>
      <c r="P147" s="114">
        <f>'Reserve Bank'!D147-'Check RB Past'!D147</f>
        <v>0</v>
      </c>
      <c r="Q147" s="114">
        <f>'Reserve Bank'!E147-'Check RB Past'!E147</f>
        <v>0</v>
      </c>
      <c r="R147" s="114">
        <f>'Reserve Bank'!F147-'Check RB Past'!F147</f>
        <v>0</v>
      </c>
      <c r="S147" s="114">
        <f>'Reserve Bank'!G147-'Check RB Past'!G147</f>
        <v>0</v>
      </c>
      <c r="T147" s="114">
        <f>'Reserve Bank'!H147-'Check RB Past'!H147</f>
        <v>0</v>
      </c>
      <c r="U147" s="114">
        <f>'Reserve Bank'!I147-'Check RB Past'!I147</f>
        <v>0</v>
      </c>
      <c r="V147" s="13"/>
      <c r="W147" s="13"/>
      <c r="X147" s="13"/>
      <c r="Y147" s="13"/>
      <c r="Z147" s="13"/>
      <c r="AA147" s="13"/>
      <c r="AB147" s="13"/>
      <c r="AC147" s="13"/>
    </row>
    <row r="148" spans="1:29" s="12" customFormat="1" ht="12.75" customHeight="1" x14ac:dyDescent="0.2">
      <c r="A148" s="110">
        <v>40787</v>
      </c>
      <c r="B148" s="117">
        <v>12994</v>
      </c>
      <c r="C148" s="117">
        <v>6370</v>
      </c>
      <c r="D148" s="117">
        <v>19364</v>
      </c>
      <c r="E148" s="117">
        <v>2671</v>
      </c>
      <c r="F148" s="117">
        <v>22035</v>
      </c>
      <c r="G148" s="117">
        <v>4679</v>
      </c>
      <c r="H148" s="117">
        <v>26714</v>
      </c>
      <c r="I148" s="117">
        <v>2234</v>
      </c>
      <c r="J148" s="20"/>
      <c r="K148" s="69"/>
      <c r="L148" s="69"/>
      <c r="M148" s="110">
        <v>40787</v>
      </c>
      <c r="N148" s="114">
        <f>'Reserve Bank'!B148-'Check RB Past'!B148</f>
        <v>0</v>
      </c>
      <c r="O148" s="114">
        <f>'Reserve Bank'!C148-'Check RB Past'!C148</f>
        <v>0</v>
      </c>
      <c r="P148" s="114">
        <f>'Reserve Bank'!D148-'Check RB Past'!D148</f>
        <v>0</v>
      </c>
      <c r="Q148" s="114">
        <f>'Reserve Bank'!E148-'Check RB Past'!E148</f>
        <v>0</v>
      </c>
      <c r="R148" s="114">
        <f>'Reserve Bank'!F148-'Check RB Past'!F148</f>
        <v>0</v>
      </c>
      <c r="S148" s="114">
        <f>'Reserve Bank'!G148-'Check RB Past'!G148</f>
        <v>0</v>
      </c>
      <c r="T148" s="114">
        <f>'Reserve Bank'!H148-'Check RB Past'!H148</f>
        <v>0</v>
      </c>
      <c r="U148" s="114">
        <f>'Reserve Bank'!I148-'Check RB Past'!I148</f>
        <v>0</v>
      </c>
      <c r="V148" s="13"/>
      <c r="W148" s="13"/>
      <c r="X148" s="13"/>
      <c r="Y148" s="13"/>
      <c r="Z148" s="13"/>
      <c r="AA148" s="13"/>
      <c r="AB148" s="13"/>
      <c r="AC148" s="13"/>
    </row>
    <row r="149" spans="1:29" s="12" customFormat="1" ht="12.75" customHeight="1" x14ac:dyDescent="0.2">
      <c r="A149" s="110">
        <v>40817</v>
      </c>
      <c r="B149" s="117">
        <v>11685</v>
      </c>
      <c r="C149" s="117">
        <v>4955</v>
      </c>
      <c r="D149" s="117">
        <v>16640</v>
      </c>
      <c r="E149" s="117">
        <v>5429</v>
      </c>
      <c r="F149" s="117">
        <v>22069</v>
      </c>
      <c r="G149" s="117">
        <v>4775</v>
      </c>
      <c r="H149" s="117">
        <v>26844</v>
      </c>
      <c r="I149" s="117">
        <v>2794</v>
      </c>
      <c r="J149" s="20"/>
      <c r="K149" s="69"/>
      <c r="L149" s="69"/>
      <c r="M149" s="110">
        <v>40817</v>
      </c>
      <c r="N149" s="114">
        <f>'Reserve Bank'!B149-'Check RB Past'!B149</f>
        <v>0</v>
      </c>
      <c r="O149" s="114">
        <f>'Reserve Bank'!C149-'Check RB Past'!C149</f>
        <v>0</v>
      </c>
      <c r="P149" s="114">
        <f>'Reserve Bank'!D149-'Check RB Past'!D149</f>
        <v>0</v>
      </c>
      <c r="Q149" s="114">
        <f>'Reserve Bank'!E149-'Check RB Past'!E149</f>
        <v>0</v>
      </c>
      <c r="R149" s="114">
        <f>'Reserve Bank'!F149-'Check RB Past'!F149</f>
        <v>0</v>
      </c>
      <c r="S149" s="114">
        <f>'Reserve Bank'!G149-'Check RB Past'!G149</f>
        <v>0</v>
      </c>
      <c r="T149" s="114">
        <f>'Reserve Bank'!H149-'Check RB Past'!H149</f>
        <v>0</v>
      </c>
      <c r="U149" s="114">
        <f>'Reserve Bank'!I149-'Check RB Past'!I149</f>
        <v>0</v>
      </c>
      <c r="V149" s="13"/>
      <c r="W149" s="13"/>
      <c r="X149" s="13"/>
      <c r="Y149" s="13"/>
      <c r="Z149" s="13"/>
      <c r="AA149" s="13"/>
      <c r="AB149" s="13"/>
      <c r="AC149" s="13"/>
    </row>
    <row r="150" spans="1:29" s="12" customFormat="1" ht="12.75" customHeight="1" x14ac:dyDescent="0.2">
      <c r="A150" s="110">
        <v>40848</v>
      </c>
      <c r="B150" s="117">
        <v>11536</v>
      </c>
      <c r="C150" s="117">
        <v>5761</v>
      </c>
      <c r="D150" s="117">
        <v>17297</v>
      </c>
      <c r="E150" s="117">
        <v>4295</v>
      </c>
      <c r="F150" s="117">
        <v>21592</v>
      </c>
      <c r="G150" s="117">
        <v>4226</v>
      </c>
      <c r="H150" s="117">
        <v>25818</v>
      </c>
      <c r="I150" s="117">
        <v>2203</v>
      </c>
      <c r="J150" s="20"/>
      <c r="K150" s="1"/>
      <c r="L150" s="69"/>
      <c r="M150" s="110">
        <v>40848</v>
      </c>
      <c r="N150" s="114">
        <f>'Reserve Bank'!B150-'Check RB Past'!B150</f>
        <v>0</v>
      </c>
      <c r="O150" s="114">
        <f>'Reserve Bank'!C150-'Check RB Past'!C150</f>
        <v>0</v>
      </c>
      <c r="P150" s="114">
        <f>'Reserve Bank'!D150-'Check RB Past'!D150</f>
        <v>0</v>
      </c>
      <c r="Q150" s="114">
        <f>'Reserve Bank'!E150-'Check RB Past'!E150</f>
        <v>0</v>
      </c>
      <c r="R150" s="114">
        <f>'Reserve Bank'!F150-'Check RB Past'!F150</f>
        <v>0</v>
      </c>
      <c r="S150" s="114">
        <f>'Reserve Bank'!G150-'Check RB Past'!G150</f>
        <v>0</v>
      </c>
      <c r="T150" s="114">
        <f>'Reserve Bank'!H150-'Check RB Past'!H150</f>
        <v>0</v>
      </c>
      <c r="U150" s="114">
        <f>'Reserve Bank'!I150-'Check RB Past'!I150</f>
        <v>0</v>
      </c>
      <c r="V150" s="13"/>
      <c r="W150" s="13"/>
      <c r="X150" s="13"/>
      <c r="Y150" s="13"/>
      <c r="Z150" s="13"/>
      <c r="AA150" s="13"/>
      <c r="AB150" s="13"/>
      <c r="AC150" s="13"/>
    </row>
    <row r="151" spans="1:29" s="12" customFormat="1" ht="12.75" customHeight="1" x14ac:dyDescent="0.2">
      <c r="A151" s="110">
        <v>40878</v>
      </c>
      <c r="B151" s="117">
        <v>11489</v>
      </c>
      <c r="C151" s="117">
        <v>3552</v>
      </c>
      <c r="D151" s="117">
        <v>15041</v>
      </c>
      <c r="E151" s="117">
        <v>2606</v>
      </c>
      <c r="F151" s="117">
        <v>17647</v>
      </c>
      <c r="G151" s="117">
        <v>4409</v>
      </c>
      <c r="H151" s="117">
        <v>22056</v>
      </c>
      <c r="I151" s="117">
        <v>2283</v>
      </c>
      <c r="J151" s="20"/>
      <c r="K151" s="1"/>
      <c r="L151" s="69"/>
      <c r="M151" s="89">
        <v>40878</v>
      </c>
      <c r="N151" s="114">
        <f>'Reserve Bank'!B151-'Check RB Past'!B151</f>
        <v>0</v>
      </c>
      <c r="O151" s="114">
        <f>'Reserve Bank'!C151-'Check RB Past'!C151</f>
        <v>0</v>
      </c>
      <c r="P151" s="114">
        <f>'Reserve Bank'!D151-'Check RB Past'!D151</f>
        <v>0</v>
      </c>
      <c r="Q151" s="114">
        <f>'Reserve Bank'!E151-'Check RB Past'!E151</f>
        <v>0</v>
      </c>
      <c r="R151" s="114">
        <f>'Reserve Bank'!F151-'Check RB Past'!F151</f>
        <v>0</v>
      </c>
      <c r="S151" s="114">
        <f>'Reserve Bank'!G151-'Check RB Past'!G151</f>
        <v>0</v>
      </c>
      <c r="T151" s="114">
        <f>'Reserve Bank'!H151-'Check RB Past'!H151</f>
        <v>0</v>
      </c>
      <c r="U151" s="114">
        <f>'Reserve Bank'!I151-'Check RB Past'!I151</f>
        <v>0</v>
      </c>
      <c r="V151" s="13"/>
      <c r="W151" s="13"/>
      <c r="X151" s="13"/>
      <c r="Y151" s="13"/>
      <c r="Z151" s="13"/>
      <c r="AA151" s="13"/>
      <c r="AB151" s="13"/>
      <c r="AC151" s="13"/>
    </row>
    <row r="152" spans="1:29" s="12" customFormat="1" ht="12.75" customHeight="1" x14ac:dyDescent="0.2">
      <c r="A152" s="110">
        <v>40909</v>
      </c>
      <c r="B152" s="117">
        <v>12400</v>
      </c>
      <c r="C152" s="117">
        <v>4157</v>
      </c>
      <c r="D152" s="117">
        <v>16557</v>
      </c>
      <c r="E152" s="117">
        <v>1739</v>
      </c>
      <c r="F152" s="117">
        <v>18296</v>
      </c>
      <c r="G152" s="117">
        <v>4423</v>
      </c>
      <c r="H152" s="117">
        <v>22719</v>
      </c>
      <c r="I152" s="117">
        <v>2822</v>
      </c>
      <c r="J152" s="20"/>
      <c r="K152" s="1"/>
      <c r="L152" s="69"/>
      <c r="M152" s="89">
        <v>40909</v>
      </c>
      <c r="N152" s="114">
        <f>'Reserve Bank'!B152-'Check RB Past'!B152</f>
        <v>0</v>
      </c>
      <c r="O152" s="114">
        <f>'Reserve Bank'!C152-'Check RB Past'!C152</f>
        <v>0</v>
      </c>
      <c r="P152" s="114">
        <f>'Reserve Bank'!D152-'Check RB Past'!D152</f>
        <v>0</v>
      </c>
      <c r="Q152" s="114">
        <f>'Reserve Bank'!E152-'Check RB Past'!E152</f>
        <v>0</v>
      </c>
      <c r="R152" s="114">
        <f>'Reserve Bank'!F152-'Check RB Past'!F152</f>
        <v>0</v>
      </c>
      <c r="S152" s="114">
        <f>'Reserve Bank'!G152-'Check RB Past'!G152</f>
        <v>0</v>
      </c>
      <c r="T152" s="114">
        <f>'Reserve Bank'!H152-'Check RB Past'!H152</f>
        <v>0</v>
      </c>
      <c r="U152" s="114">
        <f>'Reserve Bank'!I152-'Check RB Past'!I152</f>
        <v>0</v>
      </c>
      <c r="V152" s="13"/>
      <c r="W152" s="13"/>
      <c r="X152" s="13"/>
      <c r="Y152" s="13"/>
      <c r="Z152" s="13"/>
      <c r="AA152" s="13"/>
      <c r="AB152" s="13"/>
      <c r="AC152" s="13"/>
    </row>
    <row r="153" spans="1:29" s="12" customFormat="1" ht="12.75" customHeight="1" x14ac:dyDescent="0.2">
      <c r="A153" s="110">
        <v>40940</v>
      </c>
      <c r="B153" s="117">
        <v>14841</v>
      </c>
      <c r="C153" s="117">
        <v>1177</v>
      </c>
      <c r="D153" s="117">
        <v>16018</v>
      </c>
      <c r="E153" s="117">
        <v>2770</v>
      </c>
      <c r="F153" s="117">
        <v>18788</v>
      </c>
      <c r="G153" s="117">
        <v>4318</v>
      </c>
      <c r="H153" s="117">
        <v>23106</v>
      </c>
      <c r="I153" s="117">
        <v>2949</v>
      </c>
      <c r="J153" s="20"/>
      <c r="K153" s="1"/>
      <c r="L153" s="69"/>
      <c r="M153" s="89">
        <v>40940</v>
      </c>
      <c r="N153" s="114">
        <f>'Reserve Bank'!B153-'Check RB Past'!B153</f>
        <v>0</v>
      </c>
      <c r="O153" s="114">
        <f>'Reserve Bank'!C153-'Check RB Past'!C153</f>
        <v>0</v>
      </c>
      <c r="P153" s="114">
        <f>'Reserve Bank'!D153-'Check RB Past'!D153</f>
        <v>0</v>
      </c>
      <c r="Q153" s="114">
        <f>'Reserve Bank'!E153-'Check RB Past'!E153</f>
        <v>0</v>
      </c>
      <c r="R153" s="114">
        <f>'Reserve Bank'!F153-'Check RB Past'!F153</f>
        <v>0</v>
      </c>
      <c r="S153" s="114">
        <f>'Reserve Bank'!G153-'Check RB Past'!G153</f>
        <v>0</v>
      </c>
      <c r="T153" s="114">
        <f>'Reserve Bank'!H153-'Check RB Past'!H153</f>
        <v>0</v>
      </c>
      <c r="U153" s="114">
        <f>'Reserve Bank'!I153-'Check RB Past'!I153</f>
        <v>0</v>
      </c>
      <c r="V153" s="13"/>
      <c r="W153" s="13"/>
      <c r="X153" s="13"/>
      <c r="Y153" s="13"/>
      <c r="Z153" s="13"/>
      <c r="AA153" s="13"/>
      <c r="AB153" s="13"/>
      <c r="AC153" s="13"/>
    </row>
    <row r="154" spans="1:29" s="12" customFormat="1" ht="12.75" customHeight="1" x14ac:dyDescent="0.2">
      <c r="A154" s="110">
        <v>40969</v>
      </c>
      <c r="B154" s="117">
        <v>13577</v>
      </c>
      <c r="C154" s="117">
        <v>3363</v>
      </c>
      <c r="D154" s="117">
        <v>16940</v>
      </c>
      <c r="E154" s="117">
        <v>2181</v>
      </c>
      <c r="F154" s="117">
        <v>19121</v>
      </c>
      <c r="G154" s="117">
        <v>4341</v>
      </c>
      <c r="H154" s="117">
        <v>23462</v>
      </c>
      <c r="I154" s="117">
        <v>2765</v>
      </c>
      <c r="J154" s="20"/>
      <c r="K154" s="1"/>
      <c r="L154" s="69"/>
      <c r="M154" s="89">
        <v>40969</v>
      </c>
      <c r="N154" s="114">
        <f>'Reserve Bank'!B154-'Check RB Past'!B154</f>
        <v>0</v>
      </c>
      <c r="O154" s="114">
        <f>'Reserve Bank'!C154-'Check RB Past'!C154</f>
        <v>0</v>
      </c>
      <c r="P154" s="114">
        <f>'Reserve Bank'!D154-'Check RB Past'!D154</f>
        <v>0</v>
      </c>
      <c r="Q154" s="114">
        <f>'Reserve Bank'!E154-'Check RB Past'!E154</f>
        <v>0</v>
      </c>
      <c r="R154" s="114">
        <f>'Reserve Bank'!F154-'Check RB Past'!F154</f>
        <v>0</v>
      </c>
      <c r="S154" s="114">
        <f>'Reserve Bank'!G154-'Check RB Past'!G154</f>
        <v>0</v>
      </c>
      <c r="T154" s="114">
        <f>'Reserve Bank'!H154-'Check RB Past'!H154</f>
        <v>0</v>
      </c>
      <c r="U154" s="114">
        <f>'Reserve Bank'!I154-'Check RB Past'!I154</f>
        <v>0</v>
      </c>
      <c r="V154" s="13"/>
      <c r="W154" s="13"/>
      <c r="X154" s="13"/>
      <c r="Y154" s="13"/>
      <c r="Z154" s="13"/>
      <c r="AA154" s="13"/>
      <c r="AB154" s="13"/>
      <c r="AC154" s="13"/>
    </row>
    <row r="155" spans="1:29" s="12" customFormat="1" ht="12.75" customHeight="1" x14ac:dyDescent="0.2">
      <c r="A155" s="110">
        <v>41000</v>
      </c>
      <c r="B155" s="117">
        <v>12944</v>
      </c>
      <c r="C155" s="117">
        <v>2786</v>
      </c>
      <c r="D155" s="117">
        <v>15730</v>
      </c>
      <c r="E155" s="117">
        <v>3339</v>
      </c>
      <c r="F155" s="117">
        <v>19069</v>
      </c>
      <c r="G155" s="117">
        <v>4452</v>
      </c>
      <c r="H155" s="117">
        <v>23521</v>
      </c>
      <c r="I155" s="117">
        <v>2385</v>
      </c>
      <c r="J155" s="20"/>
      <c r="K155" s="1"/>
      <c r="L155" s="69"/>
      <c r="M155" s="89">
        <v>41000</v>
      </c>
      <c r="N155" s="114">
        <f>'Reserve Bank'!B155-'Check RB Past'!B155</f>
        <v>0</v>
      </c>
      <c r="O155" s="114">
        <f>'Reserve Bank'!C155-'Check RB Past'!C155</f>
        <v>0</v>
      </c>
      <c r="P155" s="114">
        <f>'Reserve Bank'!D155-'Check RB Past'!D155</f>
        <v>0</v>
      </c>
      <c r="Q155" s="114">
        <f>'Reserve Bank'!E155-'Check RB Past'!E155</f>
        <v>0</v>
      </c>
      <c r="R155" s="114">
        <f>'Reserve Bank'!F155-'Check RB Past'!F155</f>
        <v>0</v>
      </c>
      <c r="S155" s="114">
        <f>'Reserve Bank'!G155-'Check RB Past'!G155</f>
        <v>0</v>
      </c>
      <c r="T155" s="114">
        <f>'Reserve Bank'!H155-'Check RB Past'!H155</f>
        <v>0</v>
      </c>
      <c r="U155" s="114">
        <f>'Reserve Bank'!I155-'Check RB Past'!I155</f>
        <v>0</v>
      </c>
      <c r="V155" s="13"/>
      <c r="W155" s="13"/>
      <c r="X155" s="13"/>
      <c r="Y155" s="13"/>
      <c r="Z155" s="13"/>
      <c r="AA155" s="13"/>
      <c r="AB155" s="13"/>
      <c r="AC155" s="13"/>
    </row>
    <row r="156" spans="1:29" s="12" customFormat="1" ht="12.75" customHeight="1" x14ac:dyDescent="0.2">
      <c r="A156" s="110">
        <v>41030</v>
      </c>
      <c r="B156" s="117">
        <v>15037</v>
      </c>
      <c r="C156" s="117">
        <v>2485</v>
      </c>
      <c r="D156" s="117">
        <v>17522</v>
      </c>
      <c r="E156" s="117">
        <v>4433</v>
      </c>
      <c r="F156" s="117">
        <v>21955</v>
      </c>
      <c r="G156" s="117">
        <v>6282</v>
      </c>
      <c r="H156" s="117">
        <v>28237</v>
      </c>
      <c r="I156" s="117">
        <v>1301</v>
      </c>
      <c r="J156" s="20"/>
      <c r="K156" s="13"/>
      <c r="L156" s="69"/>
      <c r="M156" s="89">
        <v>41030</v>
      </c>
      <c r="N156" s="114">
        <f>'Reserve Bank'!B156-'Check RB Past'!B156</f>
        <v>0</v>
      </c>
      <c r="O156" s="114">
        <f>'Reserve Bank'!C156-'Check RB Past'!C156</f>
        <v>0</v>
      </c>
      <c r="P156" s="114">
        <f>'Reserve Bank'!D156-'Check RB Past'!D156</f>
        <v>0</v>
      </c>
      <c r="Q156" s="114">
        <f>'Reserve Bank'!E156-'Check RB Past'!E156</f>
        <v>0</v>
      </c>
      <c r="R156" s="114">
        <f>'Reserve Bank'!F156-'Check RB Past'!F156</f>
        <v>0</v>
      </c>
      <c r="S156" s="114">
        <f>'Reserve Bank'!G156-'Check RB Past'!G156</f>
        <v>0</v>
      </c>
      <c r="T156" s="114">
        <f>'Reserve Bank'!H156-'Check RB Past'!H156</f>
        <v>0</v>
      </c>
      <c r="U156" s="114">
        <f>'Reserve Bank'!I156-'Check RB Past'!I156</f>
        <v>0</v>
      </c>
      <c r="V156" s="13"/>
      <c r="W156" s="13"/>
      <c r="X156" s="13"/>
      <c r="Y156" s="13"/>
      <c r="Z156" s="13"/>
      <c r="AA156" s="13"/>
      <c r="AB156" s="13"/>
      <c r="AC156" s="13"/>
    </row>
    <row r="157" spans="1:29" s="12" customFormat="1" ht="12.75" customHeight="1" x14ac:dyDescent="0.2">
      <c r="A157" s="110">
        <v>41061</v>
      </c>
      <c r="B157" s="117">
        <v>12640</v>
      </c>
      <c r="C157" s="117">
        <v>1717</v>
      </c>
      <c r="D157" s="117">
        <v>14357</v>
      </c>
      <c r="E157" s="117">
        <v>4948</v>
      </c>
      <c r="F157" s="117">
        <v>19305</v>
      </c>
      <c r="G157" s="117">
        <v>6094</v>
      </c>
      <c r="H157" s="117">
        <v>25399</v>
      </c>
      <c r="I157" s="117">
        <v>1892</v>
      </c>
      <c r="J157" s="20"/>
      <c r="K157" s="13"/>
      <c r="L157" s="69"/>
      <c r="M157" s="89">
        <v>41061</v>
      </c>
      <c r="N157" s="114">
        <f>'Reserve Bank'!B157-'Check RB Past'!B157</f>
        <v>0</v>
      </c>
      <c r="O157" s="114">
        <f>'Reserve Bank'!C157-'Check RB Past'!C157</f>
        <v>0</v>
      </c>
      <c r="P157" s="114">
        <f>'Reserve Bank'!D157-'Check RB Past'!D157</f>
        <v>0</v>
      </c>
      <c r="Q157" s="114">
        <f>'Reserve Bank'!E157-'Check RB Past'!E157</f>
        <v>0</v>
      </c>
      <c r="R157" s="114">
        <f>'Reserve Bank'!F157-'Check RB Past'!F157</f>
        <v>0</v>
      </c>
      <c r="S157" s="114">
        <f>'Reserve Bank'!G157-'Check RB Past'!G157</f>
        <v>0</v>
      </c>
      <c r="T157" s="114">
        <f>'Reserve Bank'!H157-'Check RB Past'!H157</f>
        <v>0</v>
      </c>
      <c r="U157" s="114">
        <f>'Reserve Bank'!I157-'Check RB Past'!I157</f>
        <v>0</v>
      </c>
      <c r="V157" s="13"/>
      <c r="W157" s="13"/>
      <c r="X157" s="13"/>
      <c r="Y157" s="13"/>
      <c r="Z157" s="13"/>
      <c r="AA157" s="13"/>
      <c r="AB157" s="13"/>
      <c r="AC157" s="13"/>
    </row>
    <row r="158" spans="1:29" s="12" customFormat="1" ht="12.75" customHeight="1" x14ac:dyDescent="0.2">
      <c r="A158" s="110">
        <v>41091</v>
      </c>
      <c r="B158" s="117">
        <v>10576</v>
      </c>
      <c r="C158" s="117">
        <v>1500</v>
      </c>
      <c r="D158" s="117">
        <v>12076</v>
      </c>
      <c r="E158" s="117">
        <v>4609</v>
      </c>
      <c r="F158" s="117">
        <v>16685</v>
      </c>
      <c r="G158" s="117">
        <v>5967</v>
      </c>
      <c r="H158" s="117">
        <v>22652</v>
      </c>
      <c r="I158" s="117">
        <v>2106</v>
      </c>
      <c r="J158" s="20"/>
      <c r="K158" s="13"/>
      <c r="L158" s="69"/>
      <c r="M158" s="89">
        <v>41091</v>
      </c>
      <c r="N158" s="114">
        <f>'Reserve Bank'!B158-'Check RB Past'!B158</f>
        <v>0</v>
      </c>
      <c r="O158" s="114">
        <f>'Reserve Bank'!C158-'Check RB Past'!C158</f>
        <v>0</v>
      </c>
      <c r="P158" s="114">
        <f>'Reserve Bank'!D158-'Check RB Past'!D158</f>
        <v>0</v>
      </c>
      <c r="Q158" s="114">
        <f>'Reserve Bank'!E158-'Check RB Past'!E158</f>
        <v>0</v>
      </c>
      <c r="R158" s="114">
        <f>'Reserve Bank'!F158-'Check RB Past'!F158</f>
        <v>0</v>
      </c>
      <c r="S158" s="114">
        <f>'Reserve Bank'!G158-'Check RB Past'!G158</f>
        <v>0</v>
      </c>
      <c r="T158" s="114">
        <f>'Reserve Bank'!H158-'Check RB Past'!H158</f>
        <v>0</v>
      </c>
      <c r="U158" s="114">
        <f>'Reserve Bank'!I158-'Check RB Past'!I158</f>
        <v>0</v>
      </c>
      <c r="V158" s="13"/>
      <c r="W158" s="13"/>
      <c r="X158" s="13"/>
      <c r="Y158" s="13"/>
      <c r="Z158" s="13"/>
      <c r="AA158" s="13"/>
      <c r="AB158" s="13"/>
      <c r="AC158" s="13"/>
    </row>
    <row r="159" spans="1:29" s="12" customFormat="1" ht="12.75" customHeight="1" x14ac:dyDescent="0.2">
      <c r="A159" s="110">
        <v>41122</v>
      </c>
      <c r="B159" s="117">
        <v>9976</v>
      </c>
      <c r="C159" s="117">
        <v>2278</v>
      </c>
      <c r="D159" s="117">
        <v>12254</v>
      </c>
      <c r="E159" s="117">
        <v>3928</v>
      </c>
      <c r="F159" s="117">
        <v>16182</v>
      </c>
      <c r="G159" s="117">
        <v>5999</v>
      </c>
      <c r="H159" s="117">
        <v>22181</v>
      </c>
      <c r="I159" s="117">
        <v>1950</v>
      </c>
      <c r="J159" s="20"/>
      <c r="K159" s="13"/>
      <c r="L159" s="69"/>
      <c r="M159" s="89">
        <v>41122</v>
      </c>
      <c r="N159" s="114">
        <f>'Reserve Bank'!B159-'Check RB Past'!B159</f>
        <v>0</v>
      </c>
      <c r="O159" s="114">
        <f>'Reserve Bank'!C159-'Check RB Past'!C159</f>
        <v>0</v>
      </c>
      <c r="P159" s="114">
        <f>'Reserve Bank'!D159-'Check RB Past'!D159</f>
        <v>0</v>
      </c>
      <c r="Q159" s="114">
        <f>'Reserve Bank'!E159-'Check RB Past'!E159</f>
        <v>0</v>
      </c>
      <c r="R159" s="114">
        <f>'Reserve Bank'!F159-'Check RB Past'!F159</f>
        <v>0</v>
      </c>
      <c r="S159" s="114">
        <f>'Reserve Bank'!G159-'Check RB Past'!G159</f>
        <v>0</v>
      </c>
      <c r="T159" s="114">
        <f>'Reserve Bank'!H159-'Check RB Past'!H159</f>
        <v>0</v>
      </c>
      <c r="U159" s="114">
        <f>'Reserve Bank'!I159-'Check RB Past'!I159</f>
        <v>0</v>
      </c>
      <c r="V159" s="13"/>
      <c r="W159" s="13"/>
      <c r="X159" s="13"/>
      <c r="Y159" s="13"/>
      <c r="Z159" s="13"/>
      <c r="AA159" s="13"/>
      <c r="AB159" s="13"/>
      <c r="AC159" s="13"/>
    </row>
    <row r="160" spans="1:29" s="12" customFormat="1" ht="12.75" customHeight="1" x14ac:dyDescent="0.2">
      <c r="A160" s="110">
        <v>41153</v>
      </c>
      <c r="B160" s="117">
        <v>9621</v>
      </c>
      <c r="C160" s="117">
        <v>4379</v>
      </c>
      <c r="D160" s="117">
        <v>14000</v>
      </c>
      <c r="E160" s="117">
        <v>2378</v>
      </c>
      <c r="F160" s="117">
        <v>16378</v>
      </c>
      <c r="G160" s="117">
        <v>5652</v>
      </c>
      <c r="H160" s="117">
        <v>22030</v>
      </c>
      <c r="I160" s="117">
        <v>2298</v>
      </c>
      <c r="J160" s="20"/>
      <c r="K160" s="13"/>
      <c r="L160" s="69"/>
      <c r="M160" s="89">
        <v>41153</v>
      </c>
      <c r="N160" s="114">
        <f>'Reserve Bank'!B160-'Check RB Past'!B160</f>
        <v>0</v>
      </c>
      <c r="O160" s="114">
        <f>'Reserve Bank'!C160-'Check RB Past'!C160</f>
        <v>0</v>
      </c>
      <c r="P160" s="114">
        <f>'Reserve Bank'!D160-'Check RB Past'!D160</f>
        <v>0</v>
      </c>
      <c r="Q160" s="114">
        <f>'Reserve Bank'!E160-'Check RB Past'!E160</f>
        <v>0</v>
      </c>
      <c r="R160" s="114">
        <f>'Reserve Bank'!F160-'Check RB Past'!F160</f>
        <v>0</v>
      </c>
      <c r="S160" s="114">
        <f>'Reserve Bank'!G160-'Check RB Past'!G160</f>
        <v>0</v>
      </c>
      <c r="T160" s="114">
        <f>'Reserve Bank'!H160-'Check RB Past'!H160</f>
        <v>0</v>
      </c>
      <c r="U160" s="114">
        <f>'Reserve Bank'!I160-'Check RB Past'!I160</f>
        <v>0</v>
      </c>
      <c r="V160" s="13"/>
      <c r="W160" s="13"/>
      <c r="X160" s="13"/>
      <c r="Y160" s="13"/>
      <c r="Z160" s="13"/>
      <c r="AA160" s="13"/>
      <c r="AB160" s="13"/>
      <c r="AC160" s="13"/>
    </row>
    <row r="161" spans="1:29" s="12" customFormat="1" ht="12.75" customHeight="1" x14ac:dyDescent="0.2">
      <c r="A161" s="110">
        <v>41183</v>
      </c>
      <c r="B161" s="117">
        <v>8245</v>
      </c>
      <c r="C161" s="117">
        <v>4263</v>
      </c>
      <c r="D161" s="117">
        <v>12508</v>
      </c>
      <c r="E161" s="117">
        <v>5436</v>
      </c>
      <c r="F161" s="117">
        <v>17944</v>
      </c>
      <c r="G161" s="117">
        <v>5857</v>
      </c>
      <c r="H161" s="117">
        <v>23801</v>
      </c>
      <c r="I161" s="117">
        <v>2126</v>
      </c>
      <c r="J161" s="20"/>
      <c r="K161" s="13"/>
      <c r="L161" s="69"/>
      <c r="M161" s="89">
        <v>41183</v>
      </c>
      <c r="N161" s="114">
        <f>'Reserve Bank'!B161-'Check RB Past'!B161</f>
        <v>0</v>
      </c>
      <c r="O161" s="114">
        <f>'Reserve Bank'!C161-'Check RB Past'!C161</f>
        <v>0</v>
      </c>
      <c r="P161" s="114">
        <f>'Reserve Bank'!D161-'Check RB Past'!D161</f>
        <v>0</v>
      </c>
      <c r="Q161" s="114">
        <f>'Reserve Bank'!E161-'Check RB Past'!E161</f>
        <v>0</v>
      </c>
      <c r="R161" s="114">
        <f>'Reserve Bank'!F161-'Check RB Past'!F161</f>
        <v>0</v>
      </c>
      <c r="S161" s="114">
        <f>'Reserve Bank'!G161-'Check RB Past'!G161</f>
        <v>0</v>
      </c>
      <c r="T161" s="114">
        <f>'Reserve Bank'!H161-'Check RB Past'!H161</f>
        <v>0</v>
      </c>
      <c r="U161" s="114">
        <f>'Reserve Bank'!I161-'Check RB Past'!I161</f>
        <v>0</v>
      </c>
      <c r="V161" s="13"/>
      <c r="W161" s="13"/>
      <c r="X161" s="13"/>
      <c r="Y161" s="13"/>
      <c r="Z161" s="13"/>
      <c r="AA161" s="13"/>
      <c r="AB161" s="13"/>
      <c r="AC161" s="13"/>
    </row>
    <row r="162" spans="1:29" s="12" customFormat="1" ht="12.75" customHeight="1" x14ac:dyDescent="0.2">
      <c r="A162" s="110">
        <v>41214</v>
      </c>
      <c r="B162" s="117">
        <v>6642</v>
      </c>
      <c r="C162" s="117">
        <v>5541</v>
      </c>
      <c r="D162" s="117">
        <v>12183</v>
      </c>
      <c r="E162" s="117">
        <v>5758</v>
      </c>
      <c r="F162" s="117">
        <v>17941</v>
      </c>
      <c r="G162" s="117">
        <v>5936</v>
      </c>
      <c r="H162" s="117">
        <v>23877</v>
      </c>
      <c r="I162" s="117">
        <v>2093</v>
      </c>
      <c r="J162" s="20"/>
      <c r="K162" s="13"/>
      <c r="L162" s="69"/>
      <c r="M162" s="89">
        <v>41214</v>
      </c>
      <c r="N162" s="114">
        <f>'Reserve Bank'!B162-'Check RB Past'!B162</f>
        <v>0</v>
      </c>
      <c r="O162" s="114">
        <f>'Reserve Bank'!C162-'Check RB Past'!C162</f>
        <v>0</v>
      </c>
      <c r="P162" s="114">
        <f>'Reserve Bank'!D162-'Check RB Past'!D162</f>
        <v>0</v>
      </c>
      <c r="Q162" s="114">
        <f>'Reserve Bank'!E162-'Check RB Past'!E162</f>
        <v>0</v>
      </c>
      <c r="R162" s="114">
        <f>'Reserve Bank'!F162-'Check RB Past'!F162</f>
        <v>0</v>
      </c>
      <c r="S162" s="114">
        <f>'Reserve Bank'!G162-'Check RB Past'!G162</f>
        <v>0</v>
      </c>
      <c r="T162" s="114">
        <f>'Reserve Bank'!H162-'Check RB Past'!H162</f>
        <v>0</v>
      </c>
      <c r="U162" s="114">
        <f>'Reserve Bank'!I162-'Check RB Past'!I162</f>
        <v>0</v>
      </c>
      <c r="V162" s="13"/>
      <c r="W162" s="13"/>
      <c r="X162" s="13"/>
      <c r="Y162" s="13"/>
      <c r="Z162" s="13"/>
      <c r="AA162" s="13"/>
      <c r="AB162" s="13"/>
      <c r="AC162" s="13"/>
    </row>
    <row r="163" spans="1:29" s="12" customFormat="1" ht="12.75" customHeight="1" x14ac:dyDescent="0.2">
      <c r="A163" s="110">
        <v>41244</v>
      </c>
      <c r="B163" s="117">
        <v>5451</v>
      </c>
      <c r="C163" s="117">
        <v>5593</v>
      </c>
      <c r="D163" s="117">
        <v>11044</v>
      </c>
      <c r="E163" s="117">
        <v>4313</v>
      </c>
      <c r="F163" s="117">
        <v>15357</v>
      </c>
      <c r="G163" s="117">
        <v>6077</v>
      </c>
      <c r="H163" s="117">
        <v>21434</v>
      </c>
      <c r="I163" s="117">
        <v>2159</v>
      </c>
      <c r="J163" s="20"/>
      <c r="K163" s="13"/>
      <c r="L163" s="69"/>
      <c r="M163" s="89">
        <v>41244</v>
      </c>
      <c r="N163" s="114">
        <f>'Reserve Bank'!B163-'Check RB Past'!B163</f>
        <v>0</v>
      </c>
      <c r="O163" s="114">
        <f>'Reserve Bank'!C163-'Check RB Past'!C163</f>
        <v>0</v>
      </c>
      <c r="P163" s="114">
        <f>'Reserve Bank'!D163-'Check RB Past'!D163</f>
        <v>0</v>
      </c>
      <c r="Q163" s="114">
        <f>'Reserve Bank'!E163-'Check RB Past'!E163</f>
        <v>0</v>
      </c>
      <c r="R163" s="114">
        <f>'Reserve Bank'!F163-'Check RB Past'!F163</f>
        <v>0</v>
      </c>
      <c r="S163" s="114">
        <f>'Reserve Bank'!G163-'Check RB Past'!G163</f>
        <v>0</v>
      </c>
      <c r="T163" s="114">
        <f>'Reserve Bank'!H163-'Check RB Past'!H163</f>
        <v>0</v>
      </c>
      <c r="U163" s="114">
        <f>'Reserve Bank'!I163-'Check RB Past'!I163</f>
        <v>0</v>
      </c>
      <c r="V163" s="13"/>
      <c r="W163" s="13"/>
      <c r="X163" s="13"/>
      <c r="Y163" s="13"/>
      <c r="Z163" s="13"/>
      <c r="AA163" s="13"/>
      <c r="AB163" s="13"/>
      <c r="AC163" s="13"/>
    </row>
    <row r="164" spans="1:29" s="12" customFormat="1" ht="12.75" customHeight="1" x14ac:dyDescent="0.2">
      <c r="A164" s="110">
        <v>41275</v>
      </c>
      <c r="B164" s="117">
        <v>6796</v>
      </c>
      <c r="C164" s="117">
        <v>6928</v>
      </c>
      <c r="D164" s="117">
        <v>13724</v>
      </c>
      <c r="E164" s="117">
        <v>5273</v>
      </c>
      <c r="F164" s="117">
        <v>18997</v>
      </c>
      <c r="G164" s="117">
        <v>6608</v>
      </c>
      <c r="H164" s="117">
        <v>25605</v>
      </c>
      <c r="I164" s="117">
        <v>2236</v>
      </c>
      <c r="J164" s="20"/>
      <c r="K164" s="13"/>
      <c r="L164" s="69"/>
      <c r="M164" s="89">
        <v>41275</v>
      </c>
      <c r="N164" s="114">
        <f>'Reserve Bank'!B164-'Check RB Past'!B164</f>
        <v>0</v>
      </c>
      <c r="O164" s="114">
        <f>'Reserve Bank'!C164-'Check RB Past'!C164</f>
        <v>0</v>
      </c>
      <c r="P164" s="114">
        <f>'Reserve Bank'!D164-'Check RB Past'!D164</f>
        <v>0</v>
      </c>
      <c r="Q164" s="114">
        <f>'Reserve Bank'!E164-'Check RB Past'!E164</f>
        <v>0</v>
      </c>
      <c r="R164" s="114">
        <f>'Reserve Bank'!F164-'Check RB Past'!F164</f>
        <v>0</v>
      </c>
      <c r="S164" s="114">
        <f>'Reserve Bank'!G164-'Check RB Past'!G164</f>
        <v>0</v>
      </c>
      <c r="T164" s="114">
        <f>'Reserve Bank'!H164-'Check RB Past'!H164</f>
        <v>0</v>
      </c>
      <c r="U164" s="114">
        <f>'Reserve Bank'!I164-'Check RB Past'!I164</f>
        <v>0</v>
      </c>
      <c r="V164" s="13"/>
      <c r="W164" s="13"/>
      <c r="X164" s="13"/>
      <c r="Y164" s="13"/>
      <c r="Z164" s="13"/>
      <c r="AA164" s="13"/>
      <c r="AB164" s="13"/>
      <c r="AC164" s="13"/>
    </row>
    <row r="165" spans="1:29" s="12" customFormat="1" ht="12.75" customHeight="1" x14ac:dyDescent="0.2">
      <c r="A165" s="110">
        <v>41306</v>
      </c>
      <c r="B165" s="117">
        <v>10914</v>
      </c>
      <c r="C165" s="117">
        <v>3465</v>
      </c>
      <c r="D165" s="117">
        <v>14379</v>
      </c>
      <c r="E165" s="117">
        <v>4499</v>
      </c>
      <c r="F165" s="117">
        <v>18878</v>
      </c>
      <c r="G165" s="117">
        <v>6297</v>
      </c>
      <c r="H165" s="117">
        <v>25175</v>
      </c>
      <c r="I165" s="117">
        <v>2190</v>
      </c>
      <c r="J165" s="20"/>
      <c r="K165" s="13"/>
      <c r="L165" s="69"/>
      <c r="M165" s="89">
        <v>41306</v>
      </c>
      <c r="N165" s="114">
        <f>'Reserve Bank'!B165-'Check RB Past'!B165</f>
        <v>0</v>
      </c>
      <c r="O165" s="114">
        <f>'Reserve Bank'!C165-'Check RB Past'!C165</f>
        <v>0</v>
      </c>
      <c r="P165" s="114">
        <f>'Reserve Bank'!D165-'Check RB Past'!D165</f>
        <v>0</v>
      </c>
      <c r="Q165" s="114">
        <f>'Reserve Bank'!E165-'Check RB Past'!E165</f>
        <v>0</v>
      </c>
      <c r="R165" s="114">
        <f>'Reserve Bank'!F165-'Check RB Past'!F165</f>
        <v>0</v>
      </c>
      <c r="S165" s="114">
        <f>'Reserve Bank'!G165-'Check RB Past'!G165</f>
        <v>0</v>
      </c>
      <c r="T165" s="114">
        <f>'Reserve Bank'!H165-'Check RB Past'!H165</f>
        <v>0</v>
      </c>
      <c r="U165" s="114">
        <f>'Reserve Bank'!I165-'Check RB Past'!I165</f>
        <v>0</v>
      </c>
      <c r="V165" s="13"/>
      <c r="W165" s="13"/>
      <c r="X165" s="13"/>
      <c r="Y165" s="13"/>
      <c r="Z165" s="13"/>
      <c r="AA165" s="13"/>
      <c r="AB165" s="13"/>
      <c r="AC165" s="13"/>
    </row>
    <row r="166" spans="1:29" s="12" customFormat="1" ht="12.75" customHeight="1" x14ac:dyDescent="0.2">
      <c r="A166" s="110">
        <v>41334</v>
      </c>
      <c r="B166" s="117">
        <v>11263</v>
      </c>
      <c r="C166" s="117">
        <v>2899</v>
      </c>
      <c r="D166" s="117">
        <v>14162</v>
      </c>
      <c r="E166" s="117">
        <v>2603</v>
      </c>
      <c r="F166" s="117">
        <v>16765</v>
      </c>
      <c r="G166" s="117">
        <v>7063</v>
      </c>
      <c r="H166" s="117">
        <v>23828</v>
      </c>
      <c r="I166" s="117">
        <v>2391</v>
      </c>
      <c r="J166" s="20"/>
      <c r="K166" s="13"/>
      <c r="L166" s="69"/>
      <c r="M166" s="89">
        <v>41334</v>
      </c>
      <c r="N166" s="114">
        <f>'Reserve Bank'!B166-'Check RB Past'!B166</f>
        <v>0</v>
      </c>
      <c r="O166" s="114">
        <f>'Reserve Bank'!C166-'Check RB Past'!C166</f>
        <v>0</v>
      </c>
      <c r="P166" s="114">
        <f>'Reserve Bank'!D166-'Check RB Past'!D166</f>
        <v>0</v>
      </c>
      <c r="Q166" s="114">
        <f>'Reserve Bank'!E166-'Check RB Past'!E166</f>
        <v>0</v>
      </c>
      <c r="R166" s="114">
        <f>'Reserve Bank'!F166-'Check RB Past'!F166</f>
        <v>0</v>
      </c>
      <c r="S166" s="114">
        <f>'Reserve Bank'!G166-'Check RB Past'!G166</f>
        <v>0</v>
      </c>
      <c r="T166" s="114">
        <f>'Reserve Bank'!H166-'Check RB Past'!H166</f>
        <v>0</v>
      </c>
      <c r="U166" s="114">
        <f>'Reserve Bank'!I166-'Check RB Past'!I166</f>
        <v>0</v>
      </c>
      <c r="V166" s="13"/>
      <c r="W166" s="13"/>
      <c r="X166" s="13"/>
      <c r="Y166" s="13"/>
      <c r="Z166" s="13"/>
      <c r="AA166" s="13"/>
      <c r="AB166" s="13"/>
      <c r="AC166" s="13"/>
    </row>
    <row r="167" spans="1:29" s="12" customFormat="1" ht="12.75" customHeight="1" x14ac:dyDescent="0.2">
      <c r="A167" s="110">
        <v>41365</v>
      </c>
      <c r="B167" s="117">
        <v>9819</v>
      </c>
      <c r="C167" s="117">
        <v>3324</v>
      </c>
      <c r="D167" s="117">
        <v>13143</v>
      </c>
      <c r="E167" s="117">
        <v>1923</v>
      </c>
      <c r="F167" s="117">
        <v>15066</v>
      </c>
      <c r="G167" s="117">
        <v>3653</v>
      </c>
      <c r="H167" s="117">
        <v>18719</v>
      </c>
      <c r="I167" s="117">
        <v>2316</v>
      </c>
      <c r="J167" s="20"/>
      <c r="K167" s="13"/>
      <c r="L167" s="69"/>
      <c r="M167" s="89">
        <v>41365</v>
      </c>
      <c r="N167" s="114">
        <f>'Reserve Bank'!B167-'Check RB Past'!B167</f>
        <v>0</v>
      </c>
      <c r="O167" s="114">
        <f>'Reserve Bank'!C167-'Check RB Past'!C167</f>
        <v>0</v>
      </c>
      <c r="P167" s="114">
        <f>'Reserve Bank'!D167-'Check RB Past'!D167</f>
        <v>0</v>
      </c>
      <c r="Q167" s="114">
        <f>'Reserve Bank'!E167-'Check RB Past'!E167</f>
        <v>0</v>
      </c>
      <c r="R167" s="114">
        <f>'Reserve Bank'!F167-'Check RB Past'!F167</f>
        <v>0</v>
      </c>
      <c r="S167" s="114">
        <f>'Reserve Bank'!G167-'Check RB Past'!G167</f>
        <v>0</v>
      </c>
      <c r="T167" s="114">
        <f>'Reserve Bank'!H167-'Check RB Past'!H167</f>
        <v>0</v>
      </c>
      <c r="U167" s="114">
        <f>'Reserve Bank'!I167-'Check RB Past'!I167</f>
        <v>0</v>
      </c>
      <c r="V167" s="13"/>
      <c r="W167" s="13"/>
      <c r="X167" s="13"/>
      <c r="Y167" s="13"/>
      <c r="Z167" s="13"/>
      <c r="AA167" s="13"/>
      <c r="AB167" s="13"/>
      <c r="AC167" s="13"/>
    </row>
    <row r="168" spans="1:29" s="12" customFormat="1" ht="12.75" customHeight="1" x14ac:dyDescent="0.2">
      <c r="A168" s="110">
        <v>41395</v>
      </c>
      <c r="B168" s="117">
        <v>12160</v>
      </c>
      <c r="C168" s="117">
        <v>4749</v>
      </c>
      <c r="D168" s="117">
        <v>16909</v>
      </c>
      <c r="E168" s="117">
        <v>1224</v>
      </c>
      <c r="F168" s="117">
        <v>18133</v>
      </c>
      <c r="G168" s="117">
        <v>3494</v>
      </c>
      <c r="H168" s="117">
        <v>21627</v>
      </c>
      <c r="I168" s="117">
        <v>1867</v>
      </c>
      <c r="J168" s="20"/>
      <c r="K168" s="13"/>
      <c r="L168" s="69"/>
      <c r="M168" s="89">
        <v>41395</v>
      </c>
      <c r="N168" s="114">
        <f>'Reserve Bank'!B168-'Check RB Past'!B168</f>
        <v>0</v>
      </c>
      <c r="O168" s="114">
        <f>'Reserve Bank'!C168-'Check RB Past'!C168</f>
        <v>0</v>
      </c>
      <c r="P168" s="114">
        <f>'Reserve Bank'!D168-'Check RB Past'!D168</f>
        <v>0</v>
      </c>
      <c r="Q168" s="114">
        <f>'Reserve Bank'!E168-'Check RB Past'!E168</f>
        <v>0</v>
      </c>
      <c r="R168" s="114">
        <f>'Reserve Bank'!F168-'Check RB Past'!F168</f>
        <v>0</v>
      </c>
      <c r="S168" s="114">
        <f>'Reserve Bank'!G168-'Check RB Past'!G168</f>
        <v>0</v>
      </c>
      <c r="T168" s="114">
        <f>'Reserve Bank'!H168-'Check RB Past'!H168</f>
        <v>0</v>
      </c>
      <c r="U168" s="114">
        <f>'Reserve Bank'!I168-'Check RB Past'!I168</f>
        <v>0</v>
      </c>
      <c r="V168" s="13"/>
      <c r="W168" s="13"/>
      <c r="X168" s="13"/>
      <c r="Y168" s="13"/>
      <c r="Z168" s="13"/>
      <c r="AA168" s="13"/>
      <c r="AB168" s="13"/>
      <c r="AC168" s="13"/>
    </row>
    <row r="169" spans="1:29" s="12" customFormat="1" ht="12.75" customHeight="1" x14ac:dyDescent="0.2">
      <c r="A169" s="110">
        <v>41426</v>
      </c>
      <c r="B169" s="117">
        <v>13881</v>
      </c>
      <c r="C169" s="117">
        <v>3831</v>
      </c>
      <c r="D169" s="117">
        <v>17712</v>
      </c>
      <c r="E169" s="117">
        <v>1622</v>
      </c>
      <c r="F169" s="117">
        <v>19334</v>
      </c>
      <c r="G169" s="117">
        <v>3324</v>
      </c>
      <c r="H169" s="117">
        <v>22658</v>
      </c>
      <c r="I169" s="117">
        <v>1501</v>
      </c>
      <c r="J169" s="20"/>
      <c r="K169" s="13"/>
      <c r="L169" s="69"/>
      <c r="M169" s="89">
        <v>41426</v>
      </c>
      <c r="N169" s="114">
        <f>'Reserve Bank'!B169-'Check RB Past'!B169</f>
        <v>0</v>
      </c>
      <c r="O169" s="114">
        <f>'Reserve Bank'!C169-'Check RB Past'!C169</f>
        <v>0</v>
      </c>
      <c r="P169" s="114">
        <f>'Reserve Bank'!D169-'Check RB Past'!D169</f>
        <v>0</v>
      </c>
      <c r="Q169" s="114">
        <f>'Reserve Bank'!E169-'Check RB Past'!E169</f>
        <v>0</v>
      </c>
      <c r="R169" s="114">
        <f>'Reserve Bank'!F169-'Check RB Past'!F169</f>
        <v>0</v>
      </c>
      <c r="S169" s="114">
        <f>'Reserve Bank'!G169-'Check RB Past'!G169</f>
        <v>0</v>
      </c>
      <c r="T169" s="114">
        <f>'Reserve Bank'!H169-'Check RB Past'!H169</f>
        <v>0</v>
      </c>
      <c r="U169" s="114">
        <f>'Reserve Bank'!I169-'Check RB Past'!I169</f>
        <v>0</v>
      </c>
      <c r="V169" s="13"/>
      <c r="W169" s="13"/>
      <c r="X169" s="13"/>
      <c r="Y169" s="13"/>
      <c r="Z169" s="13"/>
      <c r="AA169" s="13"/>
      <c r="AB169" s="13"/>
      <c r="AC169" s="13"/>
    </row>
    <row r="170" spans="1:29" s="12" customFormat="1" ht="12.75" customHeight="1" x14ac:dyDescent="0.2">
      <c r="A170" s="110">
        <v>41456</v>
      </c>
      <c r="B170" s="117">
        <v>11812</v>
      </c>
      <c r="C170" s="117">
        <v>1984</v>
      </c>
      <c r="D170" s="117">
        <v>13796</v>
      </c>
      <c r="E170" s="117">
        <v>1537</v>
      </c>
      <c r="F170" s="117">
        <v>15333</v>
      </c>
      <c r="G170" s="117">
        <v>3635</v>
      </c>
      <c r="H170" s="117">
        <v>18968</v>
      </c>
      <c r="I170" s="117">
        <v>1841</v>
      </c>
      <c r="J170" s="20"/>
      <c r="K170" s="13"/>
      <c r="L170" s="69"/>
      <c r="M170" s="89">
        <v>41456</v>
      </c>
      <c r="N170" s="114">
        <f>'Reserve Bank'!B170-'Check RB Past'!B170</f>
        <v>0</v>
      </c>
      <c r="O170" s="114">
        <f>'Reserve Bank'!C170-'Check RB Past'!C170</f>
        <v>0</v>
      </c>
      <c r="P170" s="114">
        <f>'Reserve Bank'!D170-'Check RB Past'!D170</f>
        <v>0</v>
      </c>
      <c r="Q170" s="114">
        <f>'Reserve Bank'!E170-'Check RB Past'!E170</f>
        <v>0</v>
      </c>
      <c r="R170" s="114">
        <f>'Reserve Bank'!F170-'Check RB Past'!F170</f>
        <v>0</v>
      </c>
      <c r="S170" s="114">
        <f>'Reserve Bank'!G170-'Check RB Past'!G170</f>
        <v>0</v>
      </c>
      <c r="T170" s="114">
        <f>'Reserve Bank'!H170-'Check RB Past'!H170</f>
        <v>0</v>
      </c>
      <c r="U170" s="114">
        <f>'Reserve Bank'!I170-'Check RB Past'!I170</f>
        <v>0</v>
      </c>
      <c r="V170" s="13"/>
      <c r="W170" s="13"/>
      <c r="X170" s="13"/>
      <c r="Y170" s="13"/>
      <c r="Z170" s="13"/>
      <c r="AA170" s="13"/>
      <c r="AB170" s="13"/>
      <c r="AC170" s="13"/>
    </row>
    <row r="171" spans="1:29" s="12" customFormat="1" ht="12.75" customHeight="1" x14ac:dyDescent="0.2">
      <c r="A171" s="110">
        <v>41487</v>
      </c>
      <c r="B171" s="117">
        <v>14260</v>
      </c>
      <c r="C171" s="117">
        <v>1741</v>
      </c>
      <c r="D171" s="117">
        <v>16001</v>
      </c>
      <c r="E171" s="117">
        <v>348</v>
      </c>
      <c r="F171" s="117">
        <v>16349</v>
      </c>
      <c r="G171" s="117">
        <v>3511</v>
      </c>
      <c r="H171" s="117">
        <v>19860</v>
      </c>
      <c r="I171" s="117">
        <v>1507</v>
      </c>
      <c r="J171" s="20"/>
      <c r="K171" s="13"/>
      <c r="L171" s="69"/>
      <c r="M171" s="89">
        <v>41487</v>
      </c>
      <c r="N171" s="114">
        <f>'Reserve Bank'!B171-'Check RB Past'!B171</f>
        <v>0</v>
      </c>
      <c r="O171" s="114">
        <f>'Reserve Bank'!C171-'Check RB Past'!C171</f>
        <v>0</v>
      </c>
      <c r="P171" s="114">
        <f>'Reserve Bank'!D171-'Check RB Past'!D171</f>
        <v>0</v>
      </c>
      <c r="Q171" s="114">
        <f>'Reserve Bank'!E171-'Check RB Past'!E171</f>
        <v>0</v>
      </c>
      <c r="R171" s="114">
        <f>'Reserve Bank'!F171-'Check RB Past'!F171</f>
        <v>0</v>
      </c>
      <c r="S171" s="114">
        <f>'Reserve Bank'!G171-'Check RB Past'!G171</f>
        <v>0</v>
      </c>
      <c r="T171" s="114">
        <f>'Reserve Bank'!H171-'Check RB Past'!H171</f>
        <v>0</v>
      </c>
      <c r="U171" s="114">
        <f>'Reserve Bank'!I171-'Check RB Past'!I171</f>
        <v>0</v>
      </c>
      <c r="V171" s="13"/>
      <c r="W171" s="13"/>
      <c r="X171" s="13"/>
      <c r="Y171" s="13"/>
      <c r="Z171" s="13"/>
      <c r="AA171" s="13"/>
      <c r="AB171" s="13"/>
      <c r="AC171" s="13"/>
    </row>
    <row r="172" spans="1:29" s="12" customFormat="1" ht="12.75" customHeight="1" x14ac:dyDescent="0.2">
      <c r="A172" s="110">
        <v>41518</v>
      </c>
      <c r="B172" s="117">
        <v>12748</v>
      </c>
      <c r="C172" s="117">
        <v>1498</v>
      </c>
      <c r="D172" s="117">
        <v>14246</v>
      </c>
      <c r="E172" s="117">
        <v>1327</v>
      </c>
      <c r="F172" s="117">
        <v>15573</v>
      </c>
      <c r="G172" s="117">
        <v>3618</v>
      </c>
      <c r="H172" s="117">
        <v>19191</v>
      </c>
      <c r="I172" s="117">
        <v>2033</v>
      </c>
      <c r="J172" s="20"/>
      <c r="K172" s="13"/>
      <c r="L172" s="69"/>
      <c r="M172" s="89">
        <v>41518</v>
      </c>
      <c r="N172" s="114">
        <f>'Reserve Bank'!B172-'Check RB Past'!B172</f>
        <v>0</v>
      </c>
      <c r="O172" s="114">
        <f>'Reserve Bank'!C172-'Check RB Past'!C172</f>
        <v>0</v>
      </c>
      <c r="P172" s="114">
        <f>'Reserve Bank'!D172-'Check RB Past'!D172</f>
        <v>0</v>
      </c>
      <c r="Q172" s="114">
        <f>'Reserve Bank'!E172-'Check RB Past'!E172</f>
        <v>0</v>
      </c>
      <c r="R172" s="114">
        <f>'Reserve Bank'!F172-'Check RB Past'!F172</f>
        <v>0</v>
      </c>
      <c r="S172" s="114">
        <f>'Reserve Bank'!G172-'Check RB Past'!G172</f>
        <v>0</v>
      </c>
      <c r="T172" s="114">
        <f>'Reserve Bank'!H172-'Check RB Past'!H172</f>
        <v>0</v>
      </c>
      <c r="U172" s="114">
        <f>'Reserve Bank'!I172-'Check RB Past'!I172</f>
        <v>0</v>
      </c>
      <c r="V172" s="13"/>
      <c r="W172" s="13"/>
      <c r="X172" s="13"/>
      <c r="Y172" s="13"/>
      <c r="Z172" s="13"/>
      <c r="AA172" s="13"/>
      <c r="AB172" s="13"/>
      <c r="AC172" s="13"/>
    </row>
    <row r="173" spans="1:29" s="12" customFormat="1" ht="12.75" customHeight="1" x14ac:dyDescent="0.2">
      <c r="A173" s="110">
        <v>41548</v>
      </c>
      <c r="B173" s="117">
        <v>14088</v>
      </c>
      <c r="C173" s="117">
        <v>1210</v>
      </c>
      <c r="D173" s="117">
        <v>15298</v>
      </c>
      <c r="E173" s="117">
        <v>3416</v>
      </c>
      <c r="F173" s="117">
        <v>18714</v>
      </c>
      <c r="G173" s="117">
        <v>3560</v>
      </c>
      <c r="H173" s="117">
        <v>22274</v>
      </c>
      <c r="I173" s="117">
        <v>1942</v>
      </c>
      <c r="J173" s="20"/>
      <c r="K173" s="13"/>
      <c r="L173" s="69"/>
      <c r="M173" s="89">
        <v>41548</v>
      </c>
      <c r="N173" s="114">
        <f>'Reserve Bank'!B173-'Check RB Past'!B173</f>
        <v>0</v>
      </c>
      <c r="O173" s="114">
        <f>'Reserve Bank'!C173-'Check RB Past'!C173</f>
        <v>0</v>
      </c>
      <c r="P173" s="114">
        <f>'Reserve Bank'!D173-'Check RB Past'!D173</f>
        <v>0</v>
      </c>
      <c r="Q173" s="114">
        <f>'Reserve Bank'!E173-'Check RB Past'!E173</f>
        <v>0</v>
      </c>
      <c r="R173" s="114">
        <f>'Reserve Bank'!F173-'Check RB Past'!F173</f>
        <v>0</v>
      </c>
      <c r="S173" s="114">
        <f>'Reserve Bank'!G173-'Check RB Past'!G173</f>
        <v>0</v>
      </c>
      <c r="T173" s="114">
        <f>'Reserve Bank'!H173-'Check RB Past'!H173</f>
        <v>0</v>
      </c>
      <c r="U173" s="114">
        <f>'Reserve Bank'!I173-'Check RB Past'!I173</f>
        <v>0</v>
      </c>
      <c r="V173" s="13"/>
      <c r="W173" s="13"/>
      <c r="X173" s="13"/>
      <c r="Y173" s="13"/>
      <c r="Z173" s="13"/>
      <c r="AA173" s="13"/>
      <c r="AB173" s="13"/>
      <c r="AC173" s="13"/>
    </row>
    <row r="174" spans="1:29" s="12" customFormat="1" ht="12.75" customHeight="1" x14ac:dyDescent="0.2">
      <c r="A174" s="110">
        <v>41579</v>
      </c>
      <c r="B174" s="117">
        <v>12193</v>
      </c>
      <c r="C174" s="117">
        <v>1553</v>
      </c>
      <c r="D174" s="117">
        <v>13746</v>
      </c>
      <c r="E174" s="117">
        <v>5206</v>
      </c>
      <c r="F174" s="117">
        <v>18952</v>
      </c>
      <c r="G174" s="117">
        <v>3710</v>
      </c>
      <c r="H174" s="117">
        <v>22662</v>
      </c>
      <c r="I174" s="117">
        <v>1637</v>
      </c>
      <c r="J174" s="20"/>
      <c r="K174" s="13"/>
      <c r="L174" s="69"/>
      <c r="M174" s="89">
        <v>41579</v>
      </c>
      <c r="N174" s="114">
        <f>'Reserve Bank'!B174-'Check RB Past'!B174</f>
        <v>0</v>
      </c>
      <c r="O174" s="114">
        <f>'Reserve Bank'!C174-'Check RB Past'!C174</f>
        <v>0</v>
      </c>
      <c r="P174" s="114">
        <f>'Reserve Bank'!D174-'Check RB Past'!D174</f>
        <v>0</v>
      </c>
      <c r="Q174" s="114">
        <f>'Reserve Bank'!E174-'Check RB Past'!E174</f>
        <v>0</v>
      </c>
      <c r="R174" s="114">
        <f>'Reserve Bank'!F174-'Check RB Past'!F174</f>
        <v>0</v>
      </c>
      <c r="S174" s="114">
        <f>'Reserve Bank'!G174-'Check RB Past'!G174</f>
        <v>0</v>
      </c>
      <c r="T174" s="114">
        <f>'Reserve Bank'!H174-'Check RB Past'!H174</f>
        <v>0</v>
      </c>
      <c r="U174" s="114">
        <f>'Reserve Bank'!I174-'Check RB Past'!I174</f>
        <v>0</v>
      </c>
      <c r="V174" s="13"/>
      <c r="W174" s="13"/>
      <c r="X174" s="13"/>
      <c r="Y174" s="13"/>
      <c r="Z174" s="13"/>
      <c r="AA174" s="13"/>
      <c r="AB174" s="13"/>
      <c r="AC174" s="13"/>
    </row>
    <row r="175" spans="1:29" s="12" customFormat="1" ht="12.75" customHeight="1" x14ac:dyDescent="0.2">
      <c r="A175" s="110">
        <v>41609</v>
      </c>
      <c r="B175" s="117">
        <v>11910</v>
      </c>
      <c r="C175" s="117">
        <v>1460</v>
      </c>
      <c r="D175" s="117">
        <v>13370</v>
      </c>
      <c r="E175" s="117">
        <v>2887</v>
      </c>
      <c r="F175" s="117">
        <v>16257</v>
      </c>
      <c r="G175" s="117">
        <v>3641</v>
      </c>
      <c r="H175" s="117">
        <v>19898</v>
      </c>
      <c r="I175" s="117">
        <v>1621</v>
      </c>
      <c r="J175" s="20"/>
      <c r="K175" s="13"/>
      <c r="L175" s="69"/>
      <c r="M175" s="89">
        <v>41609</v>
      </c>
      <c r="N175" s="114">
        <f>'Reserve Bank'!B175-'Check RB Past'!B175</f>
        <v>0</v>
      </c>
      <c r="O175" s="114">
        <f>'Reserve Bank'!C175-'Check RB Past'!C175</f>
        <v>0</v>
      </c>
      <c r="P175" s="114">
        <f>'Reserve Bank'!D175-'Check RB Past'!D175</f>
        <v>0</v>
      </c>
      <c r="Q175" s="114">
        <f>'Reserve Bank'!E175-'Check RB Past'!E175</f>
        <v>0</v>
      </c>
      <c r="R175" s="114">
        <f>'Reserve Bank'!F175-'Check RB Past'!F175</f>
        <v>0</v>
      </c>
      <c r="S175" s="114">
        <f>'Reserve Bank'!G175-'Check RB Past'!G175</f>
        <v>0</v>
      </c>
      <c r="T175" s="114">
        <f>'Reserve Bank'!H175-'Check RB Past'!H175</f>
        <v>0</v>
      </c>
      <c r="U175" s="114">
        <f>'Reserve Bank'!I175-'Check RB Past'!I175</f>
        <v>0</v>
      </c>
      <c r="V175" s="13"/>
      <c r="W175" s="13"/>
      <c r="X175" s="13"/>
      <c r="Y175" s="13"/>
      <c r="Z175" s="13"/>
      <c r="AA175" s="13"/>
      <c r="AB175" s="13"/>
      <c r="AC175" s="13"/>
    </row>
    <row r="176" spans="1:29" s="14" customFormat="1" ht="12.75" customHeight="1" x14ac:dyDescent="0.2">
      <c r="A176" s="110">
        <v>41640</v>
      </c>
      <c r="B176" s="117">
        <v>15425</v>
      </c>
      <c r="C176" s="117">
        <v>1292</v>
      </c>
      <c r="D176" s="117">
        <v>16717</v>
      </c>
      <c r="E176" s="117">
        <v>2135</v>
      </c>
      <c r="F176" s="117">
        <v>18852</v>
      </c>
      <c r="G176" s="117">
        <v>3698</v>
      </c>
      <c r="H176" s="117">
        <v>22550</v>
      </c>
      <c r="I176" s="117">
        <v>1553</v>
      </c>
      <c r="J176" s="107"/>
      <c r="K176" s="1"/>
      <c r="L176" s="1"/>
      <c r="M176" s="89">
        <v>41640</v>
      </c>
      <c r="N176" s="114">
        <f>'Reserve Bank'!B176-'Check RB Past'!B176</f>
        <v>0</v>
      </c>
      <c r="O176" s="114">
        <f>'Reserve Bank'!C176-'Check RB Past'!C176</f>
        <v>0</v>
      </c>
      <c r="P176" s="114">
        <f>'Reserve Bank'!D176-'Check RB Past'!D176</f>
        <v>0</v>
      </c>
      <c r="Q176" s="114">
        <f>'Reserve Bank'!E176-'Check RB Past'!E176</f>
        <v>0</v>
      </c>
      <c r="R176" s="114">
        <f>'Reserve Bank'!F176-'Check RB Past'!F176</f>
        <v>0</v>
      </c>
      <c r="S176" s="114">
        <f>'Reserve Bank'!G176-'Check RB Past'!G176</f>
        <v>0</v>
      </c>
      <c r="T176" s="114">
        <f>'Reserve Bank'!H176-'Check RB Past'!H176</f>
        <v>0</v>
      </c>
      <c r="U176" s="114">
        <f>'Reserve Bank'!I176-'Check RB Past'!I176</f>
        <v>0</v>
      </c>
      <c r="V176" s="1"/>
      <c r="W176" s="1"/>
      <c r="X176" s="1"/>
      <c r="Y176" s="1"/>
      <c r="Z176" s="1"/>
      <c r="AA176" s="1"/>
      <c r="AB176" s="1"/>
      <c r="AC176" s="1"/>
    </row>
    <row r="177" spans="1:29" s="14" customFormat="1" ht="12.75" customHeight="1" x14ac:dyDescent="0.2">
      <c r="A177" s="110">
        <v>41671</v>
      </c>
      <c r="B177" s="117">
        <v>13485</v>
      </c>
      <c r="C177" s="117">
        <v>1481</v>
      </c>
      <c r="D177" s="117">
        <v>14966</v>
      </c>
      <c r="E177" s="117">
        <v>3035</v>
      </c>
      <c r="F177" s="117">
        <v>18001</v>
      </c>
      <c r="G177" s="117">
        <v>3804</v>
      </c>
      <c r="H177" s="117">
        <v>21805</v>
      </c>
      <c r="I177" s="117">
        <v>1777</v>
      </c>
      <c r="J177" s="20"/>
      <c r="K177" s="1"/>
      <c r="L177" s="1"/>
      <c r="M177" s="89">
        <v>41671</v>
      </c>
      <c r="N177" s="114">
        <f>'Reserve Bank'!B177-'Check RB Past'!B177</f>
        <v>0</v>
      </c>
      <c r="O177" s="114">
        <f>'Reserve Bank'!C177-'Check RB Past'!C177</f>
        <v>0</v>
      </c>
      <c r="P177" s="114">
        <f>'Reserve Bank'!D177-'Check RB Past'!D177</f>
        <v>0</v>
      </c>
      <c r="Q177" s="114">
        <f>'Reserve Bank'!E177-'Check RB Past'!E177</f>
        <v>0</v>
      </c>
      <c r="R177" s="114">
        <f>'Reserve Bank'!F177-'Check RB Past'!F177</f>
        <v>0</v>
      </c>
      <c r="S177" s="114">
        <f>'Reserve Bank'!G177-'Check RB Past'!G177</f>
        <v>0</v>
      </c>
      <c r="T177" s="114">
        <f>'Reserve Bank'!H177-'Check RB Past'!H177</f>
        <v>0</v>
      </c>
      <c r="U177" s="114">
        <f>'Reserve Bank'!I177-'Check RB Past'!I177</f>
        <v>0</v>
      </c>
      <c r="V177" s="1"/>
      <c r="W177" s="1"/>
      <c r="X177" s="1"/>
      <c r="Y177" s="1"/>
      <c r="Z177" s="1"/>
      <c r="AA177" s="1"/>
      <c r="AB177" s="1"/>
      <c r="AC177" s="1"/>
    </row>
    <row r="178" spans="1:29" s="14" customFormat="1" ht="12.75" customHeight="1" x14ac:dyDescent="0.2">
      <c r="A178" s="110">
        <v>41699</v>
      </c>
      <c r="B178" s="117">
        <v>12068</v>
      </c>
      <c r="C178" s="117">
        <v>2148</v>
      </c>
      <c r="D178" s="117">
        <v>14216</v>
      </c>
      <c r="E178" s="117">
        <v>2911</v>
      </c>
      <c r="F178" s="117">
        <v>17127</v>
      </c>
      <c r="G178" s="117">
        <v>3875</v>
      </c>
      <c r="H178" s="117">
        <v>21002</v>
      </c>
      <c r="I178" s="117">
        <v>1977</v>
      </c>
      <c r="J178" s="20"/>
      <c r="K178" s="1"/>
      <c r="L178" s="1"/>
      <c r="M178" s="89">
        <v>41699</v>
      </c>
      <c r="N178" s="114">
        <f>'Reserve Bank'!B178-'Check RB Past'!B178</f>
        <v>0</v>
      </c>
      <c r="O178" s="114">
        <f>'Reserve Bank'!C178-'Check RB Past'!C178</f>
        <v>0</v>
      </c>
      <c r="P178" s="114">
        <f>'Reserve Bank'!D178-'Check RB Past'!D178</f>
        <v>0</v>
      </c>
      <c r="Q178" s="114">
        <f>'Reserve Bank'!E178-'Check RB Past'!E178</f>
        <v>0</v>
      </c>
      <c r="R178" s="114">
        <f>'Reserve Bank'!F178-'Check RB Past'!F178</f>
        <v>0</v>
      </c>
      <c r="S178" s="114">
        <f>'Reserve Bank'!G178-'Check RB Past'!G178</f>
        <v>0</v>
      </c>
      <c r="T178" s="114">
        <f>'Reserve Bank'!H178-'Check RB Past'!H178</f>
        <v>0</v>
      </c>
      <c r="U178" s="114">
        <f>'Reserve Bank'!I178-'Check RB Past'!I178</f>
        <v>0</v>
      </c>
      <c r="V178" s="1"/>
      <c r="W178" s="1"/>
      <c r="X178" s="1"/>
      <c r="Y178" s="1"/>
      <c r="Z178" s="1"/>
      <c r="AA178" s="1"/>
      <c r="AB178" s="1"/>
      <c r="AC178" s="1"/>
    </row>
    <row r="179" spans="1:29" s="14" customFormat="1" ht="12.75" customHeight="1" x14ac:dyDescent="0.2">
      <c r="A179" s="110">
        <v>41730</v>
      </c>
      <c r="B179" s="117">
        <v>11677</v>
      </c>
      <c r="C179" s="117">
        <v>1429</v>
      </c>
      <c r="D179" s="117">
        <v>13106</v>
      </c>
      <c r="E179" s="117">
        <v>2515</v>
      </c>
      <c r="F179" s="117">
        <v>15621</v>
      </c>
      <c r="G179" s="117">
        <v>4010</v>
      </c>
      <c r="H179" s="117">
        <v>19631</v>
      </c>
      <c r="I179" s="117">
        <v>1768</v>
      </c>
      <c r="J179" s="20"/>
      <c r="K179" s="1"/>
      <c r="L179" s="1"/>
      <c r="M179" s="89">
        <v>41730</v>
      </c>
      <c r="N179" s="114">
        <f>'Reserve Bank'!B179-'Check RB Past'!B179</f>
        <v>0</v>
      </c>
      <c r="O179" s="114">
        <f>'Reserve Bank'!C179-'Check RB Past'!C179</f>
        <v>0</v>
      </c>
      <c r="P179" s="114">
        <f>'Reserve Bank'!D179-'Check RB Past'!D179</f>
        <v>0</v>
      </c>
      <c r="Q179" s="114">
        <f>'Reserve Bank'!E179-'Check RB Past'!E179</f>
        <v>0</v>
      </c>
      <c r="R179" s="114">
        <f>'Reserve Bank'!F179-'Check RB Past'!F179</f>
        <v>0</v>
      </c>
      <c r="S179" s="114">
        <f>'Reserve Bank'!G179-'Check RB Past'!G179</f>
        <v>0</v>
      </c>
      <c r="T179" s="114">
        <f>'Reserve Bank'!H179-'Check RB Past'!H179</f>
        <v>0</v>
      </c>
      <c r="U179" s="114">
        <f>'Reserve Bank'!I179-'Check RB Past'!I179</f>
        <v>0</v>
      </c>
      <c r="V179" s="1"/>
      <c r="W179" s="1"/>
      <c r="X179" s="1"/>
      <c r="Y179" s="1"/>
      <c r="Z179" s="1"/>
      <c r="AA179" s="1"/>
      <c r="AB179" s="1"/>
      <c r="AC179" s="1"/>
    </row>
    <row r="180" spans="1:29" s="12" customFormat="1" ht="12.75" customHeight="1" x14ac:dyDescent="0.2">
      <c r="A180" s="110">
        <v>41760</v>
      </c>
      <c r="B180" s="117">
        <v>12290</v>
      </c>
      <c r="C180" s="117">
        <v>1844</v>
      </c>
      <c r="D180" s="117">
        <v>14134</v>
      </c>
      <c r="E180" s="117">
        <v>3035</v>
      </c>
      <c r="F180" s="117">
        <v>17169</v>
      </c>
      <c r="G180" s="117">
        <v>4183</v>
      </c>
      <c r="H180" s="117">
        <v>21352</v>
      </c>
      <c r="I180" s="117">
        <v>1661</v>
      </c>
      <c r="J180" s="107"/>
      <c r="K180" s="13"/>
      <c r="L180" s="13"/>
      <c r="M180" s="110">
        <v>41760</v>
      </c>
      <c r="N180" s="114">
        <f>'Reserve Bank'!B180-'Check RB Past'!B180</f>
        <v>0</v>
      </c>
      <c r="O180" s="114">
        <f>'Reserve Bank'!C180-'Check RB Past'!C180</f>
        <v>0</v>
      </c>
      <c r="P180" s="114">
        <f>'Reserve Bank'!D180-'Check RB Past'!D180</f>
        <v>0</v>
      </c>
      <c r="Q180" s="114">
        <f>'Reserve Bank'!E180-'Check RB Past'!E180</f>
        <v>0</v>
      </c>
      <c r="R180" s="114">
        <f>'Reserve Bank'!F180-'Check RB Past'!F180</f>
        <v>0</v>
      </c>
      <c r="S180" s="114">
        <f>'Reserve Bank'!G180-'Check RB Past'!G180</f>
        <v>0</v>
      </c>
      <c r="T180" s="114">
        <f>'Reserve Bank'!H180-'Check RB Past'!H180</f>
        <v>0</v>
      </c>
      <c r="U180" s="114">
        <f>'Reserve Bank'!I180-'Check RB Past'!I180</f>
        <v>0</v>
      </c>
      <c r="V180" s="13"/>
      <c r="W180" s="13"/>
      <c r="X180" s="13"/>
      <c r="Y180" s="13"/>
      <c r="Z180" s="13"/>
      <c r="AA180" s="13"/>
      <c r="AB180" s="13"/>
      <c r="AC180" s="13"/>
    </row>
    <row r="181" spans="1:29" s="14" customFormat="1" ht="12.75" customHeight="1" x14ac:dyDescent="0.2">
      <c r="A181" s="110">
        <v>41791</v>
      </c>
      <c r="B181" s="117">
        <v>11573</v>
      </c>
      <c r="C181" s="117">
        <v>1604</v>
      </c>
      <c r="D181" s="117">
        <v>13177</v>
      </c>
      <c r="E181" s="117">
        <v>3763</v>
      </c>
      <c r="F181" s="117">
        <v>16940</v>
      </c>
      <c r="G181" s="117">
        <v>4136</v>
      </c>
      <c r="H181" s="117">
        <v>21076</v>
      </c>
      <c r="I181" s="117">
        <v>1914</v>
      </c>
      <c r="J181" s="20"/>
      <c r="K181" s="1"/>
      <c r="L181" s="1"/>
      <c r="M181" s="110">
        <v>41791</v>
      </c>
      <c r="N181" s="114">
        <f>'Reserve Bank'!B181-'Check RB Past'!B181</f>
        <v>0</v>
      </c>
      <c r="O181" s="114">
        <f>'Reserve Bank'!C181-'Check RB Past'!C181</f>
        <v>0</v>
      </c>
      <c r="P181" s="114">
        <f>'Reserve Bank'!D181-'Check RB Past'!D181</f>
        <v>0</v>
      </c>
      <c r="Q181" s="114">
        <f>'Reserve Bank'!E181-'Check RB Past'!E181</f>
        <v>0</v>
      </c>
      <c r="R181" s="114">
        <f>'Reserve Bank'!F181-'Check RB Past'!F181</f>
        <v>0</v>
      </c>
      <c r="S181" s="114">
        <f>'Reserve Bank'!G181-'Check RB Past'!G181</f>
        <v>0</v>
      </c>
      <c r="T181" s="114">
        <f>'Reserve Bank'!H181-'Check RB Past'!H181</f>
        <v>0</v>
      </c>
      <c r="U181" s="114">
        <f>'Reserve Bank'!I181-'Check RB Past'!I181</f>
        <v>0</v>
      </c>
      <c r="V181" s="1"/>
      <c r="W181" s="1"/>
      <c r="X181" s="1"/>
      <c r="Y181" s="1"/>
      <c r="Z181" s="1"/>
      <c r="AA181" s="1"/>
      <c r="AB181" s="1"/>
      <c r="AC181" s="1"/>
    </row>
    <row r="182" spans="1:29" s="12" customFormat="1" ht="12.75" customHeight="1" x14ac:dyDescent="0.2">
      <c r="A182" s="110">
        <v>41821</v>
      </c>
      <c r="B182" s="140">
        <v>12054</v>
      </c>
      <c r="C182" s="140">
        <v>2276</v>
      </c>
      <c r="D182" s="140">
        <v>14330</v>
      </c>
      <c r="E182" s="140">
        <v>1983</v>
      </c>
      <c r="F182" s="140">
        <v>16313</v>
      </c>
      <c r="G182" s="140">
        <v>4266</v>
      </c>
      <c r="H182" s="140">
        <v>20579</v>
      </c>
      <c r="I182" s="140">
        <v>1387</v>
      </c>
      <c r="J182" s="107"/>
      <c r="K182" s="13"/>
      <c r="L182" s="13"/>
      <c r="M182" s="110">
        <v>41821</v>
      </c>
      <c r="N182" s="114">
        <f>'Reserve Bank'!B182-'Check RB Past'!B182</f>
        <v>0</v>
      </c>
      <c r="O182" s="114">
        <f>'Reserve Bank'!C182-'Check RB Past'!C182</f>
        <v>0</v>
      </c>
      <c r="P182" s="114">
        <f>'Reserve Bank'!D182-'Check RB Past'!D182</f>
        <v>0</v>
      </c>
      <c r="Q182" s="114">
        <f>'Reserve Bank'!E182-'Check RB Past'!E182</f>
        <v>0</v>
      </c>
      <c r="R182" s="114">
        <f>'Reserve Bank'!F182-'Check RB Past'!F182</f>
        <v>0</v>
      </c>
      <c r="S182" s="114">
        <f>'Reserve Bank'!G182-'Check RB Past'!G182</f>
        <v>0</v>
      </c>
      <c r="T182" s="114">
        <f>'Reserve Bank'!H182-'Check RB Past'!H182</f>
        <v>0</v>
      </c>
      <c r="U182" s="114">
        <f>'Reserve Bank'!I182-'Check RB Past'!I182</f>
        <v>0</v>
      </c>
      <c r="V182" s="13"/>
      <c r="W182" s="13"/>
      <c r="X182" s="13"/>
      <c r="Y182" s="13"/>
      <c r="Z182" s="13"/>
      <c r="AA182" s="13"/>
      <c r="AB182" s="13"/>
      <c r="AC182" s="13"/>
    </row>
    <row r="183" spans="1:29" s="14" customFormat="1" ht="12.75" customHeight="1" x14ac:dyDescent="0.2">
      <c r="A183" s="110">
        <v>41852</v>
      </c>
      <c r="B183" s="117">
        <v>13755</v>
      </c>
      <c r="C183" s="117">
        <v>2611</v>
      </c>
      <c r="D183" s="117">
        <v>16366</v>
      </c>
      <c r="E183" s="117">
        <v>1858</v>
      </c>
      <c r="F183" s="117">
        <v>18224</v>
      </c>
      <c r="G183" s="117">
        <v>4263</v>
      </c>
      <c r="H183" s="117">
        <v>22487</v>
      </c>
      <c r="I183" s="117">
        <v>1289</v>
      </c>
      <c r="J183" s="20"/>
      <c r="K183" s="1"/>
      <c r="L183" s="1"/>
      <c r="M183" s="110">
        <v>41852</v>
      </c>
      <c r="N183" s="114">
        <f>'Reserve Bank'!B183-'Check RB Past'!B183</f>
        <v>0</v>
      </c>
      <c r="O183" s="114">
        <f>'Reserve Bank'!C183-'Check RB Past'!C183</f>
        <v>0</v>
      </c>
      <c r="P183" s="114">
        <f>'Reserve Bank'!D183-'Check RB Past'!D183</f>
        <v>0</v>
      </c>
      <c r="Q183" s="114">
        <f>'Reserve Bank'!E183-'Check RB Past'!E183</f>
        <v>0</v>
      </c>
      <c r="R183" s="114">
        <f>'Reserve Bank'!F183-'Check RB Past'!F183</f>
        <v>0</v>
      </c>
      <c r="S183" s="114">
        <f>'Reserve Bank'!G183-'Check RB Past'!G183</f>
        <v>0</v>
      </c>
      <c r="T183" s="114">
        <f>'Reserve Bank'!H183-'Check RB Past'!H183</f>
        <v>0</v>
      </c>
      <c r="U183" s="114">
        <f>'Reserve Bank'!I183-'Check RB Past'!I183</f>
        <v>0</v>
      </c>
      <c r="V183" s="1"/>
      <c r="W183" s="1"/>
      <c r="X183" s="1"/>
      <c r="Y183" s="1"/>
      <c r="Z183" s="1"/>
      <c r="AA183" s="1"/>
      <c r="AB183" s="1"/>
      <c r="AC183" s="1"/>
    </row>
    <row r="184" spans="1:29" s="12" customFormat="1" ht="12.75" customHeight="1" x14ac:dyDescent="0.2">
      <c r="A184" s="110">
        <v>41883</v>
      </c>
      <c r="B184" s="117">
        <v>13948</v>
      </c>
      <c r="C184" s="117">
        <v>3394</v>
      </c>
      <c r="D184" s="117">
        <v>17342</v>
      </c>
      <c r="E184" s="117">
        <v>1250</v>
      </c>
      <c r="F184" s="117">
        <v>18592</v>
      </c>
      <c r="G184" s="117">
        <v>4498</v>
      </c>
      <c r="H184" s="117">
        <v>23090</v>
      </c>
      <c r="I184" s="117">
        <v>881</v>
      </c>
      <c r="J184" s="107"/>
      <c r="K184" s="13"/>
      <c r="L184" s="13"/>
      <c r="M184" s="110">
        <v>41883</v>
      </c>
      <c r="N184" s="114">
        <f>'Reserve Bank'!B184-'Check RB Past'!B184</f>
        <v>0</v>
      </c>
      <c r="O184" s="114">
        <f>'Reserve Bank'!C184-'Check RB Past'!C184</f>
        <v>0</v>
      </c>
      <c r="P184" s="114">
        <f>'Reserve Bank'!D184-'Check RB Past'!D184</f>
        <v>0</v>
      </c>
      <c r="Q184" s="114">
        <f>'Reserve Bank'!E184-'Check RB Past'!E184</f>
        <v>0</v>
      </c>
      <c r="R184" s="114">
        <f>'Reserve Bank'!F184-'Check RB Past'!F184</f>
        <v>0</v>
      </c>
      <c r="S184" s="114">
        <f>'Reserve Bank'!G184-'Check RB Past'!G184</f>
        <v>0</v>
      </c>
      <c r="T184" s="114">
        <f>'Reserve Bank'!H184-'Check RB Past'!H184</f>
        <v>0</v>
      </c>
      <c r="U184" s="114">
        <f>'Reserve Bank'!I184-'Check RB Past'!I184</f>
        <v>0</v>
      </c>
      <c r="V184" s="13"/>
      <c r="W184" s="13"/>
      <c r="X184" s="13"/>
      <c r="Y184" s="13"/>
      <c r="Z184" s="13"/>
      <c r="AA184" s="13"/>
      <c r="AB184" s="13"/>
      <c r="AC184" s="13"/>
    </row>
    <row r="185" spans="1:29" s="12" customFormat="1" ht="12.75" customHeight="1" x14ac:dyDescent="0.2">
      <c r="A185" s="110">
        <v>41913</v>
      </c>
      <c r="B185" s="117">
        <v>13553</v>
      </c>
      <c r="C185" s="117">
        <v>2945</v>
      </c>
      <c r="D185" s="117">
        <v>16498</v>
      </c>
      <c r="E185" s="117">
        <v>2421</v>
      </c>
      <c r="F185" s="117">
        <v>18919</v>
      </c>
      <c r="G185" s="117">
        <v>4405</v>
      </c>
      <c r="H185" s="117">
        <v>23324</v>
      </c>
      <c r="I185" s="117">
        <v>696</v>
      </c>
      <c r="J185" s="107"/>
      <c r="K185" s="13"/>
      <c r="L185" s="13"/>
      <c r="M185" s="110">
        <v>41913</v>
      </c>
      <c r="N185" s="114">
        <f>'Reserve Bank'!B185-'Check RB Past'!B185</f>
        <v>0</v>
      </c>
      <c r="O185" s="114">
        <f>'Reserve Bank'!C185-'Check RB Past'!C185</f>
        <v>0</v>
      </c>
      <c r="P185" s="114">
        <f>'Reserve Bank'!D185-'Check RB Past'!D185</f>
        <v>0</v>
      </c>
      <c r="Q185" s="114">
        <f>'Reserve Bank'!E185-'Check RB Past'!E185</f>
        <v>0</v>
      </c>
      <c r="R185" s="114">
        <f>'Reserve Bank'!F185-'Check RB Past'!F185</f>
        <v>0</v>
      </c>
      <c r="S185" s="114">
        <f>'Reserve Bank'!G185-'Check RB Past'!G185</f>
        <v>0</v>
      </c>
      <c r="T185" s="114">
        <f>'Reserve Bank'!H185-'Check RB Past'!H185</f>
        <v>0</v>
      </c>
      <c r="U185" s="114">
        <f>'Reserve Bank'!I185-'Check RB Past'!I185</f>
        <v>0</v>
      </c>
      <c r="V185" s="13"/>
      <c r="W185" s="13"/>
      <c r="X185" s="13"/>
      <c r="Y185" s="13"/>
      <c r="Z185" s="13"/>
      <c r="AA185" s="13"/>
      <c r="AB185" s="13"/>
      <c r="AC185" s="13"/>
    </row>
    <row r="186" spans="1:29" s="14" customFormat="1" ht="12.75" customHeight="1" x14ac:dyDescent="0.2">
      <c r="A186" s="110">
        <v>41944</v>
      </c>
      <c r="B186" s="117">
        <v>12463</v>
      </c>
      <c r="C186" s="117">
        <v>3643</v>
      </c>
      <c r="D186" s="117">
        <v>16106</v>
      </c>
      <c r="E186" s="117">
        <v>2832</v>
      </c>
      <c r="F186" s="117">
        <v>18938</v>
      </c>
      <c r="G186" s="117">
        <v>4265</v>
      </c>
      <c r="H186" s="117">
        <v>23203</v>
      </c>
      <c r="I186" s="117">
        <v>825</v>
      </c>
      <c r="J186" s="20"/>
      <c r="K186" s="1"/>
      <c r="L186" s="1"/>
      <c r="M186" s="110">
        <v>41944</v>
      </c>
      <c r="N186" s="114">
        <f>'Reserve Bank'!B186-'Check RB Past'!B186</f>
        <v>0</v>
      </c>
      <c r="O186" s="114">
        <f>'Reserve Bank'!C186-'Check RB Past'!C186</f>
        <v>0</v>
      </c>
      <c r="P186" s="114">
        <f>'Reserve Bank'!D186-'Check RB Past'!D186</f>
        <v>0</v>
      </c>
      <c r="Q186" s="114">
        <f>'Reserve Bank'!E186-'Check RB Past'!E186</f>
        <v>0</v>
      </c>
      <c r="R186" s="114">
        <f>'Reserve Bank'!F186-'Check RB Past'!F186</f>
        <v>0</v>
      </c>
      <c r="S186" s="114">
        <f>'Reserve Bank'!G186-'Check RB Past'!G186</f>
        <v>0</v>
      </c>
      <c r="T186" s="114">
        <f>'Reserve Bank'!H186-'Check RB Past'!H186</f>
        <v>0</v>
      </c>
      <c r="U186" s="114">
        <f>'Reserve Bank'!I186-'Check RB Past'!I186</f>
        <v>0</v>
      </c>
      <c r="V186" s="1"/>
      <c r="W186" s="1"/>
      <c r="X186" s="1"/>
      <c r="Y186" s="1"/>
      <c r="Z186" s="1"/>
      <c r="AA186" s="1"/>
      <c r="AB186" s="1"/>
      <c r="AC186" s="1"/>
    </row>
    <row r="187" spans="1:29" s="12" customFormat="1" ht="12.75" customHeight="1" x14ac:dyDescent="0.2">
      <c r="A187" s="110">
        <v>41974</v>
      </c>
      <c r="B187" s="117">
        <v>11381</v>
      </c>
      <c r="C187" s="117">
        <v>2794</v>
      </c>
      <c r="D187" s="117">
        <v>14175</v>
      </c>
      <c r="E187" s="117">
        <v>1954</v>
      </c>
      <c r="F187" s="117">
        <v>16129</v>
      </c>
      <c r="G187" s="117">
        <v>4130</v>
      </c>
      <c r="H187" s="117">
        <v>20259</v>
      </c>
      <c r="I187" s="117">
        <v>800</v>
      </c>
      <c r="J187" s="107"/>
      <c r="K187" s="13"/>
      <c r="L187" s="13"/>
      <c r="M187" s="110">
        <v>41974</v>
      </c>
      <c r="N187" s="114">
        <f>'Reserve Bank'!B187-'Check RB Past'!B187</f>
        <v>0</v>
      </c>
      <c r="O187" s="114">
        <f>'Reserve Bank'!C187-'Check RB Past'!C187</f>
        <v>0</v>
      </c>
      <c r="P187" s="114">
        <f>'Reserve Bank'!D187-'Check RB Past'!D187</f>
        <v>0</v>
      </c>
      <c r="Q187" s="114">
        <f>'Reserve Bank'!E187-'Check RB Past'!E187</f>
        <v>0</v>
      </c>
      <c r="R187" s="114">
        <f>'Reserve Bank'!F187-'Check RB Past'!F187</f>
        <v>0</v>
      </c>
      <c r="S187" s="114">
        <f>'Reserve Bank'!G187-'Check RB Past'!G187</f>
        <v>0</v>
      </c>
      <c r="T187" s="114">
        <f>'Reserve Bank'!H187-'Check RB Past'!H187</f>
        <v>0</v>
      </c>
      <c r="U187" s="114">
        <f>'Reserve Bank'!I187-'Check RB Past'!I187</f>
        <v>0</v>
      </c>
      <c r="V187" s="13"/>
      <c r="W187" s="13"/>
      <c r="X187" s="13"/>
      <c r="Y187" s="13"/>
      <c r="Z187" s="13"/>
      <c r="AA187" s="13"/>
      <c r="AB187" s="13"/>
      <c r="AC187" s="13"/>
    </row>
    <row r="188" spans="1:29" s="14" customFormat="1" ht="12.75" customHeight="1" x14ac:dyDescent="0.2">
      <c r="A188" s="110">
        <v>42005</v>
      </c>
      <c r="B188" s="117">
        <v>13073</v>
      </c>
      <c r="C188" s="117">
        <v>4415</v>
      </c>
      <c r="D188" s="117">
        <v>17488</v>
      </c>
      <c r="E188" s="117">
        <v>3653</v>
      </c>
      <c r="F188" s="117">
        <v>21141</v>
      </c>
      <c r="G188" s="117">
        <v>4146</v>
      </c>
      <c r="H188" s="117">
        <v>25287</v>
      </c>
      <c r="I188" s="117">
        <v>508</v>
      </c>
      <c r="J188" s="20"/>
      <c r="K188" s="1"/>
      <c r="L188" s="1"/>
      <c r="M188" s="110">
        <v>42005</v>
      </c>
      <c r="N188" s="114">
        <f>'Reserve Bank'!B188-'Check RB Past'!B188</f>
        <v>0</v>
      </c>
      <c r="O188" s="114">
        <f>'Reserve Bank'!C188-'Check RB Past'!C188</f>
        <v>0</v>
      </c>
      <c r="P188" s="114">
        <f>'Reserve Bank'!D188-'Check RB Past'!D188</f>
        <v>0</v>
      </c>
      <c r="Q188" s="114">
        <f>'Reserve Bank'!E188-'Check RB Past'!E188</f>
        <v>0</v>
      </c>
      <c r="R188" s="114">
        <f>'Reserve Bank'!F188-'Check RB Past'!F188</f>
        <v>0</v>
      </c>
      <c r="S188" s="114">
        <f>'Reserve Bank'!G188-'Check RB Past'!G188</f>
        <v>0</v>
      </c>
      <c r="T188" s="114">
        <f>'Reserve Bank'!H188-'Check RB Past'!H188</f>
        <v>0</v>
      </c>
      <c r="U188" s="114">
        <f>'Reserve Bank'!I188-'Check RB Past'!I188</f>
        <v>0</v>
      </c>
      <c r="V188" s="1"/>
      <c r="W188" s="1"/>
      <c r="X188" s="1"/>
      <c r="Y188" s="1"/>
      <c r="Z188" s="1"/>
      <c r="AA188" s="1"/>
      <c r="AB188" s="1"/>
      <c r="AC188" s="1"/>
    </row>
    <row r="189" spans="1:29" s="12" customFormat="1" ht="12.75" customHeight="1" x14ac:dyDescent="0.2">
      <c r="A189" s="110">
        <v>42036</v>
      </c>
      <c r="B189" s="117">
        <v>13397</v>
      </c>
      <c r="C189" s="117">
        <v>4020</v>
      </c>
      <c r="D189" s="117">
        <v>17417</v>
      </c>
      <c r="E189" s="117">
        <v>3267</v>
      </c>
      <c r="F189" s="117">
        <v>20684</v>
      </c>
      <c r="G189" s="117">
        <v>3853</v>
      </c>
      <c r="H189" s="117">
        <v>24537</v>
      </c>
      <c r="I189" s="117">
        <v>752</v>
      </c>
      <c r="J189" s="107"/>
      <c r="K189" s="13"/>
      <c r="L189" s="13"/>
      <c r="M189" s="110">
        <v>42036</v>
      </c>
      <c r="N189" s="114">
        <f>'Reserve Bank'!B189-'Check RB Past'!B189</f>
        <v>0</v>
      </c>
      <c r="O189" s="114">
        <f>'Reserve Bank'!C189-'Check RB Past'!C189</f>
        <v>0</v>
      </c>
      <c r="P189" s="114">
        <f>'Reserve Bank'!D189-'Check RB Past'!D189</f>
        <v>0</v>
      </c>
      <c r="Q189" s="114">
        <f>'Reserve Bank'!E189-'Check RB Past'!E189</f>
        <v>0</v>
      </c>
      <c r="R189" s="114">
        <f>'Reserve Bank'!F189-'Check RB Past'!F189</f>
        <v>0</v>
      </c>
      <c r="S189" s="114">
        <f>'Reserve Bank'!G189-'Check RB Past'!G189</f>
        <v>0</v>
      </c>
      <c r="T189" s="114">
        <f>'Reserve Bank'!H189-'Check RB Past'!H189</f>
        <v>0</v>
      </c>
      <c r="U189" s="114">
        <f>'Reserve Bank'!I189-'Check RB Past'!I189</f>
        <v>0</v>
      </c>
      <c r="V189" s="13"/>
      <c r="W189" s="13"/>
      <c r="X189" s="13"/>
      <c r="Y189" s="13"/>
      <c r="Z189" s="13"/>
      <c r="AA189" s="13"/>
      <c r="AB189" s="13"/>
      <c r="AC189" s="13"/>
    </row>
    <row r="190" spans="1:29" s="14" customFormat="1" ht="12.75" customHeight="1" x14ac:dyDescent="0.2">
      <c r="A190" s="110">
        <v>42064</v>
      </c>
      <c r="B190" s="117">
        <v>13425</v>
      </c>
      <c r="C190" s="117">
        <v>4958</v>
      </c>
      <c r="D190" s="117">
        <v>18383</v>
      </c>
      <c r="E190" s="117">
        <v>2634</v>
      </c>
      <c r="F190" s="117">
        <v>21017</v>
      </c>
      <c r="G190" s="117">
        <v>3695</v>
      </c>
      <c r="H190" s="117">
        <v>24712</v>
      </c>
      <c r="I190" s="117">
        <v>777</v>
      </c>
      <c r="J190" s="20"/>
      <c r="K190" s="1"/>
      <c r="L190" s="1"/>
      <c r="M190" s="89">
        <v>42064</v>
      </c>
      <c r="N190" s="114">
        <f>'Reserve Bank'!B190-'Check RB Past'!B190</f>
        <v>0</v>
      </c>
      <c r="O190" s="114">
        <f>'Reserve Bank'!C190-'Check RB Past'!C190</f>
        <v>0</v>
      </c>
      <c r="P190" s="114">
        <f>'Reserve Bank'!D190-'Check RB Past'!D190</f>
        <v>0</v>
      </c>
      <c r="Q190" s="114">
        <f>'Reserve Bank'!E190-'Check RB Past'!E190</f>
        <v>0</v>
      </c>
      <c r="R190" s="114">
        <f>'Reserve Bank'!F190-'Check RB Past'!F190</f>
        <v>0</v>
      </c>
      <c r="S190" s="114">
        <f>'Reserve Bank'!G190-'Check RB Past'!G190</f>
        <v>0</v>
      </c>
      <c r="T190" s="114">
        <f>'Reserve Bank'!H190-'Check RB Past'!H190</f>
        <v>0</v>
      </c>
      <c r="U190" s="114">
        <f>'Reserve Bank'!I190-'Check RB Past'!I190</f>
        <v>0</v>
      </c>
      <c r="V190" s="1"/>
      <c r="W190" s="1"/>
      <c r="X190" s="1"/>
      <c r="Y190" s="1"/>
      <c r="Z190" s="1"/>
      <c r="AA190" s="1"/>
      <c r="AB190" s="1"/>
      <c r="AC190" s="1"/>
    </row>
    <row r="191" spans="1:29" s="14" customFormat="1" ht="12.75" customHeight="1" x14ac:dyDescent="0.2">
      <c r="A191" s="110">
        <v>42095</v>
      </c>
      <c r="B191" s="117">
        <v>12054</v>
      </c>
      <c r="C191" s="117">
        <v>6014</v>
      </c>
      <c r="D191" s="117">
        <v>18068</v>
      </c>
      <c r="E191" s="117">
        <v>1325</v>
      </c>
      <c r="F191" s="117">
        <v>19393</v>
      </c>
      <c r="G191" s="117">
        <v>4000</v>
      </c>
      <c r="H191" s="117">
        <v>23393</v>
      </c>
      <c r="I191" s="117">
        <v>642</v>
      </c>
      <c r="J191" s="20"/>
      <c r="K191" s="1"/>
      <c r="L191" s="1"/>
      <c r="M191" s="89">
        <v>42095</v>
      </c>
      <c r="N191" s="114">
        <f>'Reserve Bank'!B191-'Check RB Past'!B191</f>
        <v>0</v>
      </c>
      <c r="O191" s="114">
        <f>'Reserve Bank'!C191-'Check RB Past'!C191</f>
        <v>0</v>
      </c>
      <c r="P191" s="114">
        <f>'Reserve Bank'!D191-'Check RB Past'!D191</f>
        <v>0</v>
      </c>
      <c r="Q191" s="114">
        <f>'Reserve Bank'!E191-'Check RB Past'!E191</f>
        <v>0</v>
      </c>
      <c r="R191" s="114">
        <f>'Reserve Bank'!F191-'Check RB Past'!F191</f>
        <v>0</v>
      </c>
      <c r="S191" s="114">
        <f>'Reserve Bank'!G191-'Check RB Past'!G191</f>
        <v>0</v>
      </c>
      <c r="T191" s="114">
        <f>'Reserve Bank'!H191-'Check RB Past'!H191</f>
        <v>0</v>
      </c>
      <c r="U191" s="114">
        <f>'Reserve Bank'!I191-'Check RB Past'!I191</f>
        <v>0</v>
      </c>
      <c r="V191" s="1"/>
      <c r="W191" s="1"/>
      <c r="X191" s="1"/>
      <c r="Y191" s="1"/>
      <c r="Z191" s="1"/>
      <c r="AA191" s="1"/>
      <c r="AB191" s="1"/>
      <c r="AC191" s="1"/>
    </row>
    <row r="192" spans="1:29" s="12" customFormat="1" ht="12.75" customHeight="1" x14ac:dyDescent="0.2">
      <c r="A192" s="110">
        <v>42125</v>
      </c>
      <c r="B192" s="117">
        <v>14266</v>
      </c>
      <c r="C192" s="117">
        <v>4769</v>
      </c>
      <c r="D192" s="117">
        <v>19035</v>
      </c>
      <c r="E192" s="117">
        <v>3463</v>
      </c>
      <c r="F192" s="117">
        <v>22498</v>
      </c>
      <c r="G192" s="117">
        <v>3695</v>
      </c>
      <c r="H192" s="117">
        <v>26193</v>
      </c>
      <c r="I192" s="117">
        <v>246</v>
      </c>
      <c r="J192" s="107"/>
      <c r="K192" s="13"/>
      <c r="L192" s="13"/>
      <c r="M192" s="89">
        <v>42125</v>
      </c>
      <c r="N192" s="114">
        <f>'Reserve Bank'!B192-'Check RB Past'!B192</f>
        <v>0</v>
      </c>
      <c r="O192" s="114">
        <f>'Reserve Bank'!C192-'Check RB Past'!C192</f>
        <v>0</v>
      </c>
      <c r="P192" s="114">
        <f>'Reserve Bank'!D192-'Check RB Past'!D192</f>
        <v>0</v>
      </c>
      <c r="Q192" s="114">
        <f>'Reserve Bank'!E192-'Check RB Past'!E192</f>
        <v>0</v>
      </c>
      <c r="R192" s="114">
        <f>'Reserve Bank'!F192-'Check RB Past'!F192</f>
        <v>0</v>
      </c>
      <c r="S192" s="114">
        <f>'Reserve Bank'!G192-'Check RB Past'!G192</f>
        <v>0</v>
      </c>
      <c r="T192" s="114">
        <f>'Reserve Bank'!H192-'Check RB Past'!H192</f>
        <v>0</v>
      </c>
      <c r="U192" s="114">
        <f>'Reserve Bank'!I192-'Check RB Past'!I192</f>
        <v>0</v>
      </c>
      <c r="V192" s="13"/>
      <c r="W192" s="13"/>
      <c r="X192" s="13"/>
      <c r="Y192" s="13"/>
      <c r="Z192" s="13"/>
      <c r="AA192" s="13"/>
      <c r="AB192" s="13"/>
      <c r="AC192" s="13"/>
    </row>
    <row r="193" spans="1:29" s="14" customFormat="1" ht="12.75" customHeight="1" x14ac:dyDescent="0.2">
      <c r="A193" s="110">
        <v>42156</v>
      </c>
      <c r="B193" s="117">
        <v>12955</v>
      </c>
      <c r="C193" s="117">
        <v>6570</v>
      </c>
      <c r="D193" s="117">
        <v>19525</v>
      </c>
      <c r="E193" s="117">
        <v>3247</v>
      </c>
      <c r="F193" s="117">
        <v>22772</v>
      </c>
      <c r="G193" s="117">
        <v>3706</v>
      </c>
      <c r="H193" s="117">
        <v>26478</v>
      </c>
      <c r="I193" s="117">
        <v>3</v>
      </c>
      <c r="J193" s="20"/>
      <c r="K193" s="1"/>
      <c r="L193" s="1"/>
      <c r="M193" s="89">
        <v>42156</v>
      </c>
      <c r="N193" s="114">
        <f>'Reserve Bank'!B193-'Check RB Past'!B193</f>
        <v>0</v>
      </c>
      <c r="O193" s="114">
        <f>'Reserve Bank'!C193-'Check RB Past'!C193</f>
        <v>0</v>
      </c>
      <c r="P193" s="114">
        <f>'Reserve Bank'!D193-'Check RB Past'!D193</f>
        <v>0</v>
      </c>
      <c r="Q193" s="114">
        <f>'Reserve Bank'!E193-'Check RB Past'!E193</f>
        <v>0</v>
      </c>
      <c r="R193" s="114">
        <f>'Reserve Bank'!F193-'Check RB Past'!F193</f>
        <v>0</v>
      </c>
      <c r="S193" s="114">
        <f>'Reserve Bank'!G193-'Check RB Past'!G193</f>
        <v>0</v>
      </c>
      <c r="T193" s="114">
        <f>'Reserve Bank'!H193-'Check RB Past'!H193</f>
        <v>0</v>
      </c>
      <c r="U193" s="114">
        <f>'Reserve Bank'!I193-'Check RB Past'!I193</f>
        <v>0</v>
      </c>
      <c r="V193" s="1"/>
      <c r="W193" s="1"/>
      <c r="X193" s="1"/>
      <c r="Y193" s="1"/>
      <c r="Z193" s="1"/>
      <c r="AA193" s="1"/>
      <c r="AB193" s="1"/>
      <c r="AC193" s="1"/>
    </row>
    <row r="194" spans="1:29" s="14" customFormat="1" ht="12.75" customHeight="1" x14ac:dyDescent="0.2">
      <c r="A194" s="110">
        <v>42186</v>
      </c>
      <c r="B194" s="117">
        <v>12773</v>
      </c>
      <c r="C194" s="117">
        <v>7693</v>
      </c>
      <c r="D194" s="117">
        <v>20466</v>
      </c>
      <c r="E194" s="117">
        <v>1024</v>
      </c>
      <c r="F194" s="117">
        <v>21490</v>
      </c>
      <c r="G194" s="117">
        <v>3872</v>
      </c>
      <c r="H194" s="117">
        <v>25362</v>
      </c>
      <c r="I194" s="117">
        <v>-48</v>
      </c>
      <c r="J194" s="20"/>
      <c r="K194" s="1"/>
      <c r="L194" s="1"/>
      <c r="M194" s="89">
        <v>42186</v>
      </c>
      <c r="N194" s="114">
        <f>'Reserve Bank'!B194-'Check RB Past'!B194</f>
        <v>0</v>
      </c>
      <c r="O194" s="114">
        <f>'Reserve Bank'!C194-'Check RB Past'!C194</f>
        <v>0</v>
      </c>
      <c r="P194" s="114">
        <f>'Reserve Bank'!D194-'Check RB Past'!D194</f>
        <v>0</v>
      </c>
      <c r="Q194" s="114">
        <f>'Reserve Bank'!E194-'Check RB Past'!E194</f>
        <v>0</v>
      </c>
      <c r="R194" s="114">
        <f>'Reserve Bank'!F194-'Check RB Past'!F194</f>
        <v>0</v>
      </c>
      <c r="S194" s="114">
        <f>'Reserve Bank'!G194-'Check RB Past'!G194</f>
        <v>0</v>
      </c>
      <c r="T194" s="114">
        <f>'Reserve Bank'!H194-'Check RB Past'!H194</f>
        <v>0</v>
      </c>
      <c r="U194" s="114">
        <f>'Reserve Bank'!I194-'Check RB Past'!I194</f>
        <v>0</v>
      </c>
      <c r="V194" s="1"/>
      <c r="W194" s="1"/>
      <c r="X194" s="1"/>
      <c r="Y194" s="1"/>
      <c r="Z194" s="1"/>
      <c r="AA194" s="1"/>
      <c r="AB194" s="1"/>
      <c r="AC194" s="1"/>
    </row>
    <row r="195" spans="1:29" s="14" customFormat="1" ht="12.75" customHeight="1" x14ac:dyDescent="0.2">
      <c r="A195" s="110">
        <v>42217</v>
      </c>
      <c r="B195" s="117">
        <v>11950</v>
      </c>
      <c r="C195" s="117">
        <v>10625</v>
      </c>
      <c r="D195" s="117">
        <v>22575</v>
      </c>
      <c r="E195" s="117">
        <v>1</v>
      </c>
      <c r="F195" s="117">
        <v>22576</v>
      </c>
      <c r="G195" s="117">
        <v>3944</v>
      </c>
      <c r="H195" s="117">
        <v>26520</v>
      </c>
      <c r="I195" s="117">
        <v>-147</v>
      </c>
      <c r="J195" s="20"/>
      <c r="K195" s="1"/>
      <c r="L195" s="1"/>
      <c r="M195" s="89">
        <v>42217</v>
      </c>
      <c r="N195" s="114">
        <f>'Reserve Bank'!B195-'Check RB Past'!B195</f>
        <v>0</v>
      </c>
      <c r="O195" s="114">
        <f>'Reserve Bank'!C195-'Check RB Past'!C195</f>
        <v>0</v>
      </c>
      <c r="P195" s="114">
        <f>'Reserve Bank'!D195-'Check RB Past'!D195</f>
        <v>0</v>
      </c>
      <c r="Q195" s="114">
        <f>'Reserve Bank'!E195-'Check RB Past'!E195</f>
        <v>0</v>
      </c>
      <c r="R195" s="114">
        <f>'Reserve Bank'!F195-'Check RB Past'!F195</f>
        <v>0</v>
      </c>
      <c r="S195" s="114">
        <f>'Reserve Bank'!G195-'Check RB Past'!G195</f>
        <v>0</v>
      </c>
      <c r="T195" s="114">
        <f>'Reserve Bank'!H195-'Check RB Past'!H195</f>
        <v>0</v>
      </c>
      <c r="U195" s="114">
        <f>'Reserve Bank'!I195-'Check RB Past'!I195</f>
        <v>0</v>
      </c>
      <c r="V195" s="1"/>
      <c r="W195" s="1"/>
      <c r="X195" s="1"/>
      <c r="Y195" s="1"/>
      <c r="Z195" s="1"/>
      <c r="AA195" s="1"/>
      <c r="AB195" s="1"/>
      <c r="AC195" s="1"/>
    </row>
    <row r="196" spans="1:29" s="14" customFormat="1" ht="12.75" customHeight="1" x14ac:dyDescent="0.2">
      <c r="A196" s="110">
        <v>42248</v>
      </c>
      <c r="B196" s="117">
        <v>11962</v>
      </c>
      <c r="C196" s="117">
        <v>6522</v>
      </c>
      <c r="D196" s="117">
        <v>18484</v>
      </c>
      <c r="E196" s="117">
        <v>-177</v>
      </c>
      <c r="F196" s="117">
        <v>18307</v>
      </c>
      <c r="G196" s="117">
        <v>5111</v>
      </c>
      <c r="H196" s="117">
        <v>23418</v>
      </c>
      <c r="I196" s="117">
        <v>-62</v>
      </c>
      <c r="J196" s="20"/>
      <c r="K196" s="1"/>
      <c r="L196" s="1"/>
      <c r="M196" s="89">
        <v>42248</v>
      </c>
      <c r="N196" s="114">
        <f>'Reserve Bank'!B196-'Check RB Past'!B196</f>
        <v>0</v>
      </c>
      <c r="O196" s="114">
        <f>'Reserve Bank'!C196-'Check RB Past'!C196</f>
        <v>0</v>
      </c>
      <c r="P196" s="114">
        <f>'Reserve Bank'!D196-'Check RB Past'!D196</f>
        <v>0</v>
      </c>
      <c r="Q196" s="114">
        <f>'Reserve Bank'!E196-'Check RB Past'!E196</f>
        <v>0</v>
      </c>
      <c r="R196" s="114">
        <f>'Reserve Bank'!F196-'Check RB Past'!F196</f>
        <v>0</v>
      </c>
      <c r="S196" s="114">
        <f>'Reserve Bank'!G196-'Check RB Past'!G196</f>
        <v>0</v>
      </c>
      <c r="T196" s="114">
        <f>'Reserve Bank'!H196-'Check RB Past'!H196</f>
        <v>0</v>
      </c>
      <c r="U196" s="114">
        <f>'Reserve Bank'!I196-'Check RB Past'!I196</f>
        <v>0</v>
      </c>
      <c r="V196" s="1"/>
      <c r="W196" s="1"/>
      <c r="X196" s="1"/>
      <c r="Y196" s="1"/>
      <c r="Z196" s="1"/>
      <c r="AA196" s="1"/>
      <c r="AB196" s="1"/>
      <c r="AC196" s="1"/>
    </row>
    <row r="197" spans="1:29" s="14" customFormat="1" ht="12.75" customHeight="1" x14ac:dyDescent="0.2">
      <c r="A197" s="110">
        <v>42278</v>
      </c>
      <c r="B197" s="117">
        <v>10766</v>
      </c>
      <c r="C197" s="117">
        <v>6994</v>
      </c>
      <c r="D197" s="117">
        <v>17760</v>
      </c>
      <c r="E197" s="117">
        <v>356</v>
      </c>
      <c r="F197" s="117">
        <v>18116</v>
      </c>
      <c r="G197" s="117">
        <v>5083</v>
      </c>
      <c r="H197" s="117">
        <v>23199</v>
      </c>
      <c r="I197" s="117">
        <v>123</v>
      </c>
      <c r="J197" s="20"/>
      <c r="K197" s="1"/>
      <c r="L197" s="1"/>
      <c r="M197" s="89">
        <v>42278</v>
      </c>
      <c r="N197" s="114">
        <f>'Reserve Bank'!B197-'Check RB Past'!B197</f>
        <v>0</v>
      </c>
      <c r="O197" s="114">
        <f>'Reserve Bank'!C197-'Check RB Past'!C197</f>
        <v>0</v>
      </c>
      <c r="P197" s="114">
        <f>'Reserve Bank'!D197-'Check RB Past'!D197</f>
        <v>0</v>
      </c>
      <c r="Q197" s="114">
        <f>'Reserve Bank'!E197-'Check RB Past'!E197</f>
        <v>0</v>
      </c>
      <c r="R197" s="114">
        <f>'Reserve Bank'!F197-'Check RB Past'!F197</f>
        <v>0</v>
      </c>
      <c r="S197" s="114">
        <f>'Reserve Bank'!G197-'Check RB Past'!G197</f>
        <v>0</v>
      </c>
      <c r="T197" s="114">
        <f>'Reserve Bank'!H197-'Check RB Past'!H197</f>
        <v>0</v>
      </c>
      <c r="U197" s="114">
        <f>'Reserve Bank'!I197-'Check RB Past'!I197</f>
        <v>0</v>
      </c>
      <c r="V197" s="1"/>
      <c r="W197" s="1"/>
      <c r="X197" s="1"/>
      <c r="Y197" s="1"/>
      <c r="Z197" s="1"/>
      <c r="AA197" s="1"/>
      <c r="AB197" s="1"/>
      <c r="AC197" s="1"/>
    </row>
    <row r="198" spans="1:29" s="14" customFormat="1" ht="12.75" customHeight="1" x14ac:dyDescent="0.2">
      <c r="A198" s="110">
        <v>42309</v>
      </c>
      <c r="B198" s="117">
        <v>11618</v>
      </c>
      <c r="C198" s="117">
        <v>6052</v>
      </c>
      <c r="D198" s="117">
        <v>17670</v>
      </c>
      <c r="E198" s="117">
        <v>1681</v>
      </c>
      <c r="F198" s="117">
        <v>19351</v>
      </c>
      <c r="G198" s="117">
        <v>5460</v>
      </c>
      <c r="H198" s="117">
        <v>24811</v>
      </c>
      <c r="I198" s="117">
        <v>81</v>
      </c>
      <c r="J198" s="20"/>
      <c r="K198" s="1"/>
      <c r="L198" s="1"/>
      <c r="M198" s="89">
        <v>42309</v>
      </c>
      <c r="N198" s="114">
        <f>'Reserve Bank'!B198-'Check RB Past'!B198</f>
        <v>0</v>
      </c>
      <c r="O198" s="114">
        <f>'Reserve Bank'!C198-'Check RB Past'!C198</f>
        <v>0</v>
      </c>
      <c r="P198" s="114">
        <f>'Reserve Bank'!D198-'Check RB Past'!D198</f>
        <v>0</v>
      </c>
      <c r="Q198" s="114">
        <f>'Reserve Bank'!E198-'Check RB Past'!E198</f>
        <v>0</v>
      </c>
      <c r="R198" s="114">
        <f>'Reserve Bank'!F198-'Check RB Past'!F198</f>
        <v>0</v>
      </c>
      <c r="S198" s="114">
        <f>'Reserve Bank'!G198-'Check RB Past'!G198</f>
        <v>0</v>
      </c>
      <c r="T198" s="114">
        <f>'Reserve Bank'!H198-'Check RB Past'!H198</f>
        <v>0</v>
      </c>
      <c r="U198" s="114">
        <f>'Reserve Bank'!I198-'Check RB Past'!I198</f>
        <v>0</v>
      </c>
      <c r="V198" s="1"/>
      <c r="W198" s="1"/>
      <c r="X198" s="1"/>
      <c r="Y198" s="1"/>
      <c r="Z198" s="1"/>
      <c r="AA198" s="1"/>
      <c r="AB198" s="1"/>
      <c r="AC198" s="1"/>
    </row>
    <row r="199" spans="1:29" s="14" customFormat="1" ht="12.75" customHeight="1" x14ac:dyDescent="0.2">
      <c r="A199" s="110">
        <v>42339</v>
      </c>
      <c r="B199" s="117">
        <v>8529</v>
      </c>
      <c r="C199" s="117">
        <v>7621</v>
      </c>
      <c r="D199" s="117">
        <v>16150</v>
      </c>
      <c r="E199" s="117">
        <v>1902</v>
      </c>
      <c r="F199" s="117">
        <v>18052</v>
      </c>
      <c r="G199" s="117">
        <v>3417</v>
      </c>
      <c r="H199" s="117">
        <v>21469</v>
      </c>
      <c r="I199" s="117">
        <v>-54</v>
      </c>
      <c r="J199" s="20"/>
      <c r="K199" s="1"/>
      <c r="L199" s="1"/>
      <c r="M199" s="89">
        <v>42339</v>
      </c>
      <c r="N199" s="114">
        <f>'Reserve Bank'!B199-'Check RB Past'!B199</f>
        <v>0</v>
      </c>
      <c r="O199" s="114">
        <f>'Reserve Bank'!C199-'Check RB Past'!C199</f>
        <v>0</v>
      </c>
      <c r="P199" s="114">
        <f>'Reserve Bank'!D199-'Check RB Past'!D199</f>
        <v>0</v>
      </c>
      <c r="Q199" s="114">
        <f>'Reserve Bank'!E199-'Check RB Past'!E199</f>
        <v>0</v>
      </c>
      <c r="R199" s="114">
        <f>'Reserve Bank'!F199-'Check RB Past'!F199</f>
        <v>0</v>
      </c>
      <c r="S199" s="114">
        <f>'Reserve Bank'!G199-'Check RB Past'!G199</f>
        <v>0</v>
      </c>
      <c r="T199" s="114">
        <f>'Reserve Bank'!H199-'Check RB Past'!H199</f>
        <v>0</v>
      </c>
      <c r="U199" s="114">
        <f>'Reserve Bank'!I199-'Check RB Past'!I199</f>
        <v>0</v>
      </c>
      <c r="V199" s="1"/>
      <c r="W199" s="1"/>
      <c r="X199" s="1"/>
      <c r="Y199" s="1"/>
      <c r="Z199" s="1"/>
      <c r="AA199" s="1"/>
      <c r="AB199" s="1"/>
      <c r="AC199" s="1"/>
    </row>
    <row r="200" spans="1:29" s="14" customFormat="1" ht="12.75" customHeight="1" x14ac:dyDescent="0.2">
      <c r="A200" s="110">
        <v>42370</v>
      </c>
      <c r="B200" s="117">
        <v>10108</v>
      </c>
      <c r="C200" s="117">
        <v>8388</v>
      </c>
      <c r="D200" s="117">
        <v>18496</v>
      </c>
      <c r="E200" s="117">
        <v>2856</v>
      </c>
      <c r="F200" s="117">
        <v>21352</v>
      </c>
      <c r="G200" s="117">
        <v>4532</v>
      </c>
      <c r="H200" s="117">
        <v>25884</v>
      </c>
      <c r="I200" s="117">
        <v>102</v>
      </c>
      <c r="J200" s="20"/>
      <c r="K200" s="1"/>
      <c r="L200" s="1"/>
      <c r="M200" s="89">
        <v>42370</v>
      </c>
      <c r="N200" s="114">
        <f>'Reserve Bank'!B200-'Check RB Past'!B200</f>
        <v>0</v>
      </c>
      <c r="O200" s="114">
        <f>'Reserve Bank'!C200-'Check RB Past'!C200</f>
        <v>0</v>
      </c>
      <c r="P200" s="114">
        <f>'Reserve Bank'!D200-'Check RB Past'!D200</f>
        <v>0</v>
      </c>
      <c r="Q200" s="114">
        <f>'Reserve Bank'!E200-'Check RB Past'!E200</f>
        <v>0</v>
      </c>
      <c r="R200" s="114">
        <f>'Reserve Bank'!F200-'Check RB Past'!F200</f>
        <v>0</v>
      </c>
      <c r="S200" s="114">
        <f>'Reserve Bank'!G200-'Check RB Past'!G200</f>
        <v>0</v>
      </c>
      <c r="T200" s="114">
        <f>'Reserve Bank'!H200-'Check RB Past'!H200</f>
        <v>0</v>
      </c>
      <c r="U200" s="114">
        <f>'Reserve Bank'!I200-'Check RB Past'!I200</f>
        <v>0</v>
      </c>
      <c r="V200" s="1"/>
      <c r="W200" s="1"/>
      <c r="X200" s="1"/>
      <c r="Y200" s="1"/>
      <c r="Z200" s="1"/>
      <c r="AA200" s="1"/>
      <c r="AB200" s="1"/>
      <c r="AC200" s="1"/>
    </row>
    <row r="201" spans="1:29" s="14" customFormat="1" ht="12.75" customHeight="1" x14ac:dyDescent="0.2">
      <c r="A201" s="110">
        <v>42401</v>
      </c>
      <c r="B201" s="117">
        <v>8578</v>
      </c>
      <c r="C201" s="117">
        <v>8891</v>
      </c>
      <c r="D201" s="117">
        <v>17469</v>
      </c>
      <c r="E201" s="117">
        <v>2555</v>
      </c>
      <c r="F201" s="117">
        <v>20024</v>
      </c>
      <c r="G201" s="117">
        <v>5202</v>
      </c>
      <c r="H201" s="130">
        <v>25226</v>
      </c>
      <c r="I201" s="117">
        <v>101</v>
      </c>
      <c r="J201" s="20"/>
      <c r="K201" s="1"/>
      <c r="L201" s="1"/>
      <c r="M201" s="89">
        <v>42401</v>
      </c>
      <c r="N201" s="114">
        <f>'Reserve Bank'!B201-'Check RB Past'!B201</f>
        <v>0</v>
      </c>
      <c r="O201" s="114">
        <f>'Reserve Bank'!C201-'Check RB Past'!C201</f>
        <v>0</v>
      </c>
      <c r="P201" s="114">
        <f>'Reserve Bank'!D201-'Check RB Past'!D201</f>
        <v>0</v>
      </c>
      <c r="Q201" s="114">
        <f>'Reserve Bank'!E201-'Check RB Past'!E201</f>
        <v>0</v>
      </c>
      <c r="R201" s="114">
        <f>'Reserve Bank'!F201-'Check RB Past'!F201</f>
        <v>0</v>
      </c>
      <c r="S201" s="114">
        <f>'Reserve Bank'!G201-'Check RB Past'!G201</f>
        <v>0</v>
      </c>
      <c r="T201" s="114">
        <f>'Reserve Bank'!H201-'Check RB Past'!H201</f>
        <v>0</v>
      </c>
      <c r="U201" s="114">
        <f>'Reserve Bank'!I201-'Check RB Past'!I201</f>
        <v>0</v>
      </c>
      <c r="V201" s="1"/>
      <c r="W201" s="1"/>
      <c r="X201" s="1"/>
      <c r="Y201" s="1"/>
      <c r="Z201" s="1"/>
      <c r="AA201" s="1"/>
      <c r="AB201" s="1"/>
      <c r="AC201" s="1"/>
    </row>
    <row r="202" spans="1:29" s="14" customFormat="1" ht="12.75" customHeight="1" x14ac:dyDescent="0.2">
      <c r="A202" s="110">
        <v>42430</v>
      </c>
      <c r="B202" s="117">
        <v>10041</v>
      </c>
      <c r="C202" s="117">
        <v>6754</v>
      </c>
      <c r="D202" s="117">
        <v>16795</v>
      </c>
      <c r="E202" s="117">
        <v>2744</v>
      </c>
      <c r="F202" s="117">
        <v>19539</v>
      </c>
      <c r="G202" s="117">
        <v>4719</v>
      </c>
      <c r="H202" s="130">
        <v>24258</v>
      </c>
      <c r="I202" s="117">
        <v>232</v>
      </c>
      <c r="J202" s="20"/>
      <c r="K202" s="1"/>
      <c r="L202" s="1"/>
      <c r="M202" s="89">
        <v>42430</v>
      </c>
      <c r="N202" s="114">
        <f>'Reserve Bank'!B202-'Check RB Past'!B202</f>
        <v>0</v>
      </c>
      <c r="O202" s="114">
        <f>'Reserve Bank'!C202-'Check RB Past'!C202</f>
        <v>0</v>
      </c>
      <c r="P202" s="114">
        <f>'Reserve Bank'!D202-'Check RB Past'!D202</f>
        <v>0</v>
      </c>
      <c r="Q202" s="114">
        <f>'Reserve Bank'!E202-'Check RB Past'!E202</f>
        <v>0</v>
      </c>
      <c r="R202" s="114">
        <f>'Reserve Bank'!F202-'Check RB Past'!F202</f>
        <v>0</v>
      </c>
      <c r="S202" s="114">
        <f>'Reserve Bank'!G202-'Check RB Past'!G202</f>
        <v>0</v>
      </c>
      <c r="T202" s="114">
        <f>'Reserve Bank'!H202-'Check RB Past'!H202</f>
        <v>0</v>
      </c>
      <c r="U202" s="114">
        <f>'Reserve Bank'!I202-'Check RB Past'!I202</f>
        <v>0</v>
      </c>
      <c r="V202" s="1"/>
      <c r="W202" s="1"/>
      <c r="X202" s="1"/>
      <c r="Y202" s="1"/>
      <c r="Z202" s="1"/>
      <c r="AA202" s="1"/>
      <c r="AB202" s="1"/>
      <c r="AC202" s="1"/>
    </row>
    <row r="203" spans="1:29" s="14" customFormat="1" ht="12.75" customHeight="1" x14ac:dyDescent="0.2">
      <c r="A203" s="110">
        <v>42461</v>
      </c>
      <c r="B203" s="117">
        <v>9021</v>
      </c>
      <c r="C203" s="117">
        <v>9094</v>
      </c>
      <c r="D203" s="117">
        <v>18115</v>
      </c>
      <c r="E203" s="117">
        <v>2239</v>
      </c>
      <c r="F203" s="117">
        <v>20354</v>
      </c>
      <c r="G203" s="117">
        <v>5072</v>
      </c>
      <c r="H203" s="130">
        <v>25426</v>
      </c>
      <c r="I203" s="117">
        <v>201</v>
      </c>
      <c r="J203" s="20"/>
      <c r="K203" s="1"/>
      <c r="L203" s="1"/>
      <c r="M203" s="89">
        <v>42461</v>
      </c>
      <c r="N203" s="114">
        <f>'Reserve Bank'!B203-'Check RB Past'!B203</f>
        <v>0</v>
      </c>
      <c r="O203" s="114">
        <f>'Reserve Bank'!C203-'Check RB Past'!C203</f>
        <v>0</v>
      </c>
      <c r="P203" s="114">
        <f>'Reserve Bank'!D203-'Check RB Past'!D203</f>
        <v>0</v>
      </c>
      <c r="Q203" s="114">
        <f>'Reserve Bank'!E203-'Check RB Past'!E203</f>
        <v>0</v>
      </c>
      <c r="R203" s="114">
        <f>'Reserve Bank'!F203-'Check RB Past'!F203</f>
        <v>0</v>
      </c>
      <c r="S203" s="114">
        <f>'Reserve Bank'!G203-'Check RB Past'!G203</f>
        <v>0</v>
      </c>
      <c r="T203" s="114">
        <f>'Reserve Bank'!H203-'Check RB Past'!H203</f>
        <v>0</v>
      </c>
      <c r="U203" s="114">
        <f>'Reserve Bank'!I203-'Check RB Past'!I203</f>
        <v>0</v>
      </c>
      <c r="V203" s="1"/>
      <c r="W203" s="1"/>
      <c r="X203" s="1"/>
      <c r="Y203" s="1"/>
      <c r="Z203" s="1"/>
      <c r="AA203" s="1"/>
      <c r="AB203" s="1"/>
      <c r="AC203" s="1"/>
    </row>
    <row r="204" spans="1:29" s="14" customFormat="1" ht="12.75" customHeight="1" x14ac:dyDescent="0.2">
      <c r="A204" s="110">
        <v>42491</v>
      </c>
      <c r="B204" s="117">
        <v>11699</v>
      </c>
      <c r="C204" s="117">
        <v>8722</v>
      </c>
      <c r="D204" s="117">
        <v>20421</v>
      </c>
      <c r="E204" s="117">
        <v>2650</v>
      </c>
      <c r="F204" s="117">
        <v>23071</v>
      </c>
      <c r="G204" s="117">
        <v>5486</v>
      </c>
      <c r="H204" s="130">
        <v>28557</v>
      </c>
      <c r="I204" s="117">
        <v>152</v>
      </c>
      <c r="J204" s="20"/>
      <c r="K204" s="1"/>
      <c r="L204" s="1"/>
      <c r="M204" s="89">
        <v>42491</v>
      </c>
      <c r="N204" s="114">
        <f>'Reserve Bank'!B204-'Check RB Past'!B204</f>
        <v>0</v>
      </c>
      <c r="O204" s="114">
        <f>'Reserve Bank'!C204-'Check RB Past'!C204</f>
        <v>0</v>
      </c>
      <c r="P204" s="114">
        <f>'Reserve Bank'!D204-'Check RB Past'!D204</f>
        <v>0</v>
      </c>
      <c r="Q204" s="114">
        <f>'Reserve Bank'!E204-'Check RB Past'!E204</f>
        <v>0</v>
      </c>
      <c r="R204" s="114">
        <f>'Reserve Bank'!F204-'Check RB Past'!F204</f>
        <v>0</v>
      </c>
      <c r="S204" s="114">
        <f>'Reserve Bank'!G204-'Check RB Past'!G204</f>
        <v>0</v>
      </c>
      <c r="T204" s="114">
        <f>'Reserve Bank'!H204-'Check RB Past'!H204</f>
        <v>0</v>
      </c>
      <c r="U204" s="114">
        <f>'Reserve Bank'!I204-'Check RB Past'!I204</f>
        <v>0</v>
      </c>
      <c r="V204" s="1"/>
      <c r="W204" s="1"/>
      <c r="X204" s="1"/>
      <c r="Y204" s="1"/>
      <c r="Z204" s="1"/>
      <c r="AA204" s="1"/>
      <c r="AB204" s="1"/>
      <c r="AC204" s="1"/>
    </row>
    <row r="205" spans="1:29" s="14" customFormat="1" ht="12.75" customHeight="1" x14ac:dyDescent="0.2">
      <c r="A205" s="110">
        <v>42522</v>
      </c>
      <c r="B205" s="117">
        <v>10176</v>
      </c>
      <c r="C205" s="117">
        <v>7706</v>
      </c>
      <c r="D205" s="117">
        <v>17882</v>
      </c>
      <c r="E205" s="117">
        <v>1976</v>
      </c>
      <c r="F205" s="117">
        <v>19858</v>
      </c>
      <c r="G205" s="117">
        <v>5303</v>
      </c>
      <c r="H205" s="117">
        <v>25161</v>
      </c>
      <c r="I205" s="117">
        <v>528</v>
      </c>
      <c r="J205" s="20"/>
      <c r="K205" s="1"/>
      <c r="L205" s="1"/>
      <c r="M205" s="89">
        <v>42522</v>
      </c>
      <c r="N205" s="114">
        <f>'Reserve Bank'!B205-'Check RB Past'!B205</f>
        <v>0</v>
      </c>
      <c r="O205" s="114">
        <f>'Reserve Bank'!C205-'Check RB Past'!C205</f>
        <v>0</v>
      </c>
      <c r="P205" s="114">
        <f>'Reserve Bank'!D205-'Check RB Past'!D205</f>
        <v>0</v>
      </c>
      <c r="Q205" s="114">
        <f>'Reserve Bank'!E205-'Check RB Past'!E205</f>
        <v>0</v>
      </c>
      <c r="R205" s="114">
        <f>'Reserve Bank'!F205-'Check RB Past'!F205</f>
        <v>0</v>
      </c>
      <c r="S205" s="114">
        <f>'Reserve Bank'!G205-'Check RB Past'!G205</f>
        <v>0</v>
      </c>
      <c r="T205" s="114">
        <f>'Reserve Bank'!H205-'Check RB Past'!H205</f>
        <v>0</v>
      </c>
      <c r="U205" s="114">
        <f>'Reserve Bank'!I205-'Check RB Past'!I205</f>
        <v>0</v>
      </c>
      <c r="V205" s="1"/>
      <c r="W205" s="1"/>
      <c r="X205" s="1"/>
      <c r="Y205" s="1"/>
      <c r="Z205" s="1"/>
      <c r="AA205" s="1"/>
      <c r="AB205" s="1"/>
      <c r="AC205" s="1"/>
    </row>
    <row r="206" spans="1:29" s="14" customFormat="1" ht="12.75" customHeight="1" x14ac:dyDescent="0.2">
      <c r="A206" s="110">
        <v>42552</v>
      </c>
      <c r="B206" s="117">
        <v>7570</v>
      </c>
      <c r="C206" s="117">
        <v>9423</v>
      </c>
      <c r="D206" s="117">
        <v>16993</v>
      </c>
      <c r="E206" s="117">
        <v>1016</v>
      </c>
      <c r="F206" s="117">
        <v>18009</v>
      </c>
      <c r="G206" s="117">
        <v>5308</v>
      </c>
      <c r="H206" s="117">
        <v>23317</v>
      </c>
      <c r="I206" s="117">
        <v>458</v>
      </c>
      <c r="J206" s="20"/>
      <c r="K206" s="1"/>
      <c r="L206" s="1"/>
      <c r="M206" s="89">
        <v>42552</v>
      </c>
      <c r="N206" s="114">
        <f>'Reserve Bank'!B206-'Check RB Past'!B206</f>
        <v>0</v>
      </c>
      <c r="O206" s="114">
        <f>'Reserve Bank'!C206-'Check RB Past'!C206</f>
        <v>0</v>
      </c>
      <c r="P206" s="114">
        <f>'Reserve Bank'!D206-'Check RB Past'!D206</f>
        <v>0</v>
      </c>
      <c r="Q206" s="114">
        <f>'Reserve Bank'!E206-'Check RB Past'!E206</f>
        <v>0</v>
      </c>
      <c r="R206" s="114">
        <f>'Reserve Bank'!F206-'Check RB Past'!F206</f>
        <v>0</v>
      </c>
      <c r="S206" s="114">
        <f>'Reserve Bank'!G206-'Check RB Past'!G206</f>
        <v>0</v>
      </c>
      <c r="T206" s="114">
        <f>'Reserve Bank'!H206-'Check RB Past'!H206</f>
        <v>0</v>
      </c>
      <c r="U206" s="114">
        <f>'Reserve Bank'!I206-'Check RB Past'!I206</f>
        <v>0</v>
      </c>
      <c r="V206" s="1"/>
      <c r="W206" s="1"/>
      <c r="X206" s="1"/>
      <c r="Y206" s="1"/>
      <c r="Z206" s="1"/>
      <c r="AA206" s="1"/>
      <c r="AB206" s="1"/>
      <c r="AC206" s="1"/>
    </row>
    <row r="207" spans="1:29" s="14" customFormat="1" ht="12.75" customHeight="1" x14ac:dyDescent="0.2">
      <c r="A207" s="110">
        <v>42583</v>
      </c>
      <c r="B207" s="117">
        <v>10020</v>
      </c>
      <c r="C207" s="117">
        <v>5891</v>
      </c>
      <c r="D207" s="117">
        <v>15911</v>
      </c>
      <c r="E207" s="117">
        <v>3952</v>
      </c>
      <c r="F207" s="117">
        <v>19863</v>
      </c>
      <c r="G207" s="117">
        <v>4991</v>
      </c>
      <c r="H207" s="117">
        <v>24854</v>
      </c>
      <c r="I207" s="117">
        <v>463</v>
      </c>
      <c r="J207" s="20"/>
      <c r="K207" s="1"/>
      <c r="L207" s="1"/>
      <c r="M207" s="89">
        <v>42583</v>
      </c>
      <c r="N207" s="114">
        <f>'Reserve Bank'!B207-'Check RB Past'!B207</f>
        <v>0</v>
      </c>
      <c r="O207" s="114">
        <f>'Reserve Bank'!C207-'Check RB Past'!C207</f>
        <v>0</v>
      </c>
      <c r="P207" s="114">
        <f>'Reserve Bank'!D207-'Check RB Past'!D207</f>
        <v>0</v>
      </c>
      <c r="Q207" s="114">
        <f>'Reserve Bank'!E207-'Check RB Past'!E207</f>
        <v>0</v>
      </c>
      <c r="R207" s="114">
        <f>'Reserve Bank'!F207-'Check RB Past'!F207</f>
        <v>0</v>
      </c>
      <c r="S207" s="114">
        <f>'Reserve Bank'!G207-'Check RB Past'!G207</f>
        <v>0</v>
      </c>
      <c r="T207" s="114">
        <f>'Reserve Bank'!H207-'Check RB Past'!H207</f>
        <v>0</v>
      </c>
      <c r="U207" s="114">
        <f>'Reserve Bank'!I207-'Check RB Past'!I207</f>
        <v>0</v>
      </c>
      <c r="V207" s="1"/>
      <c r="W207" s="1"/>
      <c r="X207" s="1"/>
      <c r="Y207" s="1"/>
      <c r="Z207" s="1"/>
      <c r="AA207" s="1"/>
      <c r="AB207" s="1"/>
      <c r="AC207" s="1"/>
    </row>
    <row r="208" spans="1:29" s="14" customFormat="1" ht="12.75" customHeight="1" x14ac:dyDescent="0.2">
      <c r="A208" s="110">
        <v>42614</v>
      </c>
      <c r="B208" s="117">
        <v>9155</v>
      </c>
      <c r="C208" s="117">
        <v>6912</v>
      </c>
      <c r="D208" s="117">
        <v>16067</v>
      </c>
      <c r="E208" s="117">
        <v>3227</v>
      </c>
      <c r="F208" s="117">
        <v>19294</v>
      </c>
      <c r="G208" s="117">
        <v>5169</v>
      </c>
      <c r="H208" s="117">
        <v>24463</v>
      </c>
      <c r="I208" s="117">
        <v>463</v>
      </c>
      <c r="J208" s="20"/>
      <c r="K208" s="1"/>
      <c r="L208" s="1"/>
      <c r="M208" s="89">
        <v>42614</v>
      </c>
      <c r="N208" s="114">
        <f>'Reserve Bank'!B208-'Check RB Past'!B208</f>
        <v>0</v>
      </c>
      <c r="O208" s="114">
        <f>'Reserve Bank'!C208-'Check RB Past'!C208</f>
        <v>0</v>
      </c>
      <c r="P208" s="114">
        <f>'Reserve Bank'!D208-'Check RB Past'!D208</f>
        <v>0</v>
      </c>
      <c r="Q208" s="114">
        <f>'Reserve Bank'!E208-'Check RB Past'!E208</f>
        <v>0</v>
      </c>
      <c r="R208" s="114">
        <f>'Reserve Bank'!F208-'Check RB Past'!F208</f>
        <v>0</v>
      </c>
      <c r="S208" s="114">
        <f>'Reserve Bank'!G208-'Check RB Past'!G208</f>
        <v>0</v>
      </c>
      <c r="T208" s="114">
        <f>'Reserve Bank'!H208-'Check RB Past'!H208</f>
        <v>0</v>
      </c>
      <c r="U208" s="114">
        <f>'Reserve Bank'!I208-'Check RB Past'!I208</f>
        <v>0</v>
      </c>
      <c r="V208" s="1"/>
      <c r="W208" s="1"/>
      <c r="X208" s="1"/>
      <c r="Y208" s="1"/>
      <c r="Z208" s="1"/>
      <c r="AA208" s="1"/>
      <c r="AB208" s="1"/>
      <c r="AC208" s="1"/>
    </row>
    <row r="209" spans="1:29" s="14" customFormat="1" ht="12.75" customHeight="1" x14ac:dyDescent="0.2">
      <c r="A209" s="110">
        <v>42644</v>
      </c>
      <c r="B209" s="117">
        <v>9163</v>
      </c>
      <c r="C209" s="117">
        <v>8144</v>
      </c>
      <c r="D209" s="117">
        <v>17307</v>
      </c>
      <c r="E209" s="117">
        <v>2292</v>
      </c>
      <c r="F209" s="117">
        <v>19599</v>
      </c>
      <c r="G209" s="117">
        <v>4998</v>
      </c>
      <c r="H209" s="117">
        <v>24597</v>
      </c>
      <c r="I209" s="117">
        <v>393</v>
      </c>
      <c r="J209" s="20"/>
      <c r="K209" s="1"/>
      <c r="L209" s="1"/>
      <c r="M209" s="89">
        <v>42644</v>
      </c>
      <c r="N209" s="114">
        <f>'Reserve Bank'!B209-'Check RB Past'!B209</f>
        <v>0</v>
      </c>
      <c r="O209" s="114">
        <f>'Reserve Bank'!C209-'Check RB Past'!C209</f>
        <v>0</v>
      </c>
      <c r="P209" s="114">
        <f>'Reserve Bank'!D209-'Check RB Past'!D209</f>
        <v>0</v>
      </c>
      <c r="Q209" s="114">
        <f>'Reserve Bank'!E209-'Check RB Past'!E209</f>
        <v>0</v>
      </c>
      <c r="R209" s="114">
        <f>'Reserve Bank'!F209-'Check RB Past'!F209</f>
        <v>0</v>
      </c>
      <c r="S209" s="114">
        <f>'Reserve Bank'!G209-'Check RB Past'!G209</f>
        <v>0</v>
      </c>
      <c r="T209" s="114">
        <f>'Reserve Bank'!H209-'Check RB Past'!H209</f>
        <v>0</v>
      </c>
      <c r="U209" s="114">
        <f>'Reserve Bank'!I209-'Check RB Past'!I209</f>
        <v>0</v>
      </c>
      <c r="V209" s="1"/>
      <c r="W209" s="1"/>
      <c r="X209" s="1"/>
      <c r="Y209" s="1"/>
      <c r="Z209" s="1"/>
      <c r="AA209" s="1"/>
      <c r="AB209" s="1"/>
      <c r="AC209" s="1"/>
    </row>
    <row r="210" spans="1:29" s="14" customFormat="1" ht="12.75" customHeight="1" x14ac:dyDescent="0.2">
      <c r="A210" s="110">
        <v>42675</v>
      </c>
      <c r="B210" s="117">
        <v>8212</v>
      </c>
      <c r="C210" s="117">
        <v>9191</v>
      </c>
      <c r="D210" s="117">
        <v>17403</v>
      </c>
      <c r="E210" s="117">
        <v>1560</v>
      </c>
      <c r="F210" s="117">
        <v>18963</v>
      </c>
      <c r="G210" s="117">
        <v>4622</v>
      </c>
      <c r="H210" s="117">
        <v>23585</v>
      </c>
      <c r="I210" s="117">
        <v>284</v>
      </c>
      <c r="J210" s="20"/>
      <c r="K210" s="1"/>
      <c r="L210" s="1"/>
      <c r="M210" s="89">
        <v>42675</v>
      </c>
      <c r="N210" s="114">
        <f>'Reserve Bank'!B210-'Check RB Past'!B210</f>
        <v>0</v>
      </c>
      <c r="O210" s="114">
        <f>'Reserve Bank'!C210-'Check RB Past'!C210</f>
        <v>0</v>
      </c>
      <c r="P210" s="114">
        <f>'Reserve Bank'!D210-'Check RB Past'!D210</f>
        <v>0</v>
      </c>
      <c r="Q210" s="114">
        <f>'Reserve Bank'!E210-'Check RB Past'!E210</f>
        <v>0</v>
      </c>
      <c r="R210" s="114">
        <f>'Reserve Bank'!F210-'Check RB Past'!F210</f>
        <v>0</v>
      </c>
      <c r="S210" s="114">
        <f>'Reserve Bank'!G210-'Check RB Past'!G210</f>
        <v>0</v>
      </c>
      <c r="T210" s="114">
        <f>'Reserve Bank'!H210-'Check RB Past'!H210</f>
        <v>0</v>
      </c>
      <c r="U210" s="114">
        <f>'Reserve Bank'!I210-'Check RB Past'!I210</f>
        <v>0</v>
      </c>
      <c r="V210" s="1"/>
      <c r="W210" s="1"/>
      <c r="X210" s="1"/>
      <c r="Y210" s="1"/>
      <c r="Z210" s="1"/>
      <c r="AA210" s="1"/>
      <c r="AB210" s="1"/>
      <c r="AC210" s="1"/>
    </row>
    <row r="211" spans="1:29" s="14" customFormat="1" ht="12.75" customHeight="1" x14ac:dyDescent="0.2">
      <c r="A211" s="110">
        <v>42705</v>
      </c>
      <c r="B211" s="117">
        <v>8463</v>
      </c>
      <c r="C211" s="117">
        <v>11274</v>
      </c>
      <c r="D211" s="117">
        <v>19737</v>
      </c>
      <c r="E211" s="117">
        <v>1814</v>
      </c>
      <c r="F211" s="117">
        <v>21551</v>
      </c>
      <c r="G211" s="117">
        <v>4006</v>
      </c>
      <c r="H211" s="117">
        <v>25557</v>
      </c>
      <c r="I211" s="117">
        <v>94</v>
      </c>
      <c r="J211" s="20"/>
      <c r="K211" s="1"/>
      <c r="L211" s="1"/>
      <c r="M211" s="89">
        <v>42705</v>
      </c>
      <c r="N211" s="114">
        <f>'Reserve Bank'!B211-'Check RB Past'!B211</f>
        <v>0</v>
      </c>
      <c r="O211" s="114">
        <f>'Reserve Bank'!C211-'Check RB Past'!C211</f>
        <v>0</v>
      </c>
      <c r="P211" s="114">
        <f>'Reserve Bank'!D211-'Check RB Past'!D211</f>
        <v>0</v>
      </c>
      <c r="Q211" s="114">
        <f>'Reserve Bank'!E211-'Check RB Past'!E211</f>
        <v>0</v>
      </c>
      <c r="R211" s="114">
        <f>'Reserve Bank'!F211-'Check RB Past'!F211</f>
        <v>0</v>
      </c>
      <c r="S211" s="114">
        <f>'Reserve Bank'!G211-'Check RB Past'!G211</f>
        <v>0</v>
      </c>
      <c r="T211" s="114">
        <f>'Reserve Bank'!H211-'Check RB Past'!H211</f>
        <v>0</v>
      </c>
      <c r="U211" s="114">
        <f>'Reserve Bank'!I211-'Check RB Past'!I211</f>
        <v>0</v>
      </c>
      <c r="V211" s="1"/>
      <c r="W211" s="1"/>
      <c r="X211" s="1"/>
      <c r="Y211" s="1"/>
      <c r="Z211" s="1"/>
      <c r="AA211" s="1"/>
      <c r="AB211" s="1"/>
      <c r="AC211" s="1"/>
    </row>
    <row r="212" spans="1:29" s="14" customFormat="1" ht="12.75" customHeight="1" x14ac:dyDescent="0.2">
      <c r="A212" s="110">
        <v>42736</v>
      </c>
      <c r="B212" s="117">
        <v>7801</v>
      </c>
      <c r="C212" s="117">
        <v>11066</v>
      </c>
      <c r="D212" s="117">
        <v>18867</v>
      </c>
      <c r="E212" s="117">
        <v>2130</v>
      </c>
      <c r="F212" s="117">
        <v>20997</v>
      </c>
      <c r="G212" s="117">
        <v>4671</v>
      </c>
      <c r="H212" s="117">
        <v>25668</v>
      </c>
      <c r="I212" s="117">
        <v>319</v>
      </c>
      <c r="J212" s="20"/>
      <c r="K212" s="1"/>
      <c r="L212" s="1"/>
      <c r="M212" s="89">
        <v>42736</v>
      </c>
      <c r="N212" s="114">
        <f>'Reserve Bank'!B212-'Check RB Past'!B212</f>
        <v>0</v>
      </c>
      <c r="O212" s="114">
        <f>'Reserve Bank'!C212-'Check RB Past'!C212</f>
        <v>0</v>
      </c>
      <c r="P212" s="114">
        <f>'Reserve Bank'!D212-'Check RB Past'!D212</f>
        <v>0</v>
      </c>
      <c r="Q212" s="114">
        <f>'Reserve Bank'!E212-'Check RB Past'!E212</f>
        <v>0</v>
      </c>
      <c r="R212" s="114">
        <f>'Reserve Bank'!F212-'Check RB Past'!F212</f>
        <v>0</v>
      </c>
      <c r="S212" s="114">
        <f>'Reserve Bank'!G212-'Check RB Past'!G212</f>
        <v>0</v>
      </c>
      <c r="T212" s="114">
        <f>'Reserve Bank'!H212-'Check RB Past'!H212</f>
        <v>0</v>
      </c>
      <c r="U212" s="114">
        <f>'Reserve Bank'!I212-'Check RB Past'!I212</f>
        <v>0</v>
      </c>
      <c r="V212" s="1"/>
      <c r="W212" s="1"/>
      <c r="X212" s="1"/>
      <c r="Y212" s="1"/>
      <c r="Z212" s="1"/>
      <c r="AA212" s="1"/>
      <c r="AB212" s="1"/>
      <c r="AC212" s="1"/>
    </row>
    <row r="213" spans="1:29" s="14" customFormat="1" ht="12.75" customHeight="1" x14ac:dyDescent="0.2">
      <c r="A213" s="110">
        <v>42767</v>
      </c>
      <c r="B213" s="117">
        <v>7622</v>
      </c>
      <c r="C213" s="117">
        <v>12382</v>
      </c>
      <c r="D213" s="117">
        <v>20004</v>
      </c>
      <c r="E213" s="117">
        <v>774</v>
      </c>
      <c r="F213" s="117">
        <v>20778</v>
      </c>
      <c r="G213" s="117">
        <v>4888</v>
      </c>
      <c r="H213" s="117">
        <v>25666</v>
      </c>
      <c r="I213" s="117">
        <v>190</v>
      </c>
      <c r="J213" s="20"/>
      <c r="K213" s="1"/>
      <c r="L213" s="1"/>
      <c r="M213" s="89">
        <v>42767</v>
      </c>
      <c r="N213" s="114">
        <f>'Reserve Bank'!B213-'Check RB Past'!B213</f>
        <v>0</v>
      </c>
      <c r="O213" s="114">
        <f>'Reserve Bank'!C213-'Check RB Past'!C213</f>
        <v>0</v>
      </c>
      <c r="P213" s="114">
        <f>'Reserve Bank'!D213-'Check RB Past'!D213</f>
        <v>0</v>
      </c>
      <c r="Q213" s="114">
        <f>'Reserve Bank'!E213-'Check RB Past'!E213</f>
        <v>0</v>
      </c>
      <c r="R213" s="114">
        <f>'Reserve Bank'!F213-'Check RB Past'!F213</f>
        <v>0</v>
      </c>
      <c r="S213" s="114">
        <f>'Reserve Bank'!G213-'Check RB Past'!G213</f>
        <v>0</v>
      </c>
      <c r="T213" s="114">
        <f>'Reserve Bank'!H213-'Check RB Past'!H213</f>
        <v>0</v>
      </c>
      <c r="U213" s="114">
        <f>'Reserve Bank'!I213-'Check RB Past'!I213</f>
        <v>0</v>
      </c>
      <c r="V213" s="1"/>
      <c r="W213" s="1"/>
      <c r="X213" s="1"/>
      <c r="Y213" s="1"/>
      <c r="Z213" s="1"/>
      <c r="AA213" s="1"/>
      <c r="AB213" s="1"/>
      <c r="AC213" s="1"/>
    </row>
    <row r="214" spans="1:29" s="14" customFormat="1" ht="12.75" customHeight="1" x14ac:dyDescent="0.2">
      <c r="A214" s="110">
        <v>42795</v>
      </c>
      <c r="B214" s="117">
        <v>8178</v>
      </c>
      <c r="C214" s="117">
        <v>12312</v>
      </c>
      <c r="D214" s="117">
        <v>20490</v>
      </c>
      <c r="E214" s="117">
        <v>500</v>
      </c>
      <c r="F214" s="117">
        <v>20990</v>
      </c>
      <c r="G214" s="117">
        <v>5560</v>
      </c>
      <c r="H214" s="117">
        <v>26550</v>
      </c>
      <c r="I214" s="117">
        <v>91</v>
      </c>
      <c r="J214" s="20"/>
      <c r="K214" s="1"/>
      <c r="L214" s="1"/>
      <c r="M214" s="89">
        <v>42795</v>
      </c>
      <c r="N214" s="114">
        <f>'Reserve Bank'!B214-'Check RB Past'!B214</f>
        <v>0</v>
      </c>
      <c r="O214" s="114">
        <f>'Reserve Bank'!C214-'Check RB Past'!C214</f>
        <v>0</v>
      </c>
      <c r="P214" s="114">
        <f>'Reserve Bank'!D214-'Check RB Past'!D214</f>
        <v>0</v>
      </c>
      <c r="Q214" s="114">
        <f>'Reserve Bank'!E214-'Check RB Past'!E214</f>
        <v>0</v>
      </c>
      <c r="R214" s="114">
        <f>'Reserve Bank'!F214-'Check RB Past'!F214</f>
        <v>0</v>
      </c>
      <c r="S214" s="114">
        <f>'Reserve Bank'!G214-'Check RB Past'!G214</f>
        <v>0</v>
      </c>
      <c r="T214" s="114">
        <f>'Reserve Bank'!H214-'Check RB Past'!H214</f>
        <v>0</v>
      </c>
      <c r="U214" s="114">
        <f>'Reserve Bank'!I214-'Check RB Past'!I214</f>
        <v>0</v>
      </c>
      <c r="V214" s="1"/>
      <c r="W214" s="1"/>
      <c r="X214" s="1"/>
      <c r="Y214" s="1"/>
      <c r="Z214" s="1"/>
      <c r="AA214" s="1"/>
      <c r="AB214" s="1"/>
      <c r="AC214" s="1"/>
    </row>
    <row r="215" spans="1:29" s="14" customFormat="1" ht="12.75" customHeight="1" x14ac:dyDescent="0.2">
      <c r="A215" s="110">
        <v>42826</v>
      </c>
      <c r="B215" s="117">
        <v>8645</v>
      </c>
      <c r="C215" s="117">
        <v>11659</v>
      </c>
      <c r="D215" s="117">
        <v>20304</v>
      </c>
      <c r="E215" s="117">
        <v>302</v>
      </c>
      <c r="F215" s="117">
        <v>20606</v>
      </c>
      <c r="G215" s="117">
        <v>6145</v>
      </c>
      <c r="H215" s="117">
        <v>26751</v>
      </c>
      <c r="I215" s="117">
        <v>31</v>
      </c>
      <c r="J215" s="20"/>
      <c r="K215" s="1"/>
      <c r="L215" s="1"/>
      <c r="M215" s="89">
        <v>42826</v>
      </c>
      <c r="N215" s="114">
        <f>'Reserve Bank'!B215-'Check RB Past'!B215</f>
        <v>0</v>
      </c>
      <c r="O215" s="114">
        <f>'Reserve Bank'!C215-'Check RB Past'!C215</f>
        <v>0</v>
      </c>
      <c r="P215" s="114">
        <f>'Reserve Bank'!D215-'Check RB Past'!D215</f>
        <v>0</v>
      </c>
      <c r="Q215" s="114">
        <f>'Reserve Bank'!E215-'Check RB Past'!E215</f>
        <v>0</v>
      </c>
      <c r="R215" s="114">
        <f>'Reserve Bank'!F215-'Check RB Past'!F215</f>
        <v>0</v>
      </c>
      <c r="S215" s="114">
        <f>'Reserve Bank'!G215-'Check RB Past'!G215</f>
        <v>0</v>
      </c>
      <c r="T215" s="114">
        <f>'Reserve Bank'!H215-'Check RB Past'!H215</f>
        <v>0</v>
      </c>
      <c r="U215" s="114">
        <f>'Reserve Bank'!I215-'Check RB Past'!I215</f>
        <v>0</v>
      </c>
      <c r="V215" s="1"/>
      <c r="W215" s="1"/>
      <c r="X215" s="1"/>
      <c r="Y215" s="1"/>
      <c r="Z215" s="1"/>
      <c r="AA215" s="1"/>
      <c r="AB215" s="1"/>
      <c r="AC215" s="1"/>
    </row>
    <row r="216" spans="1:29" s="14" customFormat="1" ht="12.75" customHeight="1" x14ac:dyDescent="0.2">
      <c r="A216" s="110">
        <v>42856</v>
      </c>
      <c r="B216" s="117">
        <v>9183</v>
      </c>
      <c r="C216" s="117">
        <v>10884</v>
      </c>
      <c r="D216" s="117">
        <v>20067</v>
      </c>
      <c r="E216" s="117">
        <v>277</v>
      </c>
      <c r="F216" s="117">
        <v>20344</v>
      </c>
      <c r="G216" s="117">
        <v>6370</v>
      </c>
      <c r="H216" s="117">
        <v>26714</v>
      </c>
      <c r="I216" s="117">
        <v>221</v>
      </c>
      <c r="J216" s="20"/>
      <c r="K216" s="1"/>
      <c r="L216" s="1"/>
      <c r="M216" s="110">
        <v>42856</v>
      </c>
      <c r="N216" s="114">
        <f>'Reserve Bank'!B216-'Check RB Past'!B216</f>
        <v>0</v>
      </c>
      <c r="O216" s="114">
        <f>'Reserve Bank'!C216-'Check RB Past'!C216</f>
        <v>0</v>
      </c>
      <c r="P216" s="114">
        <f>'Reserve Bank'!D216-'Check RB Past'!D216</f>
        <v>0</v>
      </c>
      <c r="Q216" s="114">
        <f>'Reserve Bank'!E216-'Check RB Past'!E216</f>
        <v>0</v>
      </c>
      <c r="R216" s="114">
        <f>'Reserve Bank'!F216-'Check RB Past'!F216</f>
        <v>0</v>
      </c>
      <c r="S216" s="114">
        <f>'Reserve Bank'!G216-'Check RB Past'!G216</f>
        <v>0</v>
      </c>
      <c r="T216" s="114">
        <f>'Reserve Bank'!H216-'Check RB Past'!H216</f>
        <v>0</v>
      </c>
      <c r="U216" s="114">
        <f>'Reserve Bank'!I216-'Check RB Past'!I216</f>
        <v>0</v>
      </c>
      <c r="V216" s="1"/>
      <c r="W216" s="1"/>
      <c r="X216" s="1"/>
      <c r="Y216" s="1"/>
      <c r="Z216" s="1"/>
      <c r="AA216" s="1"/>
      <c r="AB216" s="1"/>
      <c r="AC216" s="1"/>
    </row>
    <row r="217" spans="1:29" s="14" customFormat="1" ht="12.75" customHeight="1" x14ac:dyDescent="0.2">
      <c r="A217" s="110">
        <v>42887</v>
      </c>
      <c r="B217" s="117">
        <v>9184</v>
      </c>
      <c r="C217" s="117">
        <v>11302</v>
      </c>
      <c r="D217" s="117">
        <v>20486</v>
      </c>
      <c r="E217" s="117">
        <v>582</v>
      </c>
      <c r="F217" s="117">
        <v>21068</v>
      </c>
      <c r="G217" s="117">
        <v>6419</v>
      </c>
      <c r="H217" s="117">
        <v>27487</v>
      </c>
      <c r="I217" s="117">
        <v>384</v>
      </c>
      <c r="J217" s="20"/>
      <c r="K217" s="1"/>
      <c r="L217" s="1"/>
      <c r="M217" s="110">
        <v>42887</v>
      </c>
      <c r="N217" s="114">
        <f>'Reserve Bank'!B217-'Check RB Past'!B217</f>
        <v>0</v>
      </c>
      <c r="O217" s="114">
        <f>'Reserve Bank'!C217-'Check RB Past'!C217</f>
        <v>0</v>
      </c>
      <c r="P217" s="114">
        <f>'Reserve Bank'!D217-'Check RB Past'!D217</f>
        <v>0</v>
      </c>
      <c r="Q217" s="114">
        <f>'Reserve Bank'!E217-'Check RB Past'!E217</f>
        <v>0</v>
      </c>
      <c r="R217" s="114">
        <f>'Reserve Bank'!F217-'Check RB Past'!F217</f>
        <v>0</v>
      </c>
      <c r="S217" s="114">
        <f>'Reserve Bank'!G217-'Check RB Past'!G217</f>
        <v>0</v>
      </c>
      <c r="T217" s="114">
        <f>'Reserve Bank'!H217-'Check RB Past'!H217</f>
        <v>0</v>
      </c>
      <c r="U217" s="114">
        <f>'Reserve Bank'!I217-'Check RB Past'!I217</f>
        <v>0</v>
      </c>
      <c r="V217" s="1"/>
      <c r="W217" s="1"/>
      <c r="X217" s="1"/>
      <c r="Y217" s="1"/>
      <c r="Z217" s="1"/>
      <c r="AA217" s="1"/>
      <c r="AB217" s="1"/>
      <c r="AC217" s="1"/>
    </row>
    <row r="218" spans="1:29" s="14" customFormat="1" ht="12.75" customHeight="1" x14ac:dyDescent="0.2">
      <c r="A218" s="110">
        <v>42917</v>
      </c>
      <c r="B218" s="117">
        <v>7928</v>
      </c>
      <c r="C218" s="117">
        <v>9689</v>
      </c>
      <c r="D218" s="117">
        <v>17617</v>
      </c>
      <c r="E218" s="117">
        <v>607</v>
      </c>
      <c r="F218" s="117">
        <v>18224</v>
      </c>
      <c r="G218" s="117">
        <v>6463</v>
      </c>
      <c r="H218" s="117">
        <v>24687</v>
      </c>
      <c r="I218" s="117">
        <v>449</v>
      </c>
      <c r="J218" s="20"/>
      <c r="K218" s="1"/>
      <c r="L218" s="1"/>
      <c r="M218" s="89">
        <v>42917</v>
      </c>
      <c r="N218" s="114">
        <f>'Reserve Bank'!B218-'Check RB Past'!B218</f>
        <v>0</v>
      </c>
      <c r="O218" s="114">
        <f>'Reserve Bank'!C218-'Check RB Past'!C218</f>
        <v>0</v>
      </c>
      <c r="P218" s="114">
        <f>'Reserve Bank'!D218-'Check RB Past'!D218</f>
        <v>0</v>
      </c>
      <c r="Q218" s="114">
        <f>'Reserve Bank'!E218-'Check RB Past'!E218</f>
        <v>0</v>
      </c>
      <c r="R218" s="114">
        <f>'Reserve Bank'!F218-'Check RB Past'!F218</f>
        <v>0</v>
      </c>
      <c r="S218" s="114">
        <f>'Reserve Bank'!G218-'Check RB Past'!G218</f>
        <v>0</v>
      </c>
      <c r="T218" s="114">
        <f>'Reserve Bank'!H218-'Check RB Past'!H218</f>
        <v>0</v>
      </c>
      <c r="U218" s="114">
        <f>'Reserve Bank'!I218-'Check RB Past'!I218</f>
        <v>0</v>
      </c>
      <c r="V218" s="1"/>
      <c r="W218" s="1"/>
      <c r="X218" s="1"/>
      <c r="Y218" s="1"/>
      <c r="Z218" s="1"/>
      <c r="AA218" s="1"/>
      <c r="AB218" s="1"/>
      <c r="AC218" s="1"/>
    </row>
    <row r="219" spans="1:29" s="14" customFormat="1" ht="12.75" customHeight="1" x14ac:dyDescent="0.2">
      <c r="A219" s="110">
        <v>42948</v>
      </c>
      <c r="B219" s="117">
        <v>10601</v>
      </c>
      <c r="C219" s="117">
        <v>9564</v>
      </c>
      <c r="D219" s="117">
        <v>20165</v>
      </c>
      <c r="E219" s="117">
        <v>542</v>
      </c>
      <c r="F219" s="117">
        <v>20707</v>
      </c>
      <c r="G219" s="117">
        <v>7076</v>
      </c>
      <c r="H219" s="117">
        <v>27783</v>
      </c>
      <c r="I219" s="117">
        <v>164</v>
      </c>
      <c r="J219" s="20"/>
      <c r="K219" s="1"/>
      <c r="L219" s="1"/>
      <c r="M219" s="89">
        <v>42948</v>
      </c>
      <c r="N219" s="114">
        <f>'Reserve Bank'!B219-'Check RB Past'!B219</f>
        <v>0</v>
      </c>
      <c r="O219" s="114">
        <f>'Reserve Bank'!C219-'Check RB Past'!C219</f>
        <v>0</v>
      </c>
      <c r="P219" s="114">
        <f>'Reserve Bank'!D219-'Check RB Past'!D219</f>
        <v>0</v>
      </c>
      <c r="Q219" s="114">
        <f>'Reserve Bank'!E219-'Check RB Past'!E219</f>
        <v>0</v>
      </c>
      <c r="R219" s="114">
        <f>'Reserve Bank'!F219-'Check RB Past'!F219</f>
        <v>0</v>
      </c>
      <c r="S219" s="114">
        <f>'Reserve Bank'!G219-'Check RB Past'!G219</f>
        <v>0</v>
      </c>
      <c r="T219" s="114">
        <f>'Reserve Bank'!H219-'Check RB Past'!H219</f>
        <v>0</v>
      </c>
      <c r="U219" s="114">
        <f>'Reserve Bank'!I219-'Check RB Past'!I219</f>
        <v>0</v>
      </c>
      <c r="V219" s="1"/>
      <c r="W219" s="1"/>
      <c r="X219" s="1"/>
      <c r="Y219" s="1"/>
      <c r="Z219" s="1"/>
      <c r="AA219" s="1"/>
      <c r="AB219" s="1"/>
      <c r="AC219" s="1"/>
    </row>
    <row r="220" spans="1:29" s="14" customFormat="1" ht="12.75" customHeight="1" x14ac:dyDescent="0.2">
      <c r="A220" s="110">
        <v>42979</v>
      </c>
      <c r="B220" s="117">
        <v>9421</v>
      </c>
      <c r="C220" s="117">
        <v>10440</v>
      </c>
      <c r="D220" s="117">
        <v>19861</v>
      </c>
      <c r="E220" s="117">
        <v>1270</v>
      </c>
      <c r="F220" s="117">
        <v>21131</v>
      </c>
      <c r="G220" s="117">
        <v>8318</v>
      </c>
      <c r="H220" s="117">
        <v>29449</v>
      </c>
      <c r="I220" s="117">
        <v>152</v>
      </c>
      <c r="J220" s="20"/>
      <c r="K220" s="1"/>
      <c r="L220" s="1"/>
      <c r="M220" s="89">
        <v>42979</v>
      </c>
      <c r="N220" s="114">
        <f>'Reserve Bank'!B220-'Check RB Past'!B220</f>
        <v>0</v>
      </c>
      <c r="O220" s="114">
        <f>'Reserve Bank'!C220-'Check RB Past'!C220</f>
        <v>0</v>
      </c>
      <c r="P220" s="114">
        <f>'Reserve Bank'!D220-'Check RB Past'!D220</f>
        <v>0</v>
      </c>
      <c r="Q220" s="114">
        <f>'Reserve Bank'!E220-'Check RB Past'!E220</f>
        <v>0</v>
      </c>
      <c r="R220" s="114">
        <f>'Reserve Bank'!F220-'Check RB Past'!F220</f>
        <v>0</v>
      </c>
      <c r="S220" s="114">
        <f>'Reserve Bank'!G220-'Check RB Past'!G220</f>
        <v>0</v>
      </c>
      <c r="T220" s="114">
        <f>'Reserve Bank'!H220-'Check RB Past'!H220</f>
        <v>0</v>
      </c>
      <c r="U220" s="114">
        <f>'Reserve Bank'!I220-'Check RB Past'!I220</f>
        <v>0</v>
      </c>
      <c r="V220" s="1"/>
      <c r="W220" s="1"/>
      <c r="X220" s="1"/>
      <c r="Y220" s="1"/>
      <c r="Z220" s="1"/>
      <c r="AA220" s="1"/>
      <c r="AB220" s="1"/>
      <c r="AC220" s="1"/>
    </row>
    <row r="221" spans="1:29" s="14" customFormat="1" ht="12.75" customHeight="1" x14ac:dyDescent="0.2">
      <c r="A221" s="110">
        <v>43009</v>
      </c>
      <c r="B221" s="117">
        <v>9636</v>
      </c>
      <c r="C221" s="117">
        <v>15851</v>
      </c>
      <c r="D221" s="117">
        <v>25487</v>
      </c>
      <c r="E221" s="117">
        <v>324</v>
      </c>
      <c r="F221" s="117">
        <v>25811</v>
      </c>
      <c r="G221" s="117">
        <v>6974</v>
      </c>
      <c r="H221" s="117">
        <v>32785</v>
      </c>
      <c r="I221" s="117">
        <v>192</v>
      </c>
      <c r="J221" s="20"/>
      <c r="K221" s="1"/>
      <c r="L221" s="1"/>
      <c r="M221" s="89">
        <v>43009</v>
      </c>
      <c r="N221" s="114">
        <f>'Reserve Bank'!B221-'Check RB Past'!B221</f>
        <v>0</v>
      </c>
      <c r="O221" s="114">
        <f>'Reserve Bank'!C221-'Check RB Past'!C221</f>
        <v>0</v>
      </c>
      <c r="P221" s="114">
        <f>'Reserve Bank'!D221-'Check RB Past'!D221</f>
        <v>0</v>
      </c>
      <c r="Q221" s="114">
        <f>'Reserve Bank'!E221-'Check RB Past'!E221</f>
        <v>0</v>
      </c>
      <c r="R221" s="114">
        <f>'Reserve Bank'!F221-'Check RB Past'!F221</f>
        <v>0</v>
      </c>
      <c r="S221" s="114">
        <f>'Reserve Bank'!G221-'Check RB Past'!G221</f>
        <v>0</v>
      </c>
      <c r="T221" s="114">
        <f>'Reserve Bank'!H221-'Check RB Past'!H221</f>
        <v>0</v>
      </c>
      <c r="U221" s="114">
        <f>'Reserve Bank'!I221-'Check RB Past'!I221</f>
        <v>0</v>
      </c>
      <c r="V221" s="1"/>
      <c r="W221" s="1"/>
      <c r="X221" s="1"/>
      <c r="Y221" s="1"/>
      <c r="Z221" s="1"/>
      <c r="AA221" s="1"/>
      <c r="AB221" s="1"/>
      <c r="AC221" s="1"/>
    </row>
    <row r="222" spans="1:29" s="14" customFormat="1" ht="12.75" customHeight="1" x14ac:dyDescent="0.2">
      <c r="A222" s="110">
        <v>43040</v>
      </c>
      <c r="B222" s="117">
        <v>8771</v>
      </c>
      <c r="C222" s="117">
        <v>15713</v>
      </c>
      <c r="D222" s="117">
        <v>24484</v>
      </c>
      <c r="E222" s="117">
        <v>744</v>
      </c>
      <c r="F222" s="117">
        <v>25228</v>
      </c>
      <c r="G222" s="117">
        <v>7286</v>
      </c>
      <c r="H222" s="117">
        <v>32514</v>
      </c>
      <c r="I222" s="117">
        <v>-29</v>
      </c>
      <c r="J222" s="20"/>
      <c r="K222" s="1"/>
      <c r="L222" s="1"/>
      <c r="M222" s="89">
        <v>43040</v>
      </c>
      <c r="N222" s="114">
        <f>'Reserve Bank'!B222-'Check RB Past'!B222</f>
        <v>0</v>
      </c>
      <c r="O222" s="114">
        <f>'Reserve Bank'!C222-'Check RB Past'!C222</f>
        <v>0</v>
      </c>
      <c r="P222" s="114">
        <f>'Reserve Bank'!D222-'Check RB Past'!D222</f>
        <v>0</v>
      </c>
      <c r="Q222" s="114">
        <f>'Reserve Bank'!E222-'Check RB Past'!E222</f>
        <v>0</v>
      </c>
      <c r="R222" s="114">
        <f>'Reserve Bank'!F222-'Check RB Past'!F222</f>
        <v>0</v>
      </c>
      <c r="S222" s="114">
        <f>'Reserve Bank'!G222-'Check RB Past'!G222</f>
        <v>0</v>
      </c>
      <c r="T222" s="114">
        <f>'Reserve Bank'!H222-'Check RB Past'!H222</f>
        <v>0</v>
      </c>
      <c r="U222" s="114">
        <f>'Reserve Bank'!I222-'Check RB Past'!I222</f>
        <v>0</v>
      </c>
      <c r="V222" s="1"/>
      <c r="W222" s="1"/>
      <c r="X222" s="1"/>
      <c r="Y222" s="1"/>
      <c r="Z222" s="1"/>
      <c r="AA222" s="1"/>
      <c r="AB222" s="1"/>
      <c r="AC222" s="1"/>
    </row>
    <row r="223" spans="1:29" s="14" customFormat="1" ht="12.75" customHeight="1" x14ac:dyDescent="0.2">
      <c r="A223" s="110">
        <v>43070</v>
      </c>
      <c r="B223" s="117">
        <v>8398</v>
      </c>
      <c r="C223" s="117">
        <v>15522</v>
      </c>
      <c r="D223" s="117">
        <v>23920</v>
      </c>
      <c r="E223" s="117">
        <v>832</v>
      </c>
      <c r="F223" s="117">
        <v>24752</v>
      </c>
      <c r="G223" s="117">
        <v>4391</v>
      </c>
      <c r="H223" s="117">
        <v>29143</v>
      </c>
      <c r="I223" s="117">
        <v>68</v>
      </c>
      <c r="J223" s="20"/>
      <c r="K223" s="1"/>
      <c r="L223" s="1"/>
      <c r="M223" s="89">
        <v>43070</v>
      </c>
      <c r="N223" s="114">
        <f>'Reserve Bank'!B223-'Check RB Past'!B223</f>
        <v>0</v>
      </c>
      <c r="O223" s="114">
        <f>'Reserve Bank'!C223-'Check RB Past'!C223</f>
        <v>0</v>
      </c>
      <c r="P223" s="114">
        <f>'Reserve Bank'!D223-'Check RB Past'!D223</f>
        <v>0</v>
      </c>
      <c r="Q223" s="114">
        <f>'Reserve Bank'!E223-'Check RB Past'!E223</f>
        <v>0</v>
      </c>
      <c r="R223" s="114">
        <f>'Reserve Bank'!F223-'Check RB Past'!F223</f>
        <v>0</v>
      </c>
      <c r="S223" s="114">
        <f>'Reserve Bank'!G223-'Check RB Past'!G223</f>
        <v>0</v>
      </c>
      <c r="T223" s="114">
        <f>'Reserve Bank'!H223-'Check RB Past'!H223</f>
        <v>0</v>
      </c>
      <c r="U223" s="114">
        <f>'Reserve Bank'!I223-'Check RB Past'!I223</f>
        <v>0</v>
      </c>
      <c r="V223" s="1"/>
      <c r="W223" s="1"/>
      <c r="X223" s="1"/>
      <c r="Y223" s="1"/>
      <c r="Z223" s="1"/>
      <c r="AA223" s="1"/>
      <c r="AB223" s="1"/>
      <c r="AC223" s="1"/>
    </row>
    <row r="224" spans="1:29" s="14" customFormat="1" ht="12.75" customHeight="1" x14ac:dyDescent="0.2">
      <c r="A224" s="110">
        <v>43101</v>
      </c>
      <c r="B224" s="117">
        <v>10817</v>
      </c>
      <c r="C224" s="117">
        <v>12145</v>
      </c>
      <c r="D224" s="117">
        <v>22962</v>
      </c>
      <c r="E224" s="117">
        <v>1999</v>
      </c>
      <c r="F224" s="117">
        <v>24961</v>
      </c>
      <c r="G224" s="117">
        <v>4298</v>
      </c>
      <c r="H224" s="117">
        <v>29259</v>
      </c>
      <c r="I224" s="117">
        <v>249</v>
      </c>
      <c r="J224" s="20"/>
      <c r="K224" s="1"/>
      <c r="L224" s="1"/>
      <c r="M224" s="89">
        <v>43101</v>
      </c>
      <c r="N224" s="114">
        <f>'Reserve Bank'!B224-'Check RB Past'!B224</f>
        <v>0</v>
      </c>
      <c r="O224" s="114">
        <f>'Reserve Bank'!C224-'Check RB Past'!C224</f>
        <v>0</v>
      </c>
      <c r="P224" s="114">
        <f>'Reserve Bank'!D224-'Check RB Past'!D224</f>
        <v>0</v>
      </c>
      <c r="Q224" s="114">
        <f>'Reserve Bank'!E224-'Check RB Past'!E224</f>
        <v>0</v>
      </c>
      <c r="R224" s="114">
        <f>'Reserve Bank'!F224-'Check RB Past'!F224</f>
        <v>0</v>
      </c>
      <c r="S224" s="114">
        <f>'Reserve Bank'!G224-'Check RB Past'!G224</f>
        <v>0</v>
      </c>
      <c r="T224" s="114">
        <f>'Reserve Bank'!H224-'Check RB Past'!H224</f>
        <v>0</v>
      </c>
      <c r="U224" s="114">
        <f>'Reserve Bank'!I224-'Check RB Past'!I224</f>
        <v>0</v>
      </c>
      <c r="V224" s="1"/>
      <c r="W224" s="1"/>
      <c r="X224" s="1"/>
      <c r="Y224" s="1"/>
      <c r="Z224" s="1"/>
      <c r="AA224" s="1"/>
      <c r="AB224" s="1"/>
      <c r="AC224" s="1"/>
    </row>
    <row r="225" spans="1:29" s="14" customFormat="1" ht="12.75" customHeight="1" x14ac:dyDescent="0.2">
      <c r="A225" s="110">
        <v>43132</v>
      </c>
      <c r="B225" s="117">
        <v>11110</v>
      </c>
      <c r="C225" s="117">
        <v>11950</v>
      </c>
      <c r="D225" s="117">
        <v>23060</v>
      </c>
      <c r="E225" s="117">
        <v>1235</v>
      </c>
      <c r="F225" s="117">
        <v>24295</v>
      </c>
      <c r="G225" s="117">
        <v>4355</v>
      </c>
      <c r="H225" s="117">
        <v>28650</v>
      </c>
      <c r="I225" s="117">
        <v>107</v>
      </c>
      <c r="J225" s="20"/>
      <c r="K225" s="1"/>
      <c r="L225" s="1"/>
      <c r="M225" s="89">
        <v>43132</v>
      </c>
      <c r="N225" s="114">
        <f>'Reserve Bank'!B225-'Check RB Past'!B225</f>
        <v>0</v>
      </c>
      <c r="O225" s="114">
        <f>'Reserve Bank'!C225-'Check RB Past'!C225</f>
        <v>0</v>
      </c>
      <c r="P225" s="114">
        <f>'Reserve Bank'!D225-'Check RB Past'!D225</f>
        <v>0</v>
      </c>
      <c r="Q225" s="114">
        <f>'Reserve Bank'!E225-'Check RB Past'!E225</f>
        <v>0</v>
      </c>
      <c r="R225" s="114">
        <f>'Reserve Bank'!F225-'Check RB Past'!F225</f>
        <v>0</v>
      </c>
      <c r="S225" s="114">
        <f>'Reserve Bank'!G225-'Check RB Past'!G225</f>
        <v>0</v>
      </c>
      <c r="T225" s="114">
        <f>'Reserve Bank'!H225-'Check RB Past'!H225</f>
        <v>0</v>
      </c>
      <c r="U225" s="114">
        <f>'Reserve Bank'!I225-'Check RB Past'!I225</f>
        <v>0</v>
      </c>
      <c r="V225" s="1"/>
      <c r="W225" s="1"/>
      <c r="X225" s="1"/>
      <c r="Y225" s="1"/>
      <c r="Z225" s="1"/>
      <c r="AA225" s="1"/>
      <c r="AB225" s="1"/>
      <c r="AC225" s="1"/>
    </row>
    <row r="226" spans="1:29" s="14" customFormat="1" ht="12.75" customHeight="1" x14ac:dyDescent="0.2">
      <c r="A226" s="110">
        <v>43160</v>
      </c>
      <c r="B226" s="117">
        <v>10739</v>
      </c>
      <c r="C226" s="117">
        <v>12784</v>
      </c>
      <c r="D226" s="117">
        <v>23523</v>
      </c>
      <c r="E226" s="117">
        <v>845</v>
      </c>
      <c r="F226" s="117">
        <v>24368</v>
      </c>
      <c r="G226" s="117">
        <v>5769</v>
      </c>
      <c r="H226" s="117">
        <v>30137</v>
      </c>
      <c r="I226" s="117">
        <v>79</v>
      </c>
      <c r="J226" s="20"/>
      <c r="K226" s="1"/>
      <c r="L226" s="1"/>
      <c r="M226" s="89">
        <v>43160</v>
      </c>
      <c r="N226" s="114">
        <f>'Reserve Bank'!B226-'Check RB Past'!B226</f>
        <v>0</v>
      </c>
      <c r="O226" s="114">
        <f>'Reserve Bank'!C226-'Check RB Past'!C226</f>
        <v>0</v>
      </c>
      <c r="P226" s="114">
        <f>'Reserve Bank'!D226-'Check RB Past'!D226</f>
        <v>0</v>
      </c>
      <c r="Q226" s="114">
        <f>'Reserve Bank'!E226-'Check RB Past'!E226</f>
        <v>0</v>
      </c>
      <c r="R226" s="114">
        <f>'Reserve Bank'!F226-'Check RB Past'!F226</f>
        <v>0</v>
      </c>
      <c r="S226" s="114">
        <f>'Reserve Bank'!G226-'Check RB Past'!G226</f>
        <v>0</v>
      </c>
      <c r="T226" s="114">
        <f>'Reserve Bank'!H226-'Check RB Past'!H226</f>
        <v>0</v>
      </c>
      <c r="U226" s="114">
        <f>'Reserve Bank'!I226-'Check RB Past'!I226</f>
        <v>0</v>
      </c>
      <c r="V226" s="1"/>
      <c r="W226" s="1"/>
      <c r="X226" s="1"/>
      <c r="Y226" s="1"/>
      <c r="Z226" s="1"/>
      <c r="AA226" s="1"/>
      <c r="AB226" s="1"/>
      <c r="AC226" s="1"/>
    </row>
    <row r="227" spans="1:29" s="14" customFormat="1" ht="12.75" customHeight="1" x14ac:dyDescent="0.2">
      <c r="A227" s="110">
        <v>43191</v>
      </c>
      <c r="B227" s="117">
        <v>10380</v>
      </c>
      <c r="C227" s="117">
        <v>12435</v>
      </c>
      <c r="D227" s="117">
        <v>22815</v>
      </c>
      <c r="E227" s="117">
        <v>155</v>
      </c>
      <c r="F227" s="117">
        <v>22970</v>
      </c>
      <c r="G227" s="117">
        <v>6182</v>
      </c>
      <c r="H227" s="117">
        <v>29152</v>
      </c>
      <c r="I227" s="117">
        <v>89</v>
      </c>
      <c r="J227" s="20"/>
      <c r="K227" s="1"/>
      <c r="L227" s="1"/>
      <c r="M227" s="110">
        <v>43191</v>
      </c>
      <c r="N227" s="114">
        <f>'Reserve Bank'!B227-'Check RB Past'!B227</f>
        <v>0</v>
      </c>
      <c r="O227" s="114">
        <f>'Reserve Bank'!C227-'Check RB Past'!C227</f>
        <v>0</v>
      </c>
      <c r="P227" s="114">
        <f>'Reserve Bank'!D227-'Check RB Past'!D227</f>
        <v>0</v>
      </c>
      <c r="Q227" s="114">
        <f>'Reserve Bank'!E227-'Check RB Past'!E227</f>
        <v>0</v>
      </c>
      <c r="R227" s="114">
        <f>'Reserve Bank'!F227-'Check RB Past'!F227</f>
        <v>0</v>
      </c>
      <c r="S227" s="114">
        <f>'Reserve Bank'!G227-'Check RB Past'!G227</f>
        <v>0</v>
      </c>
      <c r="T227" s="114">
        <f>'Reserve Bank'!H227-'Check RB Past'!H227</f>
        <v>0</v>
      </c>
      <c r="U227" s="114">
        <f>'Reserve Bank'!I227-'Check RB Past'!I227</f>
        <v>0</v>
      </c>
      <c r="V227" s="1"/>
      <c r="W227" s="1"/>
      <c r="X227" s="1"/>
      <c r="Y227" s="1"/>
      <c r="Z227" s="1"/>
      <c r="AA227" s="1"/>
      <c r="AB227" s="1"/>
      <c r="AC227" s="1"/>
    </row>
    <row r="228" spans="1:29" s="14" customFormat="1" ht="12.75" customHeight="1" x14ac:dyDescent="0.2">
      <c r="A228" s="110">
        <v>43221</v>
      </c>
      <c r="B228" s="117">
        <v>12105</v>
      </c>
      <c r="C228" s="117">
        <v>10839</v>
      </c>
      <c r="D228" s="117">
        <v>22944</v>
      </c>
      <c r="E228" s="117">
        <v>723</v>
      </c>
      <c r="F228" s="117">
        <v>23667</v>
      </c>
      <c r="G228" s="117">
        <v>7073</v>
      </c>
      <c r="H228" s="117">
        <v>30740</v>
      </c>
      <c r="I228" s="117">
        <v>149</v>
      </c>
      <c r="J228" s="20"/>
      <c r="K228" s="1"/>
      <c r="L228" s="1"/>
      <c r="M228" s="110">
        <v>43221</v>
      </c>
      <c r="N228" s="114">
        <f>'Reserve Bank'!B228-'Check RB Past'!B228</f>
        <v>0</v>
      </c>
      <c r="O228" s="114">
        <f>'Reserve Bank'!C228-'Check RB Past'!C228</f>
        <v>0</v>
      </c>
      <c r="P228" s="114">
        <f>'Reserve Bank'!D228-'Check RB Past'!D228</f>
        <v>0</v>
      </c>
      <c r="Q228" s="114">
        <f>'Reserve Bank'!E228-'Check RB Past'!E228</f>
        <v>0</v>
      </c>
      <c r="R228" s="114">
        <f>'Reserve Bank'!F228-'Check RB Past'!F228</f>
        <v>0</v>
      </c>
      <c r="S228" s="114">
        <f>'Reserve Bank'!G228-'Check RB Past'!G228</f>
        <v>0</v>
      </c>
      <c r="T228" s="114">
        <f>'Reserve Bank'!H228-'Check RB Past'!H228</f>
        <v>0</v>
      </c>
      <c r="U228" s="114">
        <f>'Reserve Bank'!I228-'Check RB Past'!I228</f>
        <v>0</v>
      </c>
      <c r="V228" s="1"/>
      <c r="W228" s="1"/>
      <c r="X228" s="1"/>
      <c r="Y228" s="1"/>
      <c r="Z228" s="1"/>
      <c r="AA228" s="1"/>
      <c r="AB228" s="1"/>
      <c r="AC228" s="1"/>
    </row>
    <row r="229" spans="1:29" s="14" customFormat="1" ht="12.75" customHeight="1" x14ac:dyDescent="0.2">
      <c r="A229" s="110">
        <v>43252</v>
      </c>
      <c r="B229" s="117">
        <v>11872</v>
      </c>
      <c r="C229" s="117">
        <v>13250</v>
      </c>
      <c r="D229" s="117">
        <v>25122</v>
      </c>
      <c r="E229" s="117">
        <v>425</v>
      </c>
      <c r="F229" s="117">
        <v>25547</v>
      </c>
      <c r="G229" s="117">
        <v>6693</v>
      </c>
      <c r="H229" s="117">
        <v>32240</v>
      </c>
      <c r="I229" s="117">
        <v>34</v>
      </c>
      <c r="J229" s="20"/>
      <c r="K229" s="1"/>
      <c r="L229" s="1"/>
      <c r="M229" s="110">
        <v>43252</v>
      </c>
      <c r="N229" s="114">
        <f>'Reserve Bank'!B229-'Check RB Past'!B229</f>
        <v>0</v>
      </c>
      <c r="O229" s="114">
        <f>'Reserve Bank'!C229-'Check RB Past'!C229</f>
        <v>0</v>
      </c>
      <c r="P229" s="114">
        <f>'Reserve Bank'!D229-'Check RB Past'!D229</f>
        <v>0</v>
      </c>
      <c r="Q229" s="114">
        <f>'Reserve Bank'!E229-'Check RB Past'!E229</f>
        <v>0</v>
      </c>
      <c r="R229" s="114">
        <f>'Reserve Bank'!F229-'Check RB Past'!F229</f>
        <v>0</v>
      </c>
      <c r="S229" s="114">
        <f>'Reserve Bank'!G229-'Check RB Past'!G229</f>
        <v>0</v>
      </c>
      <c r="T229" s="114">
        <f>'Reserve Bank'!H229-'Check RB Past'!H229</f>
        <v>0</v>
      </c>
      <c r="U229" s="114">
        <f>'Reserve Bank'!I229-'Check RB Past'!I229</f>
        <v>0</v>
      </c>
      <c r="V229" s="1"/>
      <c r="W229" s="1"/>
      <c r="X229" s="1"/>
      <c r="Y229" s="1"/>
      <c r="Z229" s="1"/>
      <c r="AA229" s="1"/>
      <c r="AB229" s="1"/>
      <c r="AC229" s="1"/>
    </row>
    <row r="230" spans="1:29" s="14" customFormat="1" ht="12.75" customHeight="1" x14ac:dyDescent="0.2">
      <c r="A230" s="110">
        <v>43282</v>
      </c>
      <c r="B230" s="117">
        <v>8097</v>
      </c>
      <c r="C230" s="117">
        <v>13979</v>
      </c>
      <c r="D230" s="117">
        <v>22076</v>
      </c>
      <c r="E230" s="117">
        <v>1245</v>
      </c>
      <c r="F230" s="117">
        <v>23321</v>
      </c>
      <c r="G230" s="117">
        <v>6534</v>
      </c>
      <c r="H230" s="117">
        <v>29855</v>
      </c>
      <c r="I230" s="117">
        <v>17</v>
      </c>
      <c r="J230" s="20"/>
      <c r="K230" s="1"/>
      <c r="L230" s="1"/>
      <c r="M230" s="110">
        <v>43282</v>
      </c>
      <c r="N230" s="114">
        <f>'Reserve Bank'!B230-'Check RB Past'!B230</f>
        <v>0</v>
      </c>
      <c r="O230" s="114">
        <f>'Reserve Bank'!C230-'Check RB Past'!C230</f>
        <v>0</v>
      </c>
      <c r="P230" s="114">
        <f>'Reserve Bank'!D230-'Check RB Past'!D230</f>
        <v>0</v>
      </c>
      <c r="Q230" s="114">
        <f>'Reserve Bank'!E230-'Check RB Past'!E230</f>
        <v>0</v>
      </c>
      <c r="R230" s="114">
        <f>'Reserve Bank'!F230-'Check RB Past'!F230</f>
        <v>0</v>
      </c>
      <c r="S230" s="114">
        <f>'Reserve Bank'!G230-'Check RB Past'!G230</f>
        <v>0</v>
      </c>
      <c r="T230" s="114">
        <f>'Reserve Bank'!H230-'Check RB Past'!H230</f>
        <v>0</v>
      </c>
      <c r="U230" s="114">
        <f>'Reserve Bank'!I230-'Check RB Past'!I230</f>
        <v>0</v>
      </c>
      <c r="V230" s="1"/>
      <c r="W230" s="1"/>
      <c r="X230" s="1"/>
      <c r="Y230" s="1"/>
      <c r="Z230" s="1"/>
      <c r="AA230" s="1"/>
      <c r="AB230" s="1"/>
      <c r="AC230" s="1"/>
    </row>
    <row r="231" spans="1:29" s="14" customFormat="1" ht="12.75" customHeight="1" x14ac:dyDescent="0.2">
      <c r="A231" s="110">
        <v>43313</v>
      </c>
      <c r="B231" s="117">
        <v>7905</v>
      </c>
      <c r="C231" s="117">
        <v>15313</v>
      </c>
      <c r="D231" s="117">
        <v>23218</v>
      </c>
      <c r="E231" s="117">
        <v>767</v>
      </c>
      <c r="F231" s="117">
        <v>23985</v>
      </c>
      <c r="G231" s="117">
        <v>7477</v>
      </c>
      <c r="H231" s="117">
        <v>31462</v>
      </c>
      <c r="I231" s="117">
        <v>-71</v>
      </c>
      <c r="J231" s="20"/>
      <c r="K231" s="1"/>
      <c r="L231" s="1"/>
      <c r="M231" s="110">
        <v>43313</v>
      </c>
      <c r="N231" s="114">
        <f>'Reserve Bank'!B231-'Check RB Past'!B231</f>
        <v>0</v>
      </c>
      <c r="O231" s="114">
        <f>'Reserve Bank'!C231-'Check RB Past'!C231</f>
        <v>0</v>
      </c>
      <c r="P231" s="114">
        <f>'Reserve Bank'!D231-'Check RB Past'!D231</f>
        <v>0</v>
      </c>
      <c r="Q231" s="114">
        <f>'Reserve Bank'!E231-'Check RB Past'!E231</f>
        <v>0</v>
      </c>
      <c r="R231" s="114">
        <f>'Reserve Bank'!F231-'Check RB Past'!F231</f>
        <v>0</v>
      </c>
      <c r="S231" s="114">
        <f>'Reserve Bank'!G231-'Check RB Past'!G231</f>
        <v>0</v>
      </c>
      <c r="T231" s="114">
        <f>'Reserve Bank'!H231-'Check RB Past'!H231</f>
        <v>0</v>
      </c>
      <c r="U231" s="114">
        <f>'Reserve Bank'!I231-'Check RB Past'!I231</f>
        <v>0</v>
      </c>
      <c r="V231" s="1"/>
      <c r="W231" s="1"/>
      <c r="X231" s="1"/>
      <c r="Y231" s="1"/>
      <c r="Z231" s="1"/>
      <c r="AA231" s="1"/>
      <c r="AB231" s="1"/>
      <c r="AC231" s="1"/>
    </row>
    <row r="232" spans="1:29" s="14" customFormat="1" ht="12.75" customHeight="1" x14ac:dyDescent="0.2">
      <c r="A232" s="110">
        <v>43344</v>
      </c>
      <c r="B232" s="117">
        <v>8584</v>
      </c>
      <c r="C232" s="117">
        <v>13749</v>
      </c>
      <c r="D232" s="117">
        <v>22333</v>
      </c>
      <c r="E232" s="117">
        <v>703</v>
      </c>
      <c r="F232" s="117">
        <v>23036</v>
      </c>
      <c r="G232" s="117">
        <v>7598</v>
      </c>
      <c r="H232" s="117">
        <v>30634</v>
      </c>
      <c r="I232" s="117">
        <v>-49</v>
      </c>
      <c r="J232" s="20"/>
      <c r="K232" s="1"/>
      <c r="L232" s="1"/>
      <c r="M232" s="110">
        <v>43344</v>
      </c>
      <c r="N232" s="114">
        <f>'Reserve Bank'!B232-'Check RB Past'!B232</f>
        <v>0</v>
      </c>
      <c r="O232" s="114">
        <f>'Reserve Bank'!C232-'Check RB Past'!C232</f>
        <v>0</v>
      </c>
      <c r="P232" s="114">
        <f>'Reserve Bank'!D232-'Check RB Past'!D232</f>
        <v>0</v>
      </c>
      <c r="Q232" s="114">
        <f>'Reserve Bank'!E232-'Check RB Past'!E232</f>
        <v>0</v>
      </c>
      <c r="R232" s="114">
        <f>'Reserve Bank'!F232-'Check RB Past'!F232</f>
        <v>0</v>
      </c>
      <c r="S232" s="114">
        <f>'Reserve Bank'!G232-'Check RB Past'!G232</f>
        <v>0</v>
      </c>
      <c r="T232" s="114">
        <f>'Reserve Bank'!H232-'Check RB Past'!H232</f>
        <v>0</v>
      </c>
      <c r="U232" s="114">
        <f>'Reserve Bank'!I232-'Check RB Past'!I232</f>
        <v>0</v>
      </c>
      <c r="V232" s="1"/>
      <c r="W232" s="1"/>
      <c r="X232" s="1"/>
      <c r="Y232" s="1"/>
      <c r="Z232" s="1"/>
      <c r="AA232" s="1"/>
      <c r="AB232" s="1"/>
      <c r="AC232" s="1"/>
    </row>
    <row r="233" spans="1:29" s="14" customFormat="1" ht="12.75" customHeight="1" x14ac:dyDescent="0.2">
      <c r="A233" s="110">
        <v>43374</v>
      </c>
      <c r="B233" s="117">
        <v>8570</v>
      </c>
      <c r="C233" s="117">
        <v>11860</v>
      </c>
      <c r="D233" s="117">
        <v>20430</v>
      </c>
      <c r="E233" s="117">
        <v>317</v>
      </c>
      <c r="F233" s="117">
        <v>20747</v>
      </c>
      <c r="G233" s="117">
        <v>6898</v>
      </c>
      <c r="H233" s="117">
        <v>27645</v>
      </c>
      <c r="I233" s="117">
        <v>-17</v>
      </c>
      <c r="J233" s="20"/>
      <c r="K233" s="1"/>
      <c r="L233" s="1"/>
      <c r="M233" s="110">
        <v>43374</v>
      </c>
      <c r="N233" s="114">
        <f>'Reserve Bank'!B233-'Check RB Past'!B233</f>
        <v>0</v>
      </c>
      <c r="O233" s="114">
        <f>'Reserve Bank'!C233-'Check RB Past'!C233</f>
        <v>0</v>
      </c>
      <c r="P233" s="114">
        <f>'Reserve Bank'!D233-'Check RB Past'!D233</f>
        <v>0</v>
      </c>
      <c r="Q233" s="114">
        <f>'Reserve Bank'!E233-'Check RB Past'!E233</f>
        <v>0</v>
      </c>
      <c r="R233" s="114">
        <f>'Reserve Bank'!F233-'Check RB Past'!F233</f>
        <v>0</v>
      </c>
      <c r="S233" s="114">
        <f>'Reserve Bank'!G233-'Check RB Past'!G233</f>
        <v>0</v>
      </c>
      <c r="T233" s="114">
        <f>'Reserve Bank'!H233-'Check RB Past'!H233</f>
        <v>0</v>
      </c>
      <c r="U233" s="114">
        <f>'Reserve Bank'!I233-'Check RB Past'!I233</f>
        <v>0</v>
      </c>
      <c r="V233" s="1"/>
      <c r="W233" s="1"/>
      <c r="X233" s="1"/>
      <c r="Y233" s="1"/>
      <c r="Z233" s="1"/>
      <c r="AA233" s="1"/>
      <c r="AB233" s="1"/>
      <c r="AC233" s="1"/>
    </row>
    <row r="234" spans="1:29" s="14" customFormat="1" ht="12.75" customHeight="1" x14ac:dyDescent="0.2">
      <c r="A234" s="110">
        <v>43405</v>
      </c>
      <c r="B234" s="117">
        <v>6830</v>
      </c>
      <c r="C234" s="117">
        <v>13451</v>
      </c>
      <c r="D234" s="117">
        <v>20281</v>
      </c>
      <c r="E234" s="117">
        <v>621</v>
      </c>
      <c r="F234" s="117">
        <v>20902</v>
      </c>
      <c r="G234" s="117">
        <v>5447</v>
      </c>
      <c r="H234" s="117">
        <v>26349</v>
      </c>
      <c r="I234" s="117">
        <v>182</v>
      </c>
      <c r="J234" s="20"/>
      <c r="K234" s="1"/>
      <c r="L234" s="1"/>
      <c r="M234" s="110">
        <v>43405</v>
      </c>
      <c r="N234" s="114">
        <f>'Reserve Bank'!B234-'Check RB Past'!B234</f>
        <v>0</v>
      </c>
      <c r="O234" s="114">
        <f>'Reserve Bank'!C234-'Check RB Past'!C234</f>
        <v>0</v>
      </c>
      <c r="P234" s="114">
        <f>'Reserve Bank'!D234-'Check RB Past'!D234</f>
        <v>0</v>
      </c>
      <c r="Q234" s="114">
        <f>'Reserve Bank'!E234-'Check RB Past'!E234</f>
        <v>0</v>
      </c>
      <c r="R234" s="114">
        <f>'Reserve Bank'!F234-'Check RB Past'!F234</f>
        <v>0</v>
      </c>
      <c r="S234" s="114">
        <f>'Reserve Bank'!G234-'Check RB Past'!G234</f>
        <v>0</v>
      </c>
      <c r="T234" s="114">
        <f>'Reserve Bank'!H234-'Check RB Past'!H234</f>
        <v>0</v>
      </c>
      <c r="U234" s="114">
        <f>'Reserve Bank'!I234-'Check RB Past'!I234</f>
        <v>0</v>
      </c>
      <c r="V234" s="1"/>
      <c r="W234" s="1"/>
      <c r="X234" s="1"/>
      <c r="Y234" s="1"/>
      <c r="Z234" s="1"/>
      <c r="AA234" s="1"/>
      <c r="AB234" s="1"/>
      <c r="AC234" s="1"/>
    </row>
    <row r="235" spans="1:29" s="14" customFormat="1" ht="12.75" customHeight="1" x14ac:dyDescent="0.2">
      <c r="A235" s="110">
        <v>43435</v>
      </c>
      <c r="B235" s="117">
        <v>7698</v>
      </c>
      <c r="C235" s="117">
        <v>14136</v>
      </c>
      <c r="D235" s="117">
        <v>21834</v>
      </c>
      <c r="E235" s="117">
        <v>-361</v>
      </c>
      <c r="F235" s="117">
        <v>21473</v>
      </c>
      <c r="G235" s="117">
        <v>4827</v>
      </c>
      <c r="H235" s="117">
        <v>26300</v>
      </c>
      <c r="I235" s="117">
        <v>235</v>
      </c>
      <c r="J235" s="20"/>
      <c r="K235" s="1"/>
      <c r="L235" s="1"/>
      <c r="M235" s="110">
        <v>43435</v>
      </c>
      <c r="N235" s="114">
        <f>'Reserve Bank'!B235-'Check RB Past'!B235</f>
        <v>0</v>
      </c>
      <c r="O235" s="114">
        <f>'Reserve Bank'!C235-'Check RB Past'!C235</f>
        <v>0</v>
      </c>
      <c r="P235" s="114">
        <f>'Reserve Bank'!D235-'Check RB Past'!D235</f>
        <v>0</v>
      </c>
      <c r="Q235" s="114">
        <f>'Reserve Bank'!E235-'Check RB Past'!E235</f>
        <v>0</v>
      </c>
      <c r="R235" s="114">
        <f>'Reserve Bank'!F235-'Check RB Past'!F235</f>
        <v>0</v>
      </c>
      <c r="S235" s="114">
        <f>'Reserve Bank'!G235-'Check RB Past'!G235</f>
        <v>0</v>
      </c>
      <c r="T235" s="114">
        <f>'Reserve Bank'!H235-'Check RB Past'!H235</f>
        <v>0</v>
      </c>
      <c r="U235" s="114">
        <f>'Reserve Bank'!I235-'Check RB Past'!I235</f>
        <v>0</v>
      </c>
      <c r="V235" s="1"/>
      <c r="W235" s="1"/>
      <c r="X235" s="1"/>
      <c r="Y235" s="1"/>
      <c r="Z235" s="1"/>
      <c r="AA235" s="1"/>
      <c r="AB235" s="1"/>
      <c r="AC235" s="1"/>
    </row>
    <row r="236" spans="1:29" s="14" customFormat="1" ht="12.75" customHeight="1" x14ac:dyDescent="0.2">
      <c r="A236" s="110">
        <v>43466</v>
      </c>
      <c r="B236" s="117">
        <v>9477</v>
      </c>
      <c r="C236" s="117">
        <v>14106</v>
      </c>
      <c r="D236" s="117">
        <v>23583</v>
      </c>
      <c r="E236" s="117">
        <v>1025</v>
      </c>
      <c r="F236" s="117">
        <v>24608</v>
      </c>
      <c r="G236" s="117">
        <v>4926</v>
      </c>
      <c r="H236" s="117">
        <v>29534</v>
      </c>
      <c r="I236" s="117">
        <v>144</v>
      </c>
      <c r="J236" s="20"/>
      <c r="K236" s="1"/>
      <c r="L236" s="1"/>
      <c r="M236" s="110">
        <v>43466</v>
      </c>
      <c r="N236" s="114">
        <f>'Reserve Bank'!B236-'Check RB Past'!B236</f>
        <v>0</v>
      </c>
      <c r="O236" s="114">
        <f>'Reserve Bank'!C236-'Check RB Past'!C236</f>
        <v>0</v>
      </c>
      <c r="P236" s="114">
        <f>'Reserve Bank'!D236-'Check RB Past'!D236</f>
        <v>0</v>
      </c>
      <c r="Q236" s="114">
        <f>'Reserve Bank'!E236-'Check RB Past'!E236</f>
        <v>0</v>
      </c>
      <c r="R236" s="114">
        <f>'Reserve Bank'!F236-'Check RB Past'!F236</f>
        <v>0</v>
      </c>
      <c r="S236" s="114">
        <f>'Reserve Bank'!G236-'Check RB Past'!G236</f>
        <v>0</v>
      </c>
      <c r="T236" s="114">
        <f>'Reserve Bank'!H236-'Check RB Past'!H236</f>
        <v>0</v>
      </c>
      <c r="U236" s="114">
        <f>'Reserve Bank'!I236-'Check RB Past'!I236</f>
        <v>0</v>
      </c>
      <c r="V236" s="1"/>
      <c r="W236" s="1"/>
      <c r="X236" s="1"/>
      <c r="Y236" s="1"/>
      <c r="Z236" s="1"/>
      <c r="AA236" s="1"/>
      <c r="AB236" s="1"/>
      <c r="AC236" s="1"/>
    </row>
    <row r="237" spans="1:29" s="14" customFormat="1" ht="12.75" customHeight="1" x14ac:dyDescent="0.2">
      <c r="A237" s="110">
        <v>43497</v>
      </c>
      <c r="B237" s="117">
        <v>7622</v>
      </c>
      <c r="C237" s="117">
        <v>15156</v>
      </c>
      <c r="D237" s="117">
        <v>22778</v>
      </c>
      <c r="E237" s="117">
        <v>913</v>
      </c>
      <c r="F237" s="117">
        <v>23691</v>
      </c>
      <c r="G237" s="117">
        <v>5095</v>
      </c>
      <c r="H237" s="117">
        <v>28786</v>
      </c>
      <c r="I237" s="117">
        <v>-25</v>
      </c>
      <c r="J237" s="20"/>
      <c r="K237" s="1"/>
      <c r="L237" s="1"/>
      <c r="M237" s="110">
        <v>43497</v>
      </c>
      <c r="N237" s="114">
        <f>'Reserve Bank'!B237-'Check RB Past'!B237</f>
        <v>0</v>
      </c>
      <c r="O237" s="114">
        <f>'Reserve Bank'!C237-'Check RB Past'!C237</f>
        <v>0</v>
      </c>
      <c r="P237" s="114">
        <f>'Reserve Bank'!D237-'Check RB Past'!D237</f>
        <v>0</v>
      </c>
      <c r="Q237" s="114">
        <f>'Reserve Bank'!E237-'Check RB Past'!E237</f>
        <v>0</v>
      </c>
      <c r="R237" s="114">
        <f>'Reserve Bank'!F237-'Check RB Past'!F237</f>
        <v>0</v>
      </c>
      <c r="S237" s="114">
        <f>'Reserve Bank'!G237-'Check RB Past'!G237</f>
        <v>0</v>
      </c>
      <c r="T237" s="114">
        <f>'Reserve Bank'!H237-'Check RB Past'!H237</f>
        <v>0</v>
      </c>
      <c r="U237" s="114">
        <f>'Reserve Bank'!I237-'Check RB Past'!I237</f>
        <v>0</v>
      </c>
      <c r="V237" s="1"/>
      <c r="W237" s="1"/>
      <c r="X237" s="1"/>
      <c r="Y237" s="1"/>
      <c r="Z237" s="1"/>
      <c r="AA237" s="1"/>
      <c r="AB237" s="1"/>
      <c r="AC237" s="1"/>
    </row>
    <row r="238" spans="1:29" s="14" customFormat="1" ht="12.75" customHeight="1" x14ac:dyDescent="0.2">
      <c r="A238" s="110">
        <v>43525</v>
      </c>
      <c r="B238" s="117">
        <v>7619</v>
      </c>
      <c r="C238" s="117">
        <v>13453</v>
      </c>
      <c r="D238" s="117">
        <v>21072</v>
      </c>
      <c r="E238" s="117">
        <v>509</v>
      </c>
      <c r="F238" s="117">
        <v>21581</v>
      </c>
      <c r="G238" s="117">
        <v>6135</v>
      </c>
      <c r="H238" s="117">
        <v>27716</v>
      </c>
      <c r="I238" s="117">
        <v>54</v>
      </c>
      <c r="J238" s="20"/>
      <c r="K238" s="1"/>
      <c r="L238" s="1"/>
      <c r="M238" s="110">
        <v>43525</v>
      </c>
      <c r="N238" s="114">
        <f>'Reserve Bank'!B238-'Check RB Past'!B238</f>
        <v>0</v>
      </c>
      <c r="O238" s="114">
        <f>'Reserve Bank'!C238-'Check RB Past'!C238</f>
        <v>0</v>
      </c>
      <c r="P238" s="114">
        <f>'Reserve Bank'!D238-'Check RB Past'!D238</f>
        <v>0</v>
      </c>
      <c r="Q238" s="114">
        <f>'Reserve Bank'!E238-'Check RB Past'!E238</f>
        <v>0</v>
      </c>
      <c r="R238" s="114">
        <f>'Reserve Bank'!F238-'Check RB Past'!F238</f>
        <v>0</v>
      </c>
      <c r="S238" s="114">
        <f>'Reserve Bank'!G238-'Check RB Past'!G238</f>
        <v>0</v>
      </c>
      <c r="T238" s="114">
        <f>'Reserve Bank'!H238-'Check RB Past'!H238</f>
        <v>0</v>
      </c>
      <c r="U238" s="114">
        <f>'Reserve Bank'!I238-'Check RB Past'!I238</f>
        <v>0</v>
      </c>
      <c r="V238" s="1"/>
      <c r="W238" s="1"/>
      <c r="X238" s="1"/>
      <c r="Y238" s="1"/>
      <c r="Z238" s="1"/>
      <c r="AA238" s="1"/>
      <c r="AB238" s="1"/>
      <c r="AC238" s="1"/>
    </row>
    <row r="239" spans="1:29" s="14" customFormat="1" ht="12.75" customHeight="1" x14ac:dyDescent="0.2">
      <c r="A239" s="110">
        <v>43585</v>
      </c>
      <c r="B239" s="117">
        <v>7382</v>
      </c>
      <c r="C239" s="117">
        <v>12616</v>
      </c>
      <c r="D239" s="117">
        <v>19998</v>
      </c>
      <c r="E239" s="117">
        <v>1009</v>
      </c>
      <c r="F239" s="117">
        <v>21007</v>
      </c>
      <c r="G239" s="117">
        <v>6185</v>
      </c>
      <c r="H239" s="117">
        <v>27192</v>
      </c>
      <c r="I239" s="117">
        <v>134</v>
      </c>
      <c r="J239" s="20"/>
      <c r="K239" s="1"/>
      <c r="L239" s="1"/>
      <c r="M239" s="110">
        <v>43585</v>
      </c>
      <c r="N239" s="114">
        <f>'Reserve Bank'!B239-'Check RB Past'!B239</f>
        <v>0</v>
      </c>
      <c r="O239" s="114">
        <f>'Reserve Bank'!C239-'Check RB Past'!C239</f>
        <v>0</v>
      </c>
      <c r="P239" s="114">
        <f>'Reserve Bank'!D239-'Check RB Past'!D239</f>
        <v>0</v>
      </c>
      <c r="Q239" s="114">
        <f>'Reserve Bank'!E239-'Check RB Past'!E239</f>
        <v>0</v>
      </c>
      <c r="R239" s="114">
        <f>'Reserve Bank'!F239-'Check RB Past'!F239</f>
        <v>0</v>
      </c>
      <c r="S239" s="114">
        <f>'Reserve Bank'!G239-'Check RB Past'!G239</f>
        <v>0</v>
      </c>
      <c r="T239" s="114">
        <f>'Reserve Bank'!H239-'Check RB Past'!H239</f>
        <v>0</v>
      </c>
      <c r="U239" s="114">
        <f>'Reserve Bank'!I239-'Check RB Past'!I239</f>
        <v>0</v>
      </c>
      <c r="V239" s="1"/>
      <c r="W239" s="1"/>
      <c r="X239" s="1"/>
      <c r="Y239" s="1"/>
      <c r="Z239" s="1"/>
      <c r="AA239" s="1"/>
      <c r="AB239" s="1"/>
      <c r="AC239" s="1"/>
    </row>
    <row r="240" spans="1:29" s="14" customFormat="1" ht="12.75" customHeight="1" x14ac:dyDescent="0.2">
      <c r="A240" s="110">
        <v>43616</v>
      </c>
      <c r="B240" s="117">
        <v>8038</v>
      </c>
      <c r="C240" s="117">
        <v>13239</v>
      </c>
      <c r="D240" s="117">
        <v>21277</v>
      </c>
      <c r="E240" s="117">
        <v>888</v>
      </c>
      <c r="F240" s="117">
        <v>22165</v>
      </c>
      <c r="G240" s="117">
        <v>7064</v>
      </c>
      <c r="H240" s="117">
        <v>29229</v>
      </c>
      <c r="I240" s="117">
        <v>136</v>
      </c>
      <c r="J240" s="20"/>
      <c r="K240" s="1"/>
      <c r="L240" s="1"/>
      <c r="M240" s="110">
        <v>43616</v>
      </c>
      <c r="N240" s="114">
        <f>'Reserve Bank'!B240-'Check RB Past'!B240</f>
        <v>0</v>
      </c>
      <c r="O240" s="114">
        <f>'Reserve Bank'!C240-'Check RB Past'!C240</f>
        <v>0</v>
      </c>
      <c r="P240" s="114">
        <f>'Reserve Bank'!D240-'Check RB Past'!D240</f>
        <v>0</v>
      </c>
      <c r="Q240" s="114">
        <f>'Reserve Bank'!E240-'Check RB Past'!E240</f>
        <v>0</v>
      </c>
      <c r="R240" s="114">
        <f>'Reserve Bank'!F240-'Check RB Past'!F240</f>
        <v>0</v>
      </c>
      <c r="S240" s="114">
        <f>'Reserve Bank'!G240-'Check RB Past'!G240</f>
        <v>0</v>
      </c>
      <c r="T240" s="114">
        <f>'Reserve Bank'!H240-'Check RB Past'!H240</f>
        <v>0</v>
      </c>
      <c r="U240" s="114">
        <f>'Reserve Bank'!I240-'Check RB Past'!I240</f>
        <v>0</v>
      </c>
      <c r="V240" s="1"/>
      <c r="W240" s="1"/>
      <c r="X240" s="1"/>
      <c r="Y240" s="1"/>
      <c r="Z240" s="1"/>
      <c r="AA240" s="1"/>
      <c r="AB240" s="1"/>
      <c r="AC240" s="1"/>
    </row>
    <row r="241" spans="1:29" s="14" customFormat="1" ht="12.75" customHeight="1" x14ac:dyDescent="0.2">
      <c r="A241" s="110">
        <v>43646</v>
      </c>
      <c r="B241" s="117">
        <v>7256</v>
      </c>
      <c r="C241" s="117">
        <v>13590</v>
      </c>
      <c r="D241" s="117">
        <v>20846</v>
      </c>
      <c r="E241" s="117">
        <v>944</v>
      </c>
      <c r="F241" s="117">
        <v>21790</v>
      </c>
      <c r="G241" s="117">
        <v>7478</v>
      </c>
      <c r="H241" s="117">
        <v>29268</v>
      </c>
      <c r="I241" s="117">
        <v>197</v>
      </c>
      <c r="J241" s="20"/>
      <c r="K241" s="1"/>
      <c r="L241" s="1"/>
      <c r="M241" s="110">
        <v>43646</v>
      </c>
      <c r="N241" s="114">
        <f>'Reserve Bank'!B241-'Check RB Past'!B241</f>
        <v>0</v>
      </c>
      <c r="O241" s="114">
        <f>'Reserve Bank'!C241-'Check RB Past'!C241</f>
        <v>0</v>
      </c>
      <c r="P241" s="114">
        <f>'Reserve Bank'!D241-'Check RB Past'!D241</f>
        <v>0</v>
      </c>
      <c r="Q241" s="114">
        <f>'Reserve Bank'!E241-'Check RB Past'!E241</f>
        <v>0</v>
      </c>
      <c r="R241" s="114">
        <f>'Reserve Bank'!F241-'Check RB Past'!F241</f>
        <v>0</v>
      </c>
      <c r="S241" s="114">
        <f>'Reserve Bank'!G241-'Check RB Past'!G241</f>
        <v>0</v>
      </c>
      <c r="T241" s="114">
        <f>'Reserve Bank'!H241-'Check RB Past'!H241</f>
        <v>0</v>
      </c>
      <c r="U241" s="114">
        <f>'Reserve Bank'!I241-'Check RB Past'!I241</f>
        <v>0</v>
      </c>
      <c r="V241" s="1"/>
      <c r="W241" s="1"/>
      <c r="X241" s="1"/>
      <c r="Y241" s="1"/>
      <c r="Z241" s="1"/>
      <c r="AA241" s="1"/>
      <c r="AB241" s="1"/>
      <c r="AC241" s="1"/>
    </row>
    <row r="242" spans="1:29" s="14" customFormat="1" ht="12.75" customHeight="1" x14ac:dyDescent="0.2">
      <c r="A242" s="110">
        <v>43677</v>
      </c>
      <c r="B242" s="117">
        <v>6349</v>
      </c>
      <c r="C242" s="117">
        <v>12590</v>
      </c>
      <c r="D242" s="117">
        <v>18939</v>
      </c>
      <c r="E242" s="117">
        <v>898</v>
      </c>
      <c r="F242" s="117">
        <v>19837</v>
      </c>
      <c r="G242" s="117">
        <v>7091</v>
      </c>
      <c r="H242" s="117">
        <v>26928</v>
      </c>
      <c r="I242" s="117">
        <v>-4</v>
      </c>
      <c r="J242" s="20"/>
      <c r="K242" s="1"/>
      <c r="L242" s="1"/>
      <c r="M242" s="110">
        <v>43647</v>
      </c>
      <c r="N242" s="114">
        <f>'Reserve Bank'!B242-'Check RB Past'!B242</f>
        <v>0</v>
      </c>
      <c r="O242" s="114">
        <f>'Reserve Bank'!C242-'Check RB Past'!C242</f>
        <v>0</v>
      </c>
      <c r="P242" s="114">
        <f>'Reserve Bank'!D242-'Check RB Past'!D242</f>
        <v>0</v>
      </c>
      <c r="Q242" s="114">
        <f>'Reserve Bank'!E242-'Check RB Past'!E242</f>
        <v>0</v>
      </c>
      <c r="R242" s="114">
        <f>'Reserve Bank'!F242-'Check RB Past'!F242</f>
        <v>0</v>
      </c>
      <c r="S242" s="114">
        <f>'Reserve Bank'!G242-'Check RB Past'!G242</f>
        <v>0</v>
      </c>
      <c r="T242" s="114">
        <f>'Reserve Bank'!H242-'Check RB Past'!H242</f>
        <v>0</v>
      </c>
      <c r="U242" s="114">
        <f>'Reserve Bank'!I242-'Check RB Past'!I242</f>
        <v>0</v>
      </c>
      <c r="V242" s="1"/>
      <c r="W242" s="1"/>
      <c r="X242" s="1"/>
      <c r="Y242" s="1"/>
      <c r="Z242" s="1"/>
      <c r="AA242" s="1"/>
      <c r="AB242" s="1"/>
      <c r="AC242" s="1"/>
    </row>
    <row r="243" spans="1:29" s="14" customFormat="1" ht="12.75" customHeight="1" x14ac:dyDescent="0.2">
      <c r="A243" s="110">
        <v>43708</v>
      </c>
      <c r="B243" s="117">
        <v>6786</v>
      </c>
      <c r="C243" s="117">
        <v>11469</v>
      </c>
      <c r="D243" s="117">
        <v>18255</v>
      </c>
      <c r="E243" s="117">
        <v>1480</v>
      </c>
      <c r="F243" s="117">
        <v>19735</v>
      </c>
      <c r="G243" s="117">
        <v>7873</v>
      </c>
      <c r="H243" s="117">
        <v>27608</v>
      </c>
      <c r="I243" s="117">
        <v>220</v>
      </c>
      <c r="J243" s="20"/>
      <c r="K243" s="1"/>
      <c r="L243" s="1"/>
      <c r="M243" s="110">
        <v>43678</v>
      </c>
      <c r="N243" s="114">
        <f>'Reserve Bank'!B243-'Check RB Past'!B243</f>
        <v>0</v>
      </c>
      <c r="O243" s="114">
        <f>'Reserve Bank'!C243-'Check RB Past'!C243</f>
        <v>0</v>
      </c>
      <c r="P243" s="114">
        <f>'Reserve Bank'!D243-'Check RB Past'!D243</f>
        <v>0</v>
      </c>
      <c r="Q243" s="114">
        <f>'Reserve Bank'!E243-'Check RB Past'!E243</f>
        <v>0</v>
      </c>
      <c r="R243" s="114">
        <f>'Reserve Bank'!F243-'Check RB Past'!F243</f>
        <v>0</v>
      </c>
      <c r="S243" s="114">
        <f>'Reserve Bank'!G243-'Check RB Past'!G243</f>
        <v>0</v>
      </c>
      <c r="T243" s="114">
        <f>'Reserve Bank'!H243-'Check RB Past'!H243</f>
        <v>0</v>
      </c>
      <c r="U243" s="114">
        <f>'Reserve Bank'!I243-'Check RB Past'!I243</f>
        <v>0</v>
      </c>
      <c r="V243" s="1"/>
      <c r="W243" s="1"/>
      <c r="X243" s="1"/>
      <c r="Y243" s="1"/>
      <c r="Z243" s="1"/>
      <c r="AA243" s="1"/>
      <c r="AB243" s="1"/>
      <c r="AC243" s="1"/>
    </row>
    <row r="244" spans="1:29" s="14" customFormat="1" ht="12.75" customHeight="1" x14ac:dyDescent="0.2">
      <c r="A244" s="110">
        <v>43738</v>
      </c>
      <c r="B244" s="117">
        <v>7031</v>
      </c>
      <c r="C244" s="117">
        <v>13255</v>
      </c>
      <c r="D244" s="117">
        <v>20286</v>
      </c>
      <c r="E244" s="117">
        <v>448</v>
      </c>
      <c r="F244" s="117">
        <v>20734</v>
      </c>
      <c r="G244" s="117">
        <v>8588</v>
      </c>
      <c r="H244" s="117">
        <v>29322</v>
      </c>
      <c r="I244" s="117">
        <v>-5</v>
      </c>
      <c r="J244" s="20"/>
      <c r="K244" s="1"/>
      <c r="L244" s="1"/>
      <c r="M244" s="110">
        <v>43709</v>
      </c>
      <c r="N244" s="114">
        <f>'Reserve Bank'!B244-'Check RB Past'!B244</f>
        <v>0</v>
      </c>
      <c r="O244" s="114">
        <f>'Reserve Bank'!C244-'Check RB Past'!C244</f>
        <v>0</v>
      </c>
      <c r="P244" s="114">
        <f>'Reserve Bank'!D244-'Check RB Past'!D244</f>
        <v>0</v>
      </c>
      <c r="Q244" s="114">
        <f>'Reserve Bank'!E244-'Check RB Past'!E244</f>
        <v>0</v>
      </c>
      <c r="R244" s="114">
        <f>'Reserve Bank'!F244-'Check RB Past'!F244</f>
        <v>0</v>
      </c>
      <c r="S244" s="114">
        <f>'Reserve Bank'!G244-'Check RB Past'!G244</f>
        <v>0</v>
      </c>
      <c r="T244" s="114">
        <f>'Reserve Bank'!H244-'Check RB Past'!H244</f>
        <v>0</v>
      </c>
      <c r="U244" s="114">
        <f>'Reserve Bank'!I244-'Check RB Past'!I244</f>
        <v>0</v>
      </c>
      <c r="V244" s="1"/>
      <c r="W244" s="1"/>
      <c r="X244" s="1"/>
      <c r="Y244" s="1"/>
      <c r="Z244" s="1"/>
      <c r="AA244" s="1"/>
      <c r="AB244" s="1"/>
      <c r="AC244" s="1"/>
    </row>
    <row r="245" spans="1:29" s="14" customFormat="1" ht="12.75" customHeight="1" x14ac:dyDescent="0.2">
      <c r="A245" s="110">
        <v>43769</v>
      </c>
      <c r="B245" s="117">
        <v>7219</v>
      </c>
      <c r="C245" s="117">
        <v>10870</v>
      </c>
      <c r="D245" s="117">
        <v>18089</v>
      </c>
      <c r="E245" s="117">
        <v>313</v>
      </c>
      <c r="F245" s="117">
        <v>18402</v>
      </c>
      <c r="G245" s="117">
        <v>9012</v>
      </c>
      <c r="H245" s="117">
        <v>27414</v>
      </c>
      <c r="I245" s="117">
        <v>80</v>
      </c>
      <c r="J245" s="20"/>
      <c r="K245" s="1"/>
      <c r="L245" s="1"/>
      <c r="M245" s="110">
        <v>43739</v>
      </c>
      <c r="N245" s="114">
        <f>'Reserve Bank'!B245-'Check RB Past'!B245</f>
        <v>0</v>
      </c>
      <c r="O245" s="114">
        <f>'Reserve Bank'!C245-'Check RB Past'!C245</f>
        <v>0</v>
      </c>
      <c r="P245" s="114">
        <f>'Reserve Bank'!D245-'Check RB Past'!D245</f>
        <v>0</v>
      </c>
      <c r="Q245" s="114">
        <f>'Reserve Bank'!E245-'Check RB Past'!E245</f>
        <v>0</v>
      </c>
      <c r="R245" s="114">
        <f>'Reserve Bank'!F245-'Check RB Past'!F245</f>
        <v>0</v>
      </c>
      <c r="S245" s="114">
        <f>'Reserve Bank'!G245-'Check RB Past'!G245</f>
        <v>0</v>
      </c>
      <c r="T245" s="114">
        <f>'Reserve Bank'!H245-'Check RB Past'!H245</f>
        <v>0</v>
      </c>
      <c r="U245" s="114">
        <f>'Reserve Bank'!I245-'Check RB Past'!I245</f>
        <v>0</v>
      </c>
      <c r="V245" s="1"/>
      <c r="W245" s="1"/>
      <c r="X245" s="1"/>
      <c r="Y245" s="1"/>
      <c r="Z245" s="1"/>
      <c r="AA245" s="1"/>
      <c r="AB245" s="1"/>
      <c r="AC245" s="1"/>
    </row>
    <row r="246" spans="1:29" s="14" customFormat="1" ht="12.75" customHeight="1" x14ac:dyDescent="0.2">
      <c r="A246" s="110">
        <v>43799</v>
      </c>
      <c r="B246" s="117">
        <v>8543</v>
      </c>
      <c r="C246" s="117">
        <v>10604</v>
      </c>
      <c r="D246" s="117">
        <v>19147</v>
      </c>
      <c r="E246" s="117">
        <v>1219</v>
      </c>
      <c r="F246" s="117">
        <v>20366</v>
      </c>
      <c r="G246" s="117">
        <v>8236</v>
      </c>
      <c r="H246" s="117">
        <v>28602</v>
      </c>
      <c r="I246" s="117">
        <v>86</v>
      </c>
      <c r="J246" s="20"/>
      <c r="K246" s="1"/>
      <c r="L246" s="1"/>
      <c r="M246" s="110">
        <v>43799</v>
      </c>
      <c r="N246" s="114">
        <f>'Reserve Bank'!B246-'Check RB Past'!B246</f>
        <v>0</v>
      </c>
      <c r="O246" s="114">
        <f>'Reserve Bank'!C246-'Check RB Past'!C246</f>
        <v>0</v>
      </c>
      <c r="P246" s="114">
        <f>'Reserve Bank'!D246-'Check RB Past'!D246</f>
        <v>0</v>
      </c>
      <c r="Q246" s="114">
        <f>'Reserve Bank'!E246-'Check RB Past'!E246</f>
        <v>0</v>
      </c>
      <c r="R246" s="114">
        <f>'Reserve Bank'!F246-'Check RB Past'!F246</f>
        <v>0</v>
      </c>
      <c r="S246" s="114">
        <f>'Reserve Bank'!G246-'Check RB Past'!G246</f>
        <v>0</v>
      </c>
      <c r="T246" s="114">
        <f>'Reserve Bank'!H246-'Check RB Past'!H246</f>
        <v>0</v>
      </c>
      <c r="U246" s="114">
        <f>'Reserve Bank'!I246-'Check RB Past'!I246</f>
        <v>0</v>
      </c>
      <c r="V246" s="1"/>
      <c r="W246" s="1"/>
      <c r="X246" s="1"/>
      <c r="Y246" s="1"/>
      <c r="Z246" s="1"/>
      <c r="AA246" s="1"/>
      <c r="AB246" s="1"/>
      <c r="AC246" s="1"/>
    </row>
    <row r="247" spans="1:29" s="14" customFormat="1" ht="12.75" customHeight="1" x14ac:dyDescent="0.2">
      <c r="A247" s="110">
        <v>43830</v>
      </c>
      <c r="B247" s="117">
        <v>8281</v>
      </c>
      <c r="C247" s="117">
        <v>10283</v>
      </c>
      <c r="D247" s="117">
        <v>18564</v>
      </c>
      <c r="E247" s="117">
        <v>442</v>
      </c>
      <c r="F247" s="117">
        <v>19006</v>
      </c>
      <c r="G247" s="117">
        <v>7452</v>
      </c>
      <c r="H247" s="117">
        <v>26458</v>
      </c>
      <c r="I247" s="117">
        <v>205</v>
      </c>
      <c r="J247" s="20"/>
      <c r="K247" s="1"/>
      <c r="L247" s="1"/>
      <c r="M247" s="110">
        <v>43830</v>
      </c>
      <c r="N247" s="114">
        <f>'Reserve Bank'!B247-'Check RB Past'!B247</f>
        <v>0</v>
      </c>
      <c r="O247" s="114">
        <f>'Reserve Bank'!C247-'Check RB Past'!C247</f>
        <v>0</v>
      </c>
      <c r="P247" s="114">
        <f>'Reserve Bank'!D247-'Check RB Past'!D247</f>
        <v>0</v>
      </c>
      <c r="Q247" s="114">
        <f>'Reserve Bank'!E247-'Check RB Past'!E247</f>
        <v>0</v>
      </c>
      <c r="R247" s="114">
        <f>'Reserve Bank'!F247-'Check RB Past'!F247</f>
        <v>0</v>
      </c>
      <c r="S247" s="114">
        <f>'Reserve Bank'!G247-'Check RB Past'!G247</f>
        <v>0</v>
      </c>
      <c r="T247" s="114">
        <f>'Reserve Bank'!H247-'Check RB Past'!H247</f>
        <v>0</v>
      </c>
      <c r="U247" s="114">
        <f>'Reserve Bank'!I247-'Check RB Past'!I247</f>
        <v>0</v>
      </c>
      <c r="V247" s="1"/>
      <c r="W247" s="1"/>
      <c r="X247" s="1"/>
      <c r="Y247" s="1"/>
      <c r="Z247" s="1"/>
      <c r="AA247" s="1"/>
      <c r="AB247" s="1"/>
      <c r="AC247" s="1"/>
    </row>
    <row r="248" spans="1:29" s="14" customFormat="1" ht="12.75" customHeight="1" x14ac:dyDescent="0.2">
      <c r="A248" s="110">
        <v>43861</v>
      </c>
      <c r="B248" s="117">
        <v>13151</v>
      </c>
      <c r="C248" s="117">
        <v>9352</v>
      </c>
      <c r="D248" s="117">
        <v>22503</v>
      </c>
      <c r="E248" s="117">
        <v>398</v>
      </c>
      <c r="F248" s="117">
        <v>22901</v>
      </c>
      <c r="G248" s="117">
        <v>7141</v>
      </c>
      <c r="H248" s="117">
        <v>30042</v>
      </c>
      <c r="I248" s="117">
        <v>61</v>
      </c>
      <c r="J248" s="20"/>
      <c r="K248" s="1"/>
      <c r="L248" s="1"/>
      <c r="M248" s="110">
        <v>43861</v>
      </c>
      <c r="N248" s="114">
        <f>'Reserve Bank'!B248-'Check RB Past'!B248</f>
        <v>0</v>
      </c>
      <c r="O248" s="114">
        <f>'Reserve Bank'!C248-'Check RB Past'!C248</f>
        <v>0</v>
      </c>
      <c r="P248" s="114">
        <f>'Reserve Bank'!D248-'Check RB Past'!D248</f>
        <v>0</v>
      </c>
      <c r="Q248" s="114">
        <f>'Reserve Bank'!E248-'Check RB Past'!E248</f>
        <v>0</v>
      </c>
      <c r="R248" s="114">
        <f>'Reserve Bank'!F248-'Check RB Past'!F248</f>
        <v>0</v>
      </c>
      <c r="S248" s="114">
        <f>'Reserve Bank'!G248-'Check RB Past'!G248</f>
        <v>0</v>
      </c>
      <c r="T248" s="114">
        <f>'Reserve Bank'!H248-'Check RB Past'!H248</f>
        <v>0</v>
      </c>
      <c r="U248" s="114">
        <f>'Reserve Bank'!I248-'Check RB Past'!I248</f>
        <v>0</v>
      </c>
      <c r="V248" s="1"/>
      <c r="W248" s="1"/>
      <c r="X248" s="1"/>
      <c r="Y248" s="1"/>
      <c r="Z248" s="1"/>
      <c r="AA248" s="1"/>
      <c r="AB248" s="1"/>
      <c r="AC248" s="1"/>
    </row>
    <row r="249" spans="1:29" s="14" customFormat="1" ht="12.75" customHeight="1" x14ac:dyDescent="0.2">
      <c r="A249" s="110">
        <v>43889</v>
      </c>
      <c r="B249" s="117">
        <v>12728</v>
      </c>
      <c r="C249" s="117">
        <v>10005</v>
      </c>
      <c r="D249" s="117">
        <v>22733</v>
      </c>
      <c r="E249" s="117">
        <v>261</v>
      </c>
      <c r="F249" s="117">
        <v>22994</v>
      </c>
      <c r="G249" s="117">
        <v>8112</v>
      </c>
      <c r="H249" s="117">
        <v>31106</v>
      </c>
      <c r="I249" s="117">
        <v>181</v>
      </c>
      <c r="J249" s="20"/>
      <c r="K249" s="1"/>
      <c r="L249" s="1"/>
      <c r="M249" s="110">
        <v>43889</v>
      </c>
      <c r="N249" s="114">
        <f>'Reserve Bank'!B249-'Check RB Past'!B249</f>
        <v>0</v>
      </c>
      <c r="O249" s="114">
        <f>'Reserve Bank'!C249-'Check RB Past'!C249</f>
        <v>0</v>
      </c>
      <c r="P249" s="114">
        <f>'Reserve Bank'!D249-'Check RB Past'!D249</f>
        <v>0</v>
      </c>
      <c r="Q249" s="114">
        <f>'Reserve Bank'!E249-'Check RB Past'!E249</f>
        <v>0</v>
      </c>
      <c r="R249" s="114">
        <f>'Reserve Bank'!F249-'Check RB Past'!F249</f>
        <v>0</v>
      </c>
      <c r="S249" s="114">
        <f>'Reserve Bank'!G249-'Check RB Past'!G249</f>
        <v>0</v>
      </c>
      <c r="T249" s="114">
        <f>'Reserve Bank'!H249-'Check RB Past'!H249</f>
        <v>0</v>
      </c>
      <c r="U249" s="114">
        <f>'Reserve Bank'!I249-'Check RB Past'!I249</f>
        <v>0</v>
      </c>
      <c r="V249" s="1"/>
      <c r="W249" s="1"/>
      <c r="X249" s="1"/>
      <c r="Y249" s="1"/>
      <c r="Z249" s="1"/>
      <c r="AA249" s="1"/>
      <c r="AB249" s="1"/>
      <c r="AC249" s="1"/>
    </row>
    <row r="250" spans="1:29" s="14" customFormat="1" ht="12.75" customHeight="1" x14ac:dyDescent="0.2">
      <c r="A250" s="110">
        <v>43921</v>
      </c>
      <c r="B250" s="117">
        <v>11860</v>
      </c>
      <c r="C250" s="117">
        <v>20156</v>
      </c>
      <c r="D250" s="117">
        <v>32016</v>
      </c>
      <c r="E250" s="117">
        <v>-627</v>
      </c>
      <c r="F250" s="117">
        <v>31389</v>
      </c>
      <c r="G250" s="117">
        <v>7777</v>
      </c>
      <c r="H250" s="117">
        <v>39166</v>
      </c>
      <c r="I250" s="117">
        <v>-39</v>
      </c>
      <c r="J250" s="20"/>
      <c r="K250" s="1"/>
      <c r="L250" s="1"/>
      <c r="M250" s="110">
        <v>43921</v>
      </c>
      <c r="N250" s="114">
        <f>'Reserve Bank'!B250-'Check RB Past'!B250</f>
        <v>0</v>
      </c>
      <c r="O250" s="114">
        <f>'Reserve Bank'!C250-'Check RB Past'!C250</f>
        <v>0</v>
      </c>
      <c r="P250" s="114">
        <f>'Reserve Bank'!D250-'Check RB Past'!D250</f>
        <v>0</v>
      </c>
      <c r="Q250" s="114">
        <f>'Reserve Bank'!E250-'Check RB Past'!E250</f>
        <v>0</v>
      </c>
      <c r="R250" s="114">
        <f>'Reserve Bank'!F250-'Check RB Past'!F250</f>
        <v>0</v>
      </c>
      <c r="S250" s="114">
        <f>'Reserve Bank'!G250-'Check RB Past'!G250</f>
        <v>0</v>
      </c>
      <c r="T250" s="114">
        <f>'Reserve Bank'!H250-'Check RB Past'!H250</f>
        <v>0</v>
      </c>
      <c r="U250" s="114">
        <f>'Reserve Bank'!I250-'Check RB Past'!I250</f>
        <v>0</v>
      </c>
      <c r="V250" s="1"/>
      <c r="W250" s="1"/>
      <c r="X250" s="1"/>
      <c r="Y250" s="1"/>
      <c r="Z250" s="1"/>
      <c r="AA250" s="1"/>
      <c r="AB250" s="1"/>
      <c r="AC250" s="1"/>
    </row>
    <row r="251" spans="1:29" s="14" customFormat="1" ht="12.75" customHeight="1" x14ac:dyDescent="0.2">
      <c r="A251" s="110">
        <v>43951</v>
      </c>
      <c r="B251" s="117">
        <v>13976</v>
      </c>
      <c r="C251" s="117">
        <v>14329</v>
      </c>
      <c r="D251" s="117">
        <v>28305</v>
      </c>
      <c r="E251" s="117">
        <v>-119</v>
      </c>
      <c r="F251" s="117">
        <v>28186</v>
      </c>
      <c r="G251" s="117">
        <v>5086</v>
      </c>
      <c r="H251" s="117">
        <v>33272</v>
      </c>
      <c r="I251" s="117">
        <v>67</v>
      </c>
      <c r="J251" s="20"/>
      <c r="K251" s="1"/>
      <c r="L251" s="1"/>
      <c r="M251" s="110">
        <v>43951</v>
      </c>
      <c r="N251" s="114">
        <f>'Reserve Bank'!B251-'Check RB Past'!B251</f>
        <v>0</v>
      </c>
      <c r="O251" s="114">
        <f>'Reserve Bank'!C251-'Check RB Past'!C251</f>
        <v>0</v>
      </c>
      <c r="P251" s="114">
        <f>'Reserve Bank'!D251-'Check RB Past'!D251</f>
        <v>0</v>
      </c>
      <c r="Q251" s="114">
        <f>'Reserve Bank'!E251-'Check RB Past'!E251</f>
        <v>0</v>
      </c>
      <c r="R251" s="114">
        <f>'Reserve Bank'!F251-'Check RB Past'!F251</f>
        <v>0</v>
      </c>
      <c r="S251" s="114">
        <f>'Reserve Bank'!G251-'Check RB Past'!G251</f>
        <v>0</v>
      </c>
      <c r="T251" s="114">
        <f>'Reserve Bank'!H251-'Check RB Past'!H251</f>
        <v>0</v>
      </c>
      <c r="U251" s="114">
        <f>'Reserve Bank'!I251-'Check RB Past'!I251</f>
        <v>0</v>
      </c>
      <c r="V251" s="1"/>
      <c r="W251" s="1"/>
      <c r="X251" s="1"/>
      <c r="Y251" s="1"/>
      <c r="Z251" s="1"/>
      <c r="AA251" s="1"/>
      <c r="AB251" s="1"/>
      <c r="AC251" s="1"/>
    </row>
    <row r="252" spans="1:29" s="14" customFormat="1" ht="12.75" customHeight="1" x14ac:dyDescent="0.2">
      <c r="A252" s="110">
        <v>43982</v>
      </c>
      <c r="B252" s="117">
        <v>12891</v>
      </c>
      <c r="C252" s="117">
        <v>11683</v>
      </c>
      <c r="D252" s="117">
        <v>24574</v>
      </c>
      <c r="E252" s="117">
        <v>256</v>
      </c>
      <c r="F252" s="117">
        <v>24830</v>
      </c>
      <c r="G252" s="117">
        <v>6362</v>
      </c>
      <c r="H252" s="117">
        <v>31192</v>
      </c>
      <c r="I252" s="117">
        <v>61</v>
      </c>
      <c r="J252" s="20"/>
      <c r="K252" s="1"/>
      <c r="L252" s="1"/>
      <c r="M252" s="110">
        <v>43982</v>
      </c>
      <c r="N252" s="114">
        <f>'Reserve Bank'!B252-'Check RB Past'!B252</f>
        <v>0</v>
      </c>
      <c r="O252" s="114">
        <f>'Reserve Bank'!C252-'Check RB Past'!C252</f>
        <v>0</v>
      </c>
      <c r="P252" s="114">
        <f>'Reserve Bank'!D252-'Check RB Past'!D252</f>
        <v>0</v>
      </c>
      <c r="Q252" s="114">
        <f>'Reserve Bank'!E252-'Check RB Past'!E252</f>
        <v>0</v>
      </c>
      <c r="R252" s="114">
        <f>'Reserve Bank'!F252-'Check RB Past'!F252</f>
        <v>0</v>
      </c>
      <c r="S252" s="114">
        <f>'Reserve Bank'!G252-'Check RB Past'!G252</f>
        <v>0</v>
      </c>
      <c r="T252" s="114">
        <f>'Reserve Bank'!H252-'Check RB Past'!H252</f>
        <v>0</v>
      </c>
      <c r="U252" s="114">
        <f>'Reserve Bank'!I252-'Check RB Past'!I252</f>
        <v>0</v>
      </c>
      <c r="V252" s="1"/>
      <c r="W252" s="1"/>
      <c r="X252" s="1"/>
      <c r="Y252" s="1"/>
      <c r="Z252" s="1"/>
      <c r="AA252" s="1"/>
      <c r="AB252" s="1"/>
      <c r="AC252" s="1"/>
    </row>
    <row r="253" spans="1:29" s="14" customFormat="1" ht="12.75" customHeight="1" x14ac:dyDescent="0.2">
      <c r="A253" s="110">
        <v>44012</v>
      </c>
      <c r="B253" s="117">
        <v>15037</v>
      </c>
      <c r="C253" s="117">
        <v>9491</v>
      </c>
      <c r="D253" s="117">
        <v>24528</v>
      </c>
      <c r="E253" s="117">
        <v>346</v>
      </c>
      <c r="F253" s="117">
        <v>24874</v>
      </c>
      <c r="G253" s="117">
        <v>8074</v>
      </c>
      <c r="H253" s="117">
        <v>32948</v>
      </c>
      <c r="I253" s="117">
        <v>-14</v>
      </c>
      <c r="J253" s="20"/>
      <c r="K253" s="1"/>
      <c r="L253" s="1"/>
      <c r="M253" s="110">
        <v>44012</v>
      </c>
      <c r="N253" s="114">
        <f>'Reserve Bank'!B253-'Check RB Past'!B253</f>
        <v>0</v>
      </c>
      <c r="O253" s="114">
        <f>'Reserve Bank'!C253-'Check RB Past'!C253</f>
        <v>0</v>
      </c>
      <c r="P253" s="114">
        <f>'Reserve Bank'!D253-'Check RB Past'!D253</f>
        <v>0</v>
      </c>
      <c r="Q253" s="114">
        <f>'Reserve Bank'!E253-'Check RB Past'!E253</f>
        <v>0</v>
      </c>
      <c r="R253" s="114">
        <f>'Reserve Bank'!F253-'Check RB Past'!F253</f>
        <v>0</v>
      </c>
      <c r="S253" s="114">
        <f>'Reserve Bank'!G253-'Check RB Past'!G253</f>
        <v>0</v>
      </c>
      <c r="T253" s="114">
        <f>'Reserve Bank'!H253-'Check RB Past'!H253</f>
        <v>0</v>
      </c>
      <c r="U253" s="114">
        <f>'Reserve Bank'!I253-'Check RB Past'!I253</f>
        <v>0</v>
      </c>
      <c r="V253" s="1"/>
      <c r="W253" s="1"/>
      <c r="X253" s="1"/>
      <c r="Y253" s="1"/>
      <c r="Z253" s="1"/>
      <c r="AA253" s="1"/>
      <c r="AB253" s="1"/>
      <c r="AC253" s="1"/>
    </row>
    <row r="254" spans="1:29" s="14" customFormat="1" ht="12.75" customHeight="1" x14ac:dyDescent="0.2">
      <c r="A254" s="110">
        <v>44043</v>
      </c>
      <c r="B254" s="117">
        <v>11989</v>
      </c>
      <c r="C254" s="117">
        <v>8571</v>
      </c>
      <c r="D254" s="117">
        <v>20560</v>
      </c>
      <c r="E254" s="117">
        <v>218</v>
      </c>
      <c r="F254" s="117">
        <v>20778</v>
      </c>
      <c r="G254" s="117">
        <v>7842</v>
      </c>
      <c r="H254" s="117">
        <v>28620</v>
      </c>
      <c r="I254" s="117">
        <v>167</v>
      </c>
      <c r="J254" s="20"/>
      <c r="K254" s="1"/>
      <c r="L254" s="1"/>
      <c r="M254" s="110">
        <v>44042</v>
      </c>
      <c r="N254" s="114">
        <f>'Reserve Bank'!B254-'Check RB Past'!B254</f>
        <v>0</v>
      </c>
      <c r="O254" s="114">
        <f>'Reserve Bank'!C254-'Check RB Past'!C254</f>
        <v>0</v>
      </c>
      <c r="P254" s="114">
        <f>'Reserve Bank'!D254-'Check RB Past'!D254</f>
        <v>0</v>
      </c>
      <c r="Q254" s="114">
        <f>'Reserve Bank'!E254-'Check RB Past'!E254</f>
        <v>0</v>
      </c>
      <c r="R254" s="114">
        <f>'Reserve Bank'!F254-'Check RB Past'!F254</f>
        <v>0</v>
      </c>
      <c r="S254" s="114">
        <f>'Reserve Bank'!G254-'Check RB Past'!G254</f>
        <v>0</v>
      </c>
      <c r="T254" s="114">
        <f>'Reserve Bank'!H254-'Check RB Past'!H254</f>
        <v>0</v>
      </c>
      <c r="U254" s="114">
        <f>'Reserve Bank'!I254-'Check RB Past'!I254</f>
        <v>0</v>
      </c>
      <c r="V254" s="1"/>
      <c r="W254" s="1"/>
      <c r="X254" s="1"/>
      <c r="Y254" s="1"/>
      <c r="Z254" s="1"/>
      <c r="AA254" s="1"/>
      <c r="AB254" s="1"/>
      <c r="AC254" s="1"/>
    </row>
    <row r="255" spans="1:29" s="14" customFormat="1" ht="12.75" customHeight="1" x14ac:dyDescent="0.2">
      <c r="A255" s="110">
        <v>44074</v>
      </c>
      <c r="B255" s="117">
        <v>10048</v>
      </c>
      <c r="C255" s="117">
        <v>4851</v>
      </c>
      <c r="D255" s="117">
        <v>14899</v>
      </c>
      <c r="E255" s="117">
        <v>961</v>
      </c>
      <c r="F255" s="117">
        <v>15860</v>
      </c>
      <c r="G255" s="117">
        <v>8543</v>
      </c>
      <c r="H255" s="117">
        <v>24403</v>
      </c>
      <c r="I255" s="117">
        <v>283</v>
      </c>
      <c r="J255" s="20"/>
      <c r="K255" s="1"/>
      <c r="L255" s="1"/>
      <c r="M255" s="110">
        <v>44074</v>
      </c>
      <c r="N255" s="114">
        <f>'Reserve Bank'!B255-'Check RB Past'!B255</f>
        <v>0</v>
      </c>
      <c r="O255" s="114">
        <f>'Reserve Bank'!C255-'Check RB Past'!C255</f>
        <v>0</v>
      </c>
      <c r="P255" s="114">
        <f>'Reserve Bank'!D255-'Check RB Past'!D255</f>
        <v>0</v>
      </c>
      <c r="Q255" s="114">
        <f>'Reserve Bank'!E255-'Check RB Past'!E255</f>
        <v>0</v>
      </c>
      <c r="R255" s="114">
        <f>'Reserve Bank'!F255-'Check RB Past'!F255</f>
        <v>0</v>
      </c>
      <c r="S255" s="114">
        <f>'Reserve Bank'!G255-'Check RB Past'!G255</f>
        <v>0</v>
      </c>
      <c r="T255" s="114">
        <f>'Reserve Bank'!H255-'Check RB Past'!H255</f>
        <v>0</v>
      </c>
      <c r="U255" s="114">
        <f>'Reserve Bank'!I255-'Check RB Past'!I255</f>
        <v>0</v>
      </c>
      <c r="V255" s="1"/>
      <c r="W255" s="1"/>
      <c r="X255" s="1"/>
      <c r="Y255" s="1"/>
      <c r="Z255" s="1"/>
      <c r="AA255" s="1"/>
      <c r="AB255" s="1"/>
      <c r="AC255" s="1"/>
    </row>
    <row r="256" spans="1:29" s="14" customFormat="1" ht="12.75" customHeight="1" x14ac:dyDescent="0.2">
      <c r="A256" s="110">
        <v>44104</v>
      </c>
      <c r="B256" s="117">
        <v>9553</v>
      </c>
      <c r="C256" s="117">
        <v>2090</v>
      </c>
      <c r="D256" s="117">
        <v>11643</v>
      </c>
      <c r="E256" s="117">
        <v>214</v>
      </c>
      <c r="F256" s="117">
        <v>11857</v>
      </c>
      <c r="G256" s="117">
        <v>9807</v>
      </c>
      <c r="H256" s="117">
        <v>21664</v>
      </c>
      <c r="I256" s="117">
        <v>179</v>
      </c>
      <c r="J256" s="20"/>
      <c r="K256" s="1"/>
      <c r="L256" s="1"/>
      <c r="M256" s="110">
        <v>44104</v>
      </c>
      <c r="N256" s="114">
        <f>'Reserve Bank'!B256-'Check RB Past'!B256</f>
        <v>0</v>
      </c>
      <c r="O256" s="114">
        <f>'Reserve Bank'!C256-'Check RB Past'!C256</f>
        <v>0</v>
      </c>
      <c r="P256" s="114">
        <f>'Reserve Bank'!D256-'Check RB Past'!D256</f>
        <v>0</v>
      </c>
      <c r="Q256" s="114">
        <f>'Reserve Bank'!E256-'Check RB Past'!E256</f>
        <v>0</v>
      </c>
      <c r="R256" s="114">
        <f>'Reserve Bank'!F256-'Check RB Past'!F256</f>
        <v>0</v>
      </c>
      <c r="S256" s="114">
        <f>'Reserve Bank'!G256-'Check RB Past'!G256</f>
        <v>0</v>
      </c>
      <c r="T256" s="114">
        <f>'Reserve Bank'!H256-'Check RB Past'!H256</f>
        <v>0</v>
      </c>
      <c r="U256" s="114">
        <f>'Reserve Bank'!I256-'Check RB Past'!I256</f>
        <v>0</v>
      </c>
      <c r="V256" s="1"/>
      <c r="W256" s="1"/>
      <c r="X256" s="1"/>
      <c r="Y256" s="1"/>
      <c r="Z256" s="1"/>
      <c r="AA256" s="1"/>
      <c r="AB256" s="1"/>
      <c r="AC256" s="1"/>
    </row>
    <row r="257" spans="1:29" s="14" customFormat="1" ht="12.75" customHeight="1" x14ac:dyDescent="0.2">
      <c r="A257" s="110">
        <v>44135</v>
      </c>
      <c r="B257" s="117">
        <v>8350</v>
      </c>
      <c r="C257" s="117">
        <v>1340</v>
      </c>
      <c r="D257" s="117">
        <v>9690</v>
      </c>
      <c r="E257" s="117">
        <v>1968</v>
      </c>
      <c r="F257" s="117">
        <v>11658</v>
      </c>
      <c r="G257" s="117">
        <v>8439</v>
      </c>
      <c r="H257" s="117">
        <v>20097</v>
      </c>
      <c r="I257" s="117">
        <v>109</v>
      </c>
      <c r="J257" s="20"/>
      <c r="K257" s="1"/>
      <c r="L257" s="1"/>
      <c r="M257" s="110">
        <v>44135</v>
      </c>
      <c r="N257" s="114">
        <f>'Reserve Bank'!B257-'Check RB Past'!B257</f>
        <v>0</v>
      </c>
      <c r="O257" s="114">
        <f>'Reserve Bank'!C257-'Check RB Past'!C257</f>
        <v>0</v>
      </c>
      <c r="P257" s="114">
        <f>'Reserve Bank'!D257-'Check RB Past'!D257</f>
        <v>0</v>
      </c>
      <c r="Q257" s="114">
        <f>'Reserve Bank'!E257-'Check RB Past'!E257</f>
        <v>0</v>
      </c>
      <c r="R257" s="114">
        <f>'Reserve Bank'!F257-'Check RB Past'!F257</f>
        <v>0</v>
      </c>
      <c r="S257" s="114">
        <f>'Reserve Bank'!G257-'Check RB Past'!G257</f>
        <v>0</v>
      </c>
      <c r="T257" s="114">
        <f>'Reserve Bank'!H257-'Check RB Past'!H257</f>
        <v>0</v>
      </c>
      <c r="U257" s="114">
        <f>'Reserve Bank'!I257-'Check RB Past'!I257</f>
        <v>0</v>
      </c>
      <c r="V257" s="1"/>
      <c r="W257" s="1"/>
      <c r="X257" s="1"/>
      <c r="Y257" s="1"/>
      <c r="Z257" s="1"/>
      <c r="AA257" s="1"/>
      <c r="AB257" s="1"/>
      <c r="AC257" s="1"/>
    </row>
    <row r="258" spans="1:29" s="14" customFormat="1" ht="12.75" customHeight="1" x14ac:dyDescent="0.2">
      <c r="A258" s="110">
        <v>44165</v>
      </c>
      <c r="B258" s="117">
        <v>8033</v>
      </c>
      <c r="C258" s="117">
        <v>1371</v>
      </c>
      <c r="D258" s="117">
        <v>9404</v>
      </c>
      <c r="E258" s="117">
        <v>2020</v>
      </c>
      <c r="F258" s="117">
        <v>11424</v>
      </c>
      <c r="G258" s="117">
        <v>8436</v>
      </c>
      <c r="H258" s="117">
        <v>19860</v>
      </c>
      <c r="I258" s="117">
        <v>318</v>
      </c>
      <c r="J258" s="20"/>
      <c r="K258" s="1"/>
      <c r="L258" s="1"/>
      <c r="M258" s="110">
        <v>44165</v>
      </c>
      <c r="N258" s="114">
        <f>'Reserve Bank'!B258-'Check RB Past'!B258</f>
        <v>0</v>
      </c>
      <c r="O258" s="114">
        <f>'Reserve Bank'!C258-'Check RB Past'!C258</f>
        <v>0</v>
      </c>
      <c r="P258" s="114">
        <f>'Reserve Bank'!D258-'Check RB Past'!D258</f>
        <v>0</v>
      </c>
      <c r="Q258" s="114">
        <f>'Reserve Bank'!E258-'Check RB Past'!E258</f>
        <v>0</v>
      </c>
      <c r="R258" s="114">
        <f>'Reserve Bank'!F258-'Check RB Past'!F258</f>
        <v>0</v>
      </c>
      <c r="S258" s="114">
        <f>'Reserve Bank'!G258-'Check RB Past'!G258</f>
        <v>0</v>
      </c>
      <c r="T258" s="114">
        <f>'Reserve Bank'!H258-'Check RB Past'!H258</f>
        <v>0</v>
      </c>
      <c r="U258" s="114">
        <f>'Reserve Bank'!I258-'Check RB Past'!I258</f>
        <v>0</v>
      </c>
      <c r="V258" s="1"/>
      <c r="W258" s="1"/>
      <c r="X258" s="1"/>
      <c r="Y258" s="1"/>
      <c r="Z258" s="1"/>
      <c r="AA258" s="1"/>
      <c r="AB258" s="1"/>
      <c r="AC258" s="1"/>
    </row>
    <row r="259" spans="1:29" s="14" customFormat="1" ht="12.75" customHeight="1" x14ac:dyDescent="0.2">
      <c r="A259" s="110">
        <v>44196</v>
      </c>
      <c r="B259" s="117">
        <v>6779</v>
      </c>
      <c r="C259" s="117">
        <v>4000</v>
      </c>
      <c r="D259" s="117">
        <v>10779</v>
      </c>
      <c r="E259" s="117">
        <v>576</v>
      </c>
      <c r="F259" s="117">
        <v>11355</v>
      </c>
      <c r="G259" s="117">
        <v>7666</v>
      </c>
      <c r="H259" s="117">
        <v>19021</v>
      </c>
      <c r="I259" s="117">
        <v>347</v>
      </c>
      <c r="J259" s="20"/>
      <c r="K259" s="1"/>
      <c r="L259" s="1"/>
      <c r="M259" s="110">
        <v>44196</v>
      </c>
      <c r="N259" s="114">
        <f>'Reserve Bank'!B259-'Check RB Past'!B259</f>
        <v>0</v>
      </c>
      <c r="O259" s="114">
        <f>'Reserve Bank'!C259-'Check RB Past'!C259</f>
        <v>0</v>
      </c>
      <c r="P259" s="114">
        <f>'Reserve Bank'!D259-'Check RB Past'!D259</f>
        <v>0</v>
      </c>
      <c r="Q259" s="114">
        <f>'Reserve Bank'!E259-'Check RB Past'!E259</f>
        <v>0</v>
      </c>
      <c r="R259" s="114">
        <f>'Reserve Bank'!F259-'Check RB Past'!F259</f>
        <v>0</v>
      </c>
      <c r="S259" s="114">
        <f>'Reserve Bank'!G259-'Check RB Past'!G259</f>
        <v>0</v>
      </c>
      <c r="T259" s="114">
        <f>'Reserve Bank'!H259-'Check RB Past'!H259</f>
        <v>0</v>
      </c>
      <c r="U259" s="114">
        <f>'Reserve Bank'!I259-'Check RB Past'!I259</f>
        <v>0</v>
      </c>
      <c r="V259" s="1"/>
      <c r="W259" s="1"/>
      <c r="X259" s="1"/>
      <c r="Y259" s="1"/>
      <c r="Z259" s="1"/>
      <c r="AA259" s="1"/>
      <c r="AB259" s="1"/>
      <c r="AC259" s="1"/>
    </row>
    <row r="260" spans="1:29" s="14" customFormat="1" ht="12.75" customHeight="1" x14ac:dyDescent="0.2">
      <c r="A260" s="110">
        <v>44227</v>
      </c>
      <c r="B260" s="117">
        <v>7561</v>
      </c>
      <c r="C260" s="117">
        <v>2263</v>
      </c>
      <c r="D260" s="117">
        <v>9824</v>
      </c>
      <c r="E260" s="117">
        <v>1588</v>
      </c>
      <c r="F260" s="117">
        <v>11412</v>
      </c>
      <c r="G260" s="117">
        <v>7303</v>
      </c>
      <c r="H260" s="117">
        <v>18715</v>
      </c>
      <c r="I260" s="117">
        <v>271</v>
      </c>
      <c r="J260" s="20"/>
      <c r="K260" s="1"/>
      <c r="L260" s="1"/>
      <c r="M260" s="110">
        <v>44227</v>
      </c>
      <c r="N260" s="114">
        <f>'Reserve Bank'!B260-'Check RB Past'!B260</f>
        <v>0</v>
      </c>
      <c r="O260" s="114">
        <f>'Reserve Bank'!C260-'Check RB Past'!C260</f>
        <v>0</v>
      </c>
      <c r="P260" s="114">
        <f>'Reserve Bank'!D260-'Check RB Past'!D260</f>
        <v>0</v>
      </c>
      <c r="Q260" s="114">
        <f>'Reserve Bank'!E260-'Check RB Past'!E260</f>
        <v>0</v>
      </c>
      <c r="R260" s="114">
        <f>'Reserve Bank'!F260-'Check RB Past'!F260</f>
        <v>0</v>
      </c>
      <c r="S260" s="114">
        <f>'Reserve Bank'!G260-'Check RB Past'!G260</f>
        <v>0</v>
      </c>
      <c r="T260" s="114">
        <f>'Reserve Bank'!H260-'Check RB Past'!H260</f>
        <v>0</v>
      </c>
      <c r="U260" s="114">
        <f>'Reserve Bank'!I260-'Check RB Past'!I260</f>
        <v>0</v>
      </c>
      <c r="V260" s="1"/>
      <c r="W260" s="1"/>
      <c r="X260" s="1"/>
      <c r="Y260" s="1"/>
      <c r="Z260" s="1"/>
      <c r="AA260" s="1"/>
      <c r="AB260" s="1"/>
      <c r="AC260" s="1"/>
    </row>
    <row r="261" spans="1:29" s="14" customFormat="1" ht="12.75" customHeight="1" x14ac:dyDescent="0.2">
      <c r="A261" s="110">
        <v>44255</v>
      </c>
      <c r="B261" s="117">
        <v>7272</v>
      </c>
      <c r="C261" s="117">
        <v>2093</v>
      </c>
      <c r="D261" s="117">
        <v>9365</v>
      </c>
      <c r="E261" s="117">
        <v>2220</v>
      </c>
      <c r="F261" s="117">
        <v>11585</v>
      </c>
      <c r="G261" s="117">
        <v>6471</v>
      </c>
      <c r="H261" s="117">
        <v>18056</v>
      </c>
      <c r="I261" s="117">
        <v>191</v>
      </c>
      <c r="J261" s="20"/>
      <c r="K261" s="1"/>
      <c r="L261" s="1"/>
      <c r="M261" s="110">
        <v>44255</v>
      </c>
      <c r="N261" s="114">
        <f>'Reserve Bank'!B261-'Check RB Past'!B261</f>
        <v>0</v>
      </c>
      <c r="O261" s="114">
        <f>'Reserve Bank'!C261-'Check RB Past'!C261</f>
        <v>0</v>
      </c>
      <c r="P261" s="114">
        <f>'Reserve Bank'!D261-'Check RB Past'!D261</f>
        <v>0</v>
      </c>
      <c r="Q261" s="114">
        <f>'Reserve Bank'!E261-'Check RB Past'!E261</f>
        <v>0</v>
      </c>
      <c r="R261" s="114">
        <f>'Reserve Bank'!F261-'Check RB Past'!F261</f>
        <v>0</v>
      </c>
      <c r="S261" s="114">
        <f>'Reserve Bank'!G261-'Check RB Past'!G261</f>
        <v>0</v>
      </c>
      <c r="T261" s="114">
        <f>'Reserve Bank'!H261-'Check RB Past'!H261</f>
        <v>0</v>
      </c>
      <c r="U261" s="114">
        <f>'Reserve Bank'!I261-'Check RB Past'!I261</f>
        <v>0</v>
      </c>
      <c r="V261" s="1"/>
      <c r="W261" s="1"/>
      <c r="X261" s="1"/>
      <c r="Y261" s="1"/>
      <c r="Z261" s="1"/>
      <c r="AA261" s="1"/>
      <c r="AB261" s="1"/>
      <c r="AC261" s="1"/>
    </row>
    <row r="262" spans="1:29" s="14" customFormat="1" ht="12.75" customHeight="1" x14ac:dyDescent="0.2">
      <c r="A262" s="110">
        <v>44286</v>
      </c>
      <c r="B262" s="117">
        <v>8187</v>
      </c>
      <c r="C262" s="117">
        <v>2769</v>
      </c>
      <c r="D262" s="117">
        <v>10956</v>
      </c>
      <c r="E262" s="117">
        <v>966</v>
      </c>
      <c r="F262" s="117">
        <v>11922</v>
      </c>
      <c r="G262" s="117">
        <v>6568</v>
      </c>
      <c r="H262" s="117">
        <v>18490</v>
      </c>
      <c r="I262" s="117">
        <v>68</v>
      </c>
      <c r="J262" s="20"/>
      <c r="K262" s="1"/>
      <c r="L262" s="1"/>
      <c r="M262" s="110">
        <v>44286</v>
      </c>
      <c r="N262" s="114">
        <f>'Reserve Bank'!B262-'Check RB Past'!B262</f>
        <v>0</v>
      </c>
      <c r="O262" s="114">
        <f>'Reserve Bank'!C262-'Check RB Past'!C262</f>
        <v>0</v>
      </c>
      <c r="P262" s="114">
        <f>'Reserve Bank'!D262-'Check RB Past'!D262</f>
        <v>0</v>
      </c>
      <c r="Q262" s="114">
        <f>'Reserve Bank'!E262-'Check RB Past'!E262</f>
        <v>0</v>
      </c>
      <c r="R262" s="114">
        <f>'Reserve Bank'!F262-'Check RB Past'!F262</f>
        <v>0</v>
      </c>
      <c r="S262" s="114">
        <f>'Reserve Bank'!G262-'Check RB Past'!G262</f>
        <v>0</v>
      </c>
      <c r="T262" s="114">
        <f>'Reserve Bank'!H262-'Check RB Past'!H262</f>
        <v>0</v>
      </c>
      <c r="U262" s="114">
        <f>'Reserve Bank'!I262-'Check RB Past'!I262</f>
        <v>0</v>
      </c>
      <c r="V262" s="1"/>
      <c r="W262" s="1"/>
      <c r="X262" s="1"/>
      <c r="Y262" s="1"/>
      <c r="Z262" s="1"/>
      <c r="AA262" s="1"/>
      <c r="AB262" s="1"/>
      <c r="AC262" s="1"/>
    </row>
    <row r="263" spans="1:29" s="14" customFormat="1" ht="12.75" customHeight="1" x14ac:dyDescent="0.2">
      <c r="A263" s="110">
        <v>44316</v>
      </c>
      <c r="B263" s="117">
        <v>8006</v>
      </c>
      <c r="C263" s="117">
        <v>3596</v>
      </c>
      <c r="D263" s="117">
        <v>11602</v>
      </c>
      <c r="E263" s="117">
        <v>1474</v>
      </c>
      <c r="F263" s="117">
        <v>13076</v>
      </c>
      <c r="G263" s="117">
        <v>7077</v>
      </c>
      <c r="H263" s="117">
        <v>20153</v>
      </c>
      <c r="I263" s="117">
        <v>98</v>
      </c>
      <c r="J263" s="20"/>
      <c r="K263" s="1"/>
      <c r="L263" s="1"/>
      <c r="M263" s="89">
        <v>44316</v>
      </c>
      <c r="N263" s="114">
        <f>'Reserve Bank'!B263-'Check RB Past'!B263</f>
        <v>0</v>
      </c>
      <c r="O263" s="114">
        <f>'Reserve Bank'!C263-'Check RB Past'!C263</f>
        <v>0</v>
      </c>
      <c r="P263" s="114">
        <f>'Reserve Bank'!D263-'Check RB Past'!D263</f>
        <v>0</v>
      </c>
      <c r="Q263" s="114">
        <f>'Reserve Bank'!E263-'Check RB Past'!E263</f>
        <v>0</v>
      </c>
      <c r="R263" s="114">
        <f>'Reserve Bank'!F263-'Check RB Past'!F263</f>
        <v>0</v>
      </c>
      <c r="S263" s="114">
        <f>'Reserve Bank'!G263-'Check RB Past'!G263</f>
        <v>0</v>
      </c>
      <c r="T263" s="114">
        <f>'Reserve Bank'!H263-'Check RB Past'!H263</f>
        <v>0</v>
      </c>
      <c r="U263" s="114">
        <f>'Reserve Bank'!I263-'Check RB Past'!I263</f>
        <v>0</v>
      </c>
      <c r="V263" s="1"/>
      <c r="W263" s="1"/>
      <c r="X263" s="1"/>
      <c r="Y263" s="1"/>
      <c r="Z263" s="1"/>
      <c r="AA263" s="1"/>
      <c r="AB263" s="1"/>
      <c r="AC263" s="1"/>
    </row>
    <row r="264" spans="1:29" s="14" customFormat="1" ht="12.75" customHeight="1" x14ac:dyDescent="0.2">
      <c r="A264" s="110">
        <v>44347</v>
      </c>
      <c r="B264" s="117">
        <v>8034</v>
      </c>
      <c r="C264" s="117">
        <v>2825</v>
      </c>
      <c r="D264" s="117">
        <v>10859</v>
      </c>
      <c r="E264" s="117">
        <v>1415</v>
      </c>
      <c r="F264" s="117">
        <v>12274</v>
      </c>
      <c r="G264" s="117">
        <v>6521</v>
      </c>
      <c r="H264" s="117">
        <v>18795</v>
      </c>
      <c r="I264" s="117">
        <v>198</v>
      </c>
      <c r="J264" s="20"/>
      <c r="K264" s="1"/>
      <c r="L264" s="1"/>
      <c r="M264" s="89">
        <v>44347</v>
      </c>
      <c r="N264" s="114">
        <f>'Reserve Bank'!B264-'Check RB Past'!B264</f>
        <v>0</v>
      </c>
      <c r="O264" s="114">
        <f>'Reserve Bank'!C264-'Check RB Past'!C264</f>
        <v>0</v>
      </c>
      <c r="P264" s="114">
        <f>'Reserve Bank'!D264-'Check RB Past'!D264</f>
        <v>0</v>
      </c>
      <c r="Q264" s="114">
        <f>'Reserve Bank'!E264-'Check RB Past'!E264</f>
        <v>0</v>
      </c>
      <c r="R264" s="114">
        <f>'Reserve Bank'!F264-'Check RB Past'!F264</f>
        <v>0</v>
      </c>
      <c r="S264" s="114">
        <f>'Reserve Bank'!G264-'Check RB Past'!G264</f>
        <v>0</v>
      </c>
      <c r="T264" s="114">
        <f>'Reserve Bank'!H264-'Check RB Past'!H264</f>
        <v>0</v>
      </c>
      <c r="U264" s="114">
        <f>'Reserve Bank'!I264-'Check RB Past'!I264</f>
        <v>0</v>
      </c>
      <c r="V264" s="1"/>
      <c r="W264" s="1"/>
      <c r="X264" s="1"/>
      <c r="Y264" s="1"/>
      <c r="Z264" s="1"/>
      <c r="AA264" s="1"/>
      <c r="AB264" s="1"/>
      <c r="AC264" s="1"/>
    </row>
    <row r="265" spans="1:29" s="14" customFormat="1" ht="12.75" customHeight="1" x14ac:dyDescent="0.2">
      <c r="A265" s="110">
        <v>44377</v>
      </c>
      <c r="B265" s="117">
        <v>7404</v>
      </c>
      <c r="C265" s="117">
        <v>4536</v>
      </c>
      <c r="D265" s="117">
        <v>11940</v>
      </c>
      <c r="E265" s="117">
        <v>1267</v>
      </c>
      <c r="F265" s="117">
        <v>13207</v>
      </c>
      <c r="G265" s="117">
        <v>6770</v>
      </c>
      <c r="H265" s="117">
        <v>19977</v>
      </c>
      <c r="I265" s="117">
        <v>69</v>
      </c>
      <c r="J265" s="20"/>
      <c r="K265" s="1"/>
      <c r="L265" s="1"/>
      <c r="M265" s="89">
        <v>44377</v>
      </c>
      <c r="N265" s="114">
        <f>'Reserve Bank'!B265-'Check RB Past'!B265</f>
        <v>0</v>
      </c>
      <c r="O265" s="114">
        <f>'Reserve Bank'!C265-'Check RB Past'!C265</f>
        <v>0</v>
      </c>
      <c r="P265" s="114">
        <f>'Reserve Bank'!D265-'Check RB Past'!D265</f>
        <v>0</v>
      </c>
      <c r="Q265" s="114">
        <f>'Reserve Bank'!E265-'Check RB Past'!E265</f>
        <v>0</v>
      </c>
      <c r="R265" s="114">
        <f>'Reserve Bank'!F265-'Check RB Past'!F265</f>
        <v>0</v>
      </c>
      <c r="S265" s="114">
        <f>'Reserve Bank'!G265-'Check RB Past'!G265</f>
        <v>0</v>
      </c>
      <c r="T265" s="114">
        <f>'Reserve Bank'!H265-'Check RB Past'!H265</f>
        <v>0</v>
      </c>
      <c r="U265" s="114">
        <f>'Reserve Bank'!I265-'Check RB Past'!I265</f>
        <v>0</v>
      </c>
      <c r="V265" s="1"/>
      <c r="W265" s="1"/>
      <c r="X265" s="1"/>
      <c r="Y265" s="1"/>
      <c r="Z265" s="1"/>
      <c r="AA265" s="1"/>
      <c r="AB265" s="1"/>
      <c r="AC265" s="1"/>
    </row>
    <row r="266" spans="1:29" s="12" customFormat="1" ht="12.75" customHeight="1" x14ac:dyDescent="0.2">
      <c r="A266" s="110">
        <v>44408</v>
      </c>
      <c r="B266" s="117">
        <v>7719</v>
      </c>
      <c r="C266" s="117">
        <v>1760</v>
      </c>
      <c r="D266" s="117">
        <v>9479</v>
      </c>
      <c r="E266" s="117">
        <v>1289</v>
      </c>
      <c r="F266" s="117">
        <v>10768</v>
      </c>
      <c r="G266" s="117">
        <v>6831</v>
      </c>
      <c r="H266" s="117">
        <v>17599</v>
      </c>
      <c r="I266" s="117">
        <v>42</v>
      </c>
      <c r="J266" s="107"/>
      <c r="K266" s="13"/>
      <c r="L266" s="13"/>
      <c r="M266" s="89">
        <v>44408</v>
      </c>
      <c r="N266" s="114">
        <f>'Reserve Bank'!B266-'Check RB Past'!B266</f>
        <v>0</v>
      </c>
      <c r="O266" s="114">
        <f>'Reserve Bank'!C266-'Check RB Past'!C266</f>
        <v>0</v>
      </c>
      <c r="P266" s="114">
        <f>'Reserve Bank'!D266-'Check RB Past'!D266</f>
        <v>0</v>
      </c>
      <c r="Q266" s="114">
        <f>'Reserve Bank'!E266-'Check RB Past'!E266</f>
        <v>0</v>
      </c>
      <c r="R266" s="114">
        <f>'Reserve Bank'!F266-'Check RB Past'!F266</f>
        <v>0</v>
      </c>
      <c r="S266" s="114">
        <f>'Reserve Bank'!G266-'Check RB Past'!G266</f>
        <v>0</v>
      </c>
      <c r="T266" s="114">
        <f>'Reserve Bank'!H266-'Check RB Past'!H266</f>
        <v>0</v>
      </c>
      <c r="U266" s="114">
        <f>'Reserve Bank'!I266-'Check RB Past'!I266</f>
        <v>0</v>
      </c>
      <c r="V266" s="13"/>
      <c r="W266" s="13"/>
      <c r="X266" s="13"/>
      <c r="Y266" s="13"/>
      <c r="Z266" s="13"/>
      <c r="AA266" s="13"/>
      <c r="AB266" s="13"/>
      <c r="AC266" s="13"/>
    </row>
    <row r="267" spans="1:29" s="12" customFormat="1" ht="12.75" customHeight="1" x14ac:dyDescent="0.2">
      <c r="A267" s="110">
        <v>44439</v>
      </c>
      <c r="B267" s="117">
        <v>6782</v>
      </c>
      <c r="C267" s="117">
        <v>5029</v>
      </c>
      <c r="D267" s="117">
        <v>11811</v>
      </c>
      <c r="E267" s="117">
        <v>2091</v>
      </c>
      <c r="F267" s="117">
        <v>13902</v>
      </c>
      <c r="G267" s="117">
        <v>8720</v>
      </c>
      <c r="H267" s="117">
        <v>22622</v>
      </c>
      <c r="I267" s="117">
        <v>100</v>
      </c>
      <c r="J267" s="107"/>
      <c r="K267" s="13"/>
      <c r="L267" s="13"/>
      <c r="M267" s="89">
        <v>44439</v>
      </c>
      <c r="N267" s="114">
        <f>'Reserve Bank'!B267-'Check RB Past'!B267</f>
        <v>0</v>
      </c>
      <c r="O267" s="114">
        <f>'Reserve Bank'!C267-'Check RB Past'!C267</f>
        <v>0</v>
      </c>
      <c r="P267" s="114">
        <f>'Reserve Bank'!D267-'Check RB Past'!D267</f>
        <v>0</v>
      </c>
      <c r="Q267" s="114">
        <f>'Reserve Bank'!E267-'Check RB Past'!E267</f>
        <v>0</v>
      </c>
      <c r="R267" s="114">
        <f>'Reserve Bank'!F267-'Check RB Past'!F267</f>
        <v>0</v>
      </c>
      <c r="S267" s="114">
        <f>'Reserve Bank'!G267-'Check RB Past'!G267</f>
        <v>0</v>
      </c>
      <c r="T267" s="114">
        <f>'Reserve Bank'!H267-'Check RB Past'!H267</f>
        <v>0</v>
      </c>
      <c r="U267" s="114">
        <f>'Reserve Bank'!I267-'Check RB Past'!I267</f>
        <v>0</v>
      </c>
      <c r="V267" s="13"/>
      <c r="W267" s="13"/>
      <c r="X267" s="13"/>
      <c r="Y267" s="13"/>
      <c r="Z267" s="13"/>
      <c r="AA267" s="13"/>
      <c r="AB267" s="13"/>
      <c r="AC267" s="13"/>
    </row>
    <row r="268" spans="1:29" s="14" customFormat="1" ht="12.75" customHeight="1" x14ac:dyDescent="0.2">
      <c r="A268" s="110">
        <v>44469</v>
      </c>
      <c r="B268" s="117">
        <v>6794</v>
      </c>
      <c r="C268" s="117">
        <v>6619</v>
      </c>
      <c r="D268" s="117">
        <v>13413</v>
      </c>
      <c r="E268" s="117">
        <v>482</v>
      </c>
      <c r="F268" s="117">
        <v>13895</v>
      </c>
      <c r="G268" s="117">
        <v>8745</v>
      </c>
      <c r="H268" s="117">
        <v>22640</v>
      </c>
      <c r="I268" s="117">
        <v>118</v>
      </c>
      <c r="J268" s="20"/>
      <c r="K268" s="115"/>
      <c r="L268" s="162"/>
      <c r="M268" s="89">
        <v>44469</v>
      </c>
      <c r="N268" s="114">
        <f>'Reserve Bank'!B268-'Check RB Past'!B268</f>
        <v>0</v>
      </c>
      <c r="O268" s="114">
        <f>'Reserve Bank'!C268-'Check RB Past'!C268</f>
        <v>0</v>
      </c>
      <c r="P268" s="114">
        <f>'Reserve Bank'!D268-'Check RB Past'!D268</f>
        <v>0</v>
      </c>
      <c r="Q268" s="114">
        <f>'Reserve Bank'!E268-'Check RB Past'!E268</f>
        <v>0</v>
      </c>
      <c r="R268" s="114">
        <f>'Reserve Bank'!F268-'Check RB Past'!F268</f>
        <v>0</v>
      </c>
      <c r="S268" s="114">
        <f>'Reserve Bank'!G268-'Check RB Past'!G268</f>
        <v>0</v>
      </c>
      <c r="T268" s="114">
        <f>'Reserve Bank'!H268-'Check RB Past'!H268</f>
        <v>0</v>
      </c>
      <c r="U268" s="114">
        <f>'Reserve Bank'!I268-'Check RB Past'!I268</f>
        <v>0</v>
      </c>
      <c r="V268" s="1"/>
      <c r="W268" s="1"/>
      <c r="X268" s="1"/>
      <c r="Y268" s="1"/>
      <c r="Z268" s="1"/>
      <c r="AA268" s="1"/>
      <c r="AB268" s="1"/>
      <c r="AC268" s="1"/>
    </row>
    <row r="269" spans="1:29" s="14" customFormat="1" ht="12.75" customHeight="1" x14ac:dyDescent="0.2">
      <c r="A269" s="110">
        <v>44500</v>
      </c>
      <c r="B269" s="117">
        <v>6002</v>
      </c>
      <c r="C269" s="117">
        <v>6383</v>
      </c>
      <c r="D269" s="117">
        <v>12385</v>
      </c>
      <c r="E269" s="117">
        <v>2188</v>
      </c>
      <c r="F269" s="117">
        <v>14573</v>
      </c>
      <c r="G269" s="117">
        <v>8853</v>
      </c>
      <c r="H269" s="117">
        <v>23426</v>
      </c>
      <c r="I269" s="117">
        <v>399</v>
      </c>
      <c r="J269" s="20"/>
      <c r="K269" s="115"/>
      <c r="L269" s="162"/>
      <c r="M269" s="89">
        <v>44500</v>
      </c>
      <c r="N269" s="114">
        <f>'Reserve Bank'!B269-'Check RB Past'!B269</f>
        <v>0</v>
      </c>
      <c r="O269" s="114">
        <f>'Reserve Bank'!C269-'Check RB Past'!C269</f>
        <v>0</v>
      </c>
      <c r="P269" s="114">
        <f>'Reserve Bank'!D269-'Check RB Past'!D269</f>
        <v>0</v>
      </c>
      <c r="Q269" s="114">
        <f>'Reserve Bank'!E269-'Check RB Past'!E269</f>
        <v>0</v>
      </c>
      <c r="R269" s="114">
        <f>'Reserve Bank'!F269-'Check RB Past'!F269</f>
        <v>0</v>
      </c>
      <c r="S269" s="114">
        <f>'Reserve Bank'!G269-'Check RB Past'!G269</f>
        <v>0</v>
      </c>
      <c r="T269" s="114">
        <f>'Reserve Bank'!H269-'Check RB Past'!H269</f>
        <v>0</v>
      </c>
      <c r="U269" s="114">
        <f>'Reserve Bank'!I269-'Check RB Past'!I269</f>
        <v>0</v>
      </c>
      <c r="V269" s="1"/>
      <c r="W269" s="1"/>
      <c r="X269" s="1"/>
      <c r="Y269" s="1"/>
      <c r="Z269" s="1"/>
      <c r="AA269" s="1"/>
      <c r="AB269" s="1"/>
      <c r="AC269" s="1"/>
    </row>
    <row r="270" spans="1:29" s="14" customFormat="1" ht="12.75" customHeight="1" x14ac:dyDescent="0.2">
      <c r="A270" s="110">
        <v>44530</v>
      </c>
      <c r="B270" s="117">
        <v>6279</v>
      </c>
      <c r="C270" s="117">
        <v>5023</v>
      </c>
      <c r="D270" s="117">
        <v>11302</v>
      </c>
      <c r="E270" s="117">
        <v>1167</v>
      </c>
      <c r="F270" s="117">
        <v>12469</v>
      </c>
      <c r="G270" s="117">
        <v>9354</v>
      </c>
      <c r="H270" s="117">
        <v>21823</v>
      </c>
      <c r="I270" s="117">
        <v>292</v>
      </c>
      <c r="J270" s="20"/>
      <c r="K270" s="115"/>
      <c r="L270" s="162"/>
      <c r="M270" s="89">
        <v>44530</v>
      </c>
      <c r="N270" s="114">
        <f>'Reserve Bank'!B270-'Check RB Past'!B270</f>
        <v>0</v>
      </c>
      <c r="O270" s="114">
        <f>'Reserve Bank'!C270-'Check RB Past'!C270</f>
        <v>0</v>
      </c>
      <c r="P270" s="114">
        <f>'Reserve Bank'!D270-'Check RB Past'!D270</f>
        <v>0</v>
      </c>
      <c r="Q270" s="114">
        <f>'Reserve Bank'!E270-'Check RB Past'!E270</f>
        <v>0</v>
      </c>
      <c r="R270" s="114">
        <f>'Reserve Bank'!F270-'Check RB Past'!F270</f>
        <v>0</v>
      </c>
      <c r="S270" s="114">
        <f>'Reserve Bank'!G270-'Check RB Past'!G270</f>
        <v>0</v>
      </c>
      <c r="T270" s="114">
        <f>'Reserve Bank'!H270-'Check RB Past'!H270</f>
        <v>0</v>
      </c>
      <c r="U270" s="114">
        <f>'Reserve Bank'!I270-'Check RB Past'!I270</f>
        <v>0</v>
      </c>
      <c r="V270" s="1"/>
      <c r="W270" s="1"/>
      <c r="X270" s="1"/>
      <c r="Y270" s="1"/>
      <c r="Z270" s="1"/>
      <c r="AA270" s="1"/>
      <c r="AB270" s="1"/>
      <c r="AC270" s="1"/>
    </row>
    <row r="271" spans="1:29" s="14" customFormat="1" ht="12.75" customHeight="1" x14ac:dyDescent="0.2">
      <c r="A271" s="110">
        <v>44561</v>
      </c>
      <c r="B271" s="117">
        <v>6225</v>
      </c>
      <c r="C271" s="117">
        <v>7552</v>
      </c>
      <c r="D271" s="117">
        <v>13777</v>
      </c>
      <c r="E271" s="117">
        <v>497</v>
      </c>
      <c r="F271" s="117">
        <v>14274</v>
      </c>
      <c r="G271" s="117">
        <v>9311</v>
      </c>
      <c r="H271" s="117">
        <v>23585</v>
      </c>
      <c r="I271" s="117">
        <v>231</v>
      </c>
      <c r="J271" s="20"/>
      <c r="K271" s="115"/>
      <c r="L271" s="162"/>
      <c r="M271" s="89">
        <v>44561</v>
      </c>
      <c r="N271" s="114">
        <f>'Reserve Bank'!B271-'Check RB Past'!B271</f>
        <v>0</v>
      </c>
      <c r="O271" s="114">
        <f>'Reserve Bank'!C271-'Check RB Past'!C271</f>
        <v>0</v>
      </c>
      <c r="P271" s="114">
        <f>'Reserve Bank'!D271-'Check RB Past'!D271</f>
        <v>0</v>
      </c>
      <c r="Q271" s="114">
        <f>'Reserve Bank'!E271-'Check RB Past'!E271</f>
        <v>0</v>
      </c>
      <c r="R271" s="114">
        <f>'Reserve Bank'!F271-'Check RB Past'!F271</f>
        <v>0</v>
      </c>
      <c r="S271" s="114">
        <f>'Reserve Bank'!G271-'Check RB Past'!G271</f>
        <v>0</v>
      </c>
      <c r="T271" s="114">
        <f>'Reserve Bank'!H271-'Check RB Past'!H271</f>
        <v>0</v>
      </c>
      <c r="U271" s="114">
        <f>'Reserve Bank'!I271-'Check RB Past'!I271</f>
        <v>0</v>
      </c>
      <c r="V271" s="1"/>
      <c r="W271" s="1"/>
      <c r="X271" s="1"/>
      <c r="Y271" s="1"/>
      <c r="Z271" s="1"/>
      <c r="AA271" s="1"/>
      <c r="AB271" s="1"/>
      <c r="AC271" s="1"/>
    </row>
    <row r="272" spans="1:29" s="14" customFormat="1" ht="12.75" customHeight="1" x14ac:dyDescent="0.2">
      <c r="A272" s="110">
        <v>44592</v>
      </c>
      <c r="B272" s="117">
        <v>5636</v>
      </c>
      <c r="C272" s="117">
        <v>7062</v>
      </c>
      <c r="D272" s="117">
        <v>12698</v>
      </c>
      <c r="E272" s="117">
        <v>192</v>
      </c>
      <c r="F272" s="117">
        <v>12890</v>
      </c>
      <c r="G272" s="117">
        <v>9344</v>
      </c>
      <c r="H272" s="117">
        <v>22234</v>
      </c>
      <c r="I272" s="117">
        <v>277</v>
      </c>
      <c r="J272" s="20"/>
      <c r="K272" s="1"/>
      <c r="L272" s="1"/>
      <c r="M272" s="110">
        <v>44592</v>
      </c>
      <c r="N272" s="114">
        <f>'Reserve Bank'!B272-'Check RB Past'!B272</f>
        <v>0</v>
      </c>
      <c r="O272" s="114">
        <f>'Reserve Bank'!C272-'Check RB Past'!C272</f>
        <v>0</v>
      </c>
      <c r="P272" s="114">
        <f>'Reserve Bank'!D272-'Check RB Past'!D272</f>
        <v>0</v>
      </c>
      <c r="Q272" s="114">
        <f>'Reserve Bank'!E272-'Check RB Past'!E272</f>
        <v>0</v>
      </c>
      <c r="R272" s="114">
        <f>'Reserve Bank'!F272-'Check RB Past'!F272</f>
        <v>0</v>
      </c>
      <c r="S272" s="114">
        <f>'Reserve Bank'!G272-'Check RB Past'!G272</f>
        <v>0</v>
      </c>
      <c r="T272" s="114">
        <f>'Reserve Bank'!H272-'Check RB Past'!H272</f>
        <v>0</v>
      </c>
      <c r="U272" s="114">
        <f>'Reserve Bank'!I272-'Check RB Past'!I272</f>
        <v>0</v>
      </c>
      <c r="V272" s="1"/>
      <c r="W272" s="1"/>
      <c r="X272" s="1"/>
      <c r="Y272" s="1"/>
      <c r="Z272" s="1"/>
      <c r="AA272" s="1"/>
      <c r="AB272" s="1"/>
      <c r="AC272" s="1"/>
    </row>
    <row r="273" spans="1:29" s="14" customFormat="1" ht="12.75" customHeight="1" x14ac:dyDescent="0.2">
      <c r="A273" s="110">
        <v>44620</v>
      </c>
      <c r="B273" s="117">
        <v>5589</v>
      </c>
      <c r="C273" s="117">
        <v>6724</v>
      </c>
      <c r="D273" s="117">
        <v>12313</v>
      </c>
      <c r="E273" s="117">
        <v>376</v>
      </c>
      <c r="F273" s="117">
        <v>12689</v>
      </c>
      <c r="G273" s="117">
        <v>8905</v>
      </c>
      <c r="H273" s="117">
        <v>21594</v>
      </c>
      <c r="I273" s="117">
        <v>444</v>
      </c>
      <c r="J273" s="20"/>
      <c r="K273" s="1"/>
      <c r="L273" s="1"/>
      <c r="M273" s="110">
        <v>44620</v>
      </c>
      <c r="N273" s="114">
        <f>'Reserve Bank'!B273-'Check RB Past'!B273</f>
        <v>0</v>
      </c>
      <c r="O273" s="114">
        <f>'Reserve Bank'!C273-'Check RB Past'!C273</f>
        <v>0</v>
      </c>
      <c r="P273" s="114">
        <f>'Reserve Bank'!D273-'Check RB Past'!D273</f>
        <v>0</v>
      </c>
      <c r="Q273" s="114">
        <f>'Reserve Bank'!E273-'Check RB Past'!E273</f>
        <v>0</v>
      </c>
      <c r="R273" s="114">
        <f>'Reserve Bank'!F273-'Check RB Past'!F273</f>
        <v>0</v>
      </c>
      <c r="S273" s="114">
        <f>'Reserve Bank'!G273-'Check RB Past'!G273</f>
        <v>0</v>
      </c>
      <c r="T273" s="114">
        <f>'Reserve Bank'!H273-'Check RB Past'!H273</f>
        <v>0</v>
      </c>
      <c r="U273" s="114">
        <f>'Reserve Bank'!I273-'Check RB Past'!I273</f>
        <v>0</v>
      </c>
      <c r="V273" s="1"/>
      <c r="W273" s="1"/>
      <c r="X273" s="1"/>
      <c r="Y273" s="1"/>
      <c r="Z273" s="1"/>
      <c r="AA273" s="1"/>
      <c r="AB273" s="1"/>
      <c r="AC273" s="1"/>
    </row>
    <row r="274" spans="1:29" s="14" customFormat="1" ht="12.75" customHeight="1" x14ac:dyDescent="0.2">
      <c r="A274" s="110">
        <v>44651</v>
      </c>
      <c r="B274" s="117">
        <v>5201</v>
      </c>
      <c r="C274" s="117">
        <v>8271</v>
      </c>
      <c r="D274" s="117">
        <v>13472</v>
      </c>
      <c r="E274" s="117">
        <v>651</v>
      </c>
      <c r="F274" s="117">
        <v>14123</v>
      </c>
      <c r="G274" s="117">
        <v>9136</v>
      </c>
      <c r="H274" s="117">
        <v>23259</v>
      </c>
      <c r="I274" s="117">
        <v>646</v>
      </c>
      <c r="J274" s="20"/>
      <c r="K274" s="1"/>
      <c r="L274" s="1"/>
      <c r="M274" s="110">
        <v>44651</v>
      </c>
      <c r="N274" s="114">
        <f>'Reserve Bank'!B274-'Check RB Past'!B274</f>
        <v>0</v>
      </c>
      <c r="O274" s="114">
        <f>'Reserve Bank'!C274-'Check RB Past'!C274</f>
        <v>0</v>
      </c>
      <c r="P274" s="114">
        <f>'Reserve Bank'!D274-'Check RB Past'!D274</f>
        <v>0</v>
      </c>
      <c r="Q274" s="114">
        <f>'Reserve Bank'!E274-'Check RB Past'!E274</f>
        <v>0</v>
      </c>
      <c r="R274" s="114">
        <f>'Reserve Bank'!F274-'Check RB Past'!F274</f>
        <v>0</v>
      </c>
      <c r="S274" s="114">
        <f>'Reserve Bank'!G274-'Check RB Past'!G274</f>
        <v>0</v>
      </c>
      <c r="T274" s="114">
        <f>'Reserve Bank'!H274-'Check RB Past'!H274</f>
        <v>0</v>
      </c>
      <c r="U274" s="114">
        <f>'Reserve Bank'!I274-'Check RB Past'!I274</f>
        <v>0</v>
      </c>
      <c r="V274" s="1"/>
      <c r="W274" s="1"/>
      <c r="X274" s="1"/>
      <c r="Y274" s="1"/>
      <c r="Z274" s="1"/>
      <c r="AA274" s="1"/>
      <c r="AB274" s="1"/>
      <c r="AC274" s="1"/>
    </row>
    <row r="275" spans="1:29" s="14" customFormat="1" ht="12.75" customHeight="1" x14ac:dyDescent="0.2">
      <c r="A275" s="110">
        <v>44681</v>
      </c>
      <c r="B275" s="117">
        <v>5296</v>
      </c>
      <c r="C275" s="117">
        <v>3303</v>
      </c>
      <c r="D275" s="117">
        <v>8599</v>
      </c>
      <c r="E275" s="117">
        <v>337</v>
      </c>
      <c r="F275" s="117">
        <v>8936</v>
      </c>
      <c r="G275" s="117">
        <v>9301</v>
      </c>
      <c r="H275" s="117">
        <v>18237</v>
      </c>
      <c r="I275" s="117">
        <v>702</v>
      </c>
      <c r="J275" s="20"/>
      <c r="K275" s="1"/>
      <c r="L275" s="1"/>
      <c r="M275" s="110">
        <v>44681</v>
      </c>
      <c r="N275" s="114">
        <f>'Reserve Bank'!B275-'Check RB Past'!B275</f>
        <v>0</v>
      </c>
      <c r="O275" s="114">
        <f>'Reserve Bank'!C275-'Check RB Past'!C275</f>
        <v>0</v>
      </c>
      <c r="P275" s="114">
        <f>'Reserve Bank'!D275-'Check RB Past'!D275</f>
        <v>0</v>
      </c>
      <c r="Q275" s="114">
        <f>'Reserve Bank'!E275-'Check RB Past'!E275</f>
        <v>0</v>
      </c>
      <c r="R275" s="114">
        <f>'Reserve Bank'!F275-'Check RB Past'!F275</f>
        <v>0</v>
      </c>
      <c r="S275" s="114">
        <f>'Reserve Bank'!G275-'Check RB Past'!G275</f>
        <v>0</v>
      </c>
      <c r="T275" s="114">
        <f>'Reserve Bank'!H275-'Check RB Past'!H275</f>
        <v>0</v>
      </c>
      <c r="U275" s="114">
        <f>'Reserve Bank'!I275-'Check RB Past'!I275</f>
        <v>0</v>
      </c>
      <c r="V275" s="1"/>
      <c r="W275" s="1"/>
      <c r="X275" s="1"/>
      <c r="Y275" s="1"/>
      <c r="Z275" s="1"/>
      <c r="AA275" s="1"/>
      <c r="AB275" s="1"/>
      <c r="AC275" s="1"/>
    </row>
    <row r="276" spans="1:29" s="14" customFormat="1" ht="12.75" customHeight="1" x14ac:dyDescent="0.2">
      <c r="A276" s="110">
        <v>44712</v>
      </c>
      <c r="B276" s="117">
        <v>5032</v>
      </c>
      <c r="C276" s="117">
        <v>7952</v>
      </c>
      <c r="D276" s="117">
        <v>12984</v>
      </c>
      <c r="E276" s="117">
        <v>219</v>
      </c>
      <c r="F276" s="117">
        <v>13203</v>
      </c>
      <c r="G276" s="117">
        <v>8892</v>
      </c>
      <c r="H276" s="117">
        <v>22095</v>
      </c>
      <c r="I276" s="117">
        <v>732</v>
      </c>
      <c r="J276" s="20"/>
      <c r="K276" s="1"/>
      <c r="L276" s="1"/>
      <c r="M276" s="110">
        <v>44712</v>
      </c>
      <c r="N276" s="114">
        <f>'Reserve Bank'!B276-'Check RB Past'!B276</f>
        <v>0</v>
      </c>
      <c r="O276" s="114">
        <f>'Reserve Bank'!C276-'Check RB Past'!C276</f>
        <v>0</v>
      </c>
      <c r="P276" s="114">
        <f>'Reserve Bank'!D276-'Check RB Past'!D276</f>
        <v>0</v>
      </c>
      <c r="Q276" s="114">
        <f>'Reserve Bank'!E276-'Check RB Past'!E276</f>
        <v>0</v>
      </c>
      <c r="R276" s="114">
        <f>'Reserve Bank'!F276-'Check RB Past'!F276</f>
        <v>0</v>
      </c>
      <c r="S276" s="114">
        <f>'Reserve Bank'!G276-'Check RB Past'!G276</f>
        <v>0</v>
      </c>
      <c r="T276" s="114">
        <f>'Reserve Bank'!H276-'Check RB Past'!H276</f>
        <v>0</v>
      </c>
      <c r="U276" s="114">
        <f>'Reserve Bank'!I276-'Check RB Past'!I276</f>
        <v>0</v>
      </c>
      <c r="V276" s="1"/>
      <c r="W276" s="1"/>
      <c r="X276" s="1"/>
      <c r="Y276" s="1"/>
      <c r="Z276" s="1"/>
      <c r="AA276" s="1"/>
      <c r="AB276" s="1"/>
      <c r="AC276" s="1"/>
    </row>
    <row r="277" spans="1:29" s="14" customFormat="1" ht="12.75" customHeight="1" x14ac:dyDescent="0.2">
      <c r="A277" s="110">
        <v>44742</v>
      </c>
      <c r="B277" s="117">
        <v>5163</v>
      </c>
      <c r="C277" s="117">
        <v>5834</v>
      </c>
      <c r="D277" s="117">
        <v>10997</v>
      </c>
      <c r="E277" s="117">
        <v>-86</v>
      </c>
      <c r="F277" s="117">
        <v>10911</v>
      </c>
      <c r="G277" s="117">
        <v>9093</v>
      </c>
      <c r="H277" s="117">
        <v>20004</v>
      </c>
      <c r="I277" s="117">
        <v>764</v>
      </c>
      <c r="J277" s="1"/>
      <c r="K277" s="1"/>
      <c r="L277" s="1"/>
      <c r="M277" s="110">
        <v>44742</v>
      </c>
      <c r="N277" s="114">
        <f>'Reserve Bank'!B277-'Check RB Past'!B277</f>
        <v>0</v>
      </c>
      <c r="O277" s="114">
        <f>'Reserve Bank'!C277-'Check RB Past'!C277</f>
        <v>0</v>
      </c>
      <c r="P277" s="114">
        <f>'Reserve Bank'!D277-'Check RB Past'!D277</f>
        <v>0</v>
      </c>
      <c r="Q277" s="114">
        <f>'Reserve Bank'!E277-'Check RB Past'!E277</f>
        <v>0</v>
      </c>
      <c r="R277" s="114">
        <f>'Reserve Bank'!F277-'Check RB Past'!F277</f>
        <v>0</v>
      </c>
      <c r="S277" s="114">
        <f>'Reserve Bank'!G277-'Check RB Past'!G277</f>
        <v>0</v>
      </c>
      <c r="T277" s="114">
        <f>'Reserve Bank'!H277-'Check RB Past'!H277</f>
        <v>0</v>
      </c>
      <c r="U277" s="114">
        <f>'Reserve Bank'!I277-'Check RB Past'!I277</f>
        <v>0</v>
      </c>
      <c r="V277" s="1"/>
      <c r="W277" s="1"/>
      <c r="X277" s="1"/>
      <c r="Y277" s="1"/>
      <c r="Z277" s="1"/>
      <c r="AA277" s="1"/>
      <c r="AB277" s="1"/>
    </row>
    <row r="278" spans="1:29" s="14" customFormat="1" ht="12.75" customHeight="1" x14ac:dyDescent="0.2">
      <c r="A278" s="110">
        <v>44773</v>
      </c>
      <c r="B278" s="117">
        <v>5210</v>
      </c>
      <c r="C278" s="117">
        <v>7052</v>
      </c>
      <c r="D278" s="117">
        <v>12262</v>
      </c>
      <c r="E278" s="117">
        <v>-103</v>
      </c>
      <c r="F278" s="117">
        <v>12159</v>
      </c>
      <c r="G278" s="117">
        <v>9002</v>
      </c>
      <c r="H278" s="117">
        <v>21161</v>
      </c>
      <c r="I278" s="117">
        <v>580</v>
      </c>
      <c r="J278" s="1"/>
      <c r="K278" s="1"/>
      <c r="L278" s="1"/>
      <c r="M278" s="110">
        <v>44773</v>
      </c>
      <c r="N278" s="114">
        <f>'Reserve Bank'!B278-'Check RB Past'!B278</f>
        <v>0</v>
      </c>
      <c r="O278" s="114">
        <f>'Reserve Bank'!C278-'Check RB Past'!C278</f>
        <v>0</v>
      </c>
      <c r="P278" s="114">
        <f>'Reserve Bank'!D278-'Check RB Past'!D278</f>
        <v>0</v>
      </c>
      <c r="Q278" s="114">
        <f>'Reserve Bank'!E278-'Check RB Past'!E278</f>
        <v>0</v>
      </c>
      <c r="R278" s="114">
        <f>'Reserve Bank'!F278-'Check RB Past'!F278</f>
        <v>0</v>
      </c>
      <c r="S278" s="114">
        <f>'Reserve Bank'!G278-'Check RB Past'!G278</f>
        <v>0</v>
      </c>
      <c r="T278" s="114">
        <f>'Reserve Bank'!H278-'Check RB Past'!H278</f>
        <v>0</v>
      </c>
      <c r="U278" s="114">
        <f>'Reserve Bank'!I278-'Check RB Past'!I278</f>
        <v>0</v>
      </c>
      <c r="V278" s="1"/>
      <c r="W278" s="1"/>
      <c r="X278" s="1"/>
      <c r="Y278" s="1"/>
      <c r="Z278" s="1"/>
      <c r="AA278" s="1"/>
      <c r="AB278" s="1"/>
    </row>
    <row r="279" spans="1:29" s="14" customFormat="1" ht="12.75" customHeight="1" x14ac:dyDescent="0.2">
      <c r="A279" s="110">
        <v>44804</v>
      </c>
      <c r="B279" s="117">
        <v>6852</v>
      </c>
      <c r="C279" s="117">
        <v>3972</v>
      </c>
      <c r="D279" s="117">
        <v>10824</v>
      </c>
      <c r="E279" s="117">
        <v>-200</v>
      </c>
      <c r="F279" s="117">
        <v>10624</v>
      </c>
      <c r="G279" s="117">
        <v>8824</v>
      </c>
      <c r="H279" s="117">
        <v>19448</v>
      </c>
      <c r="I279" s="117">
        <v>718</v>
      </c>
      <c r="J279" s="1"/>
      <c r="K279" s="1"/>
      <c r="L279" s="1"/>
      <c r="M279" s="110">
        <v>44804</v>
      </c>
      <c r="N279" s="114">
        <f>'Reserve Bank'!B279-'Check RB Past'!B279</f>
        <v>0</v>
      </c>
      <c r="O279" s="114">
        <f>'Reserve Bank'!C279-'Check RB Past'!C279</f>
        <v>0</v>
      </c>
      <c r="P279" s="114">
        <f>'Reserve Bank'!D279-'Check RB Past'!D279</f>
        <v>0</v>
      </c>
      <c r="Q279" s="114">
        <f>'Reserve Bank'!E279-'Check RB Past'!E279</f>
        <v>0</v>
      </c>
      <c r="R279" s="114">
        <f>'Reserve Bank'!F279-'Check RB Past'!F279</f>
        <v>0</v>
      </c>
      <c r="S279" s="114">
        <f>'Reserve Bank'!G279-'Check RB Past'!G279</f>
        <v>0</v>
      </c>
      <c r="T279" s="114">
        <f>'Reserve Bank'!H279-'Check RB Past'!H279</f>
        <v>0</v>
      </c>
      <c r="U279" s="114">
        <f>'Reserve Bank'!I279-'Check RB Past'!I279</f>
        <v>0</v>
      </c>
      <c r="V279" s="1"/>
      <c r="W279" s="1"/>
      <c r="X279" s="1"/>
      <c r="Y279" s="1"/>
      <c r="Z279" s="1"/>
      <c r="AA279" s="1"/>
      <c r="AB279" s="1"/>
    </row>
    <row r="280" spans="1:29" s="14" customFormat="1" ht="12.75" customHeight="1" x14ac:dyDescent="0.2">
      <c r="A280" s="110">
        <v>44834</v>
      </c>
      <c r="B280" s="117">
        <v>7427</v>
      </c>
      <c r="C280" s="117">
        <v>4365</v>
      </c>
      <c r="D280" s="117">
        <v>11792</v>
      </c>
      <c r="E280" s="117">
        <v>-570</v>
      </c>
      <c r="F280" s="117">
        <v>11222</v>
      </c>
      <c r="G280" s="117">
        <v>8723</v>
      </c>
      <c r="H280" s="117">
        <v>19945</v>
      </c>
      <c r="I280" s="117">
        <v>641</v>
      </c>
      <c r="J280" s="1"/>
      <c r="K280" s="1"/>
      <c r="L280" s="1"/>
      <c r="M280" s="110">
        <v>44834</v>
      </c>
      <c r="N280" s="114">
        <f>'Reserve Bank'!B280-'Check RB Past'!B280</f>
        <v>0</v>
      </c>
      <c r="O280" s="114">
        <f>'Reserve Bank'!C280-'Check RB Past'!C280</f>
        <v>0</v>
      </c>
      <c r="P280" s="114">
        <f>'Reserve Bank'!D280-'Check RB Past'!D280</f>
        <v>0</v>
      </c>
      <c r="Q280" s="114">
        <f>'Reserve Bank'!E280-'Check RB Past'!E280</f>
        <v>0</v>
      </c>
      <c r="R280" s="114">
        <f>'Reserve Bank'!F280-'Check RB Past'!F280</f>
        <v>0</v>
      </c>
      <c r="S280" s="114">
        <f>'Reserve Bank'!G280-'Check RB Past'!G280</f>
        <v>0</v>
      </c>
      <c r="T280" s="114">
        <f>'Reserve Bank'!H280-'Check RB Past'!H280</f>
        <v>0</v>
      </c>
      <c r="U280" s="114">
        <f>'Reserve Bank'!I280-'Check RB Past'!I280</f>
        <v>0</v>
      </c>
      <c r="V280" s="1"/>
      <c r="W280" s="1"/>
      <c r="X280" s="1"/>
      <c r="Y280" s="1"/>
      <c r="Z280" s="1"/>
      <c r="AA280" s="1"/>
      <c r="AB280" s="1"/>
    </row>
    <row r="281" spans="1:29" s="14" customFormat="1" ht="12.75" customHeight="1" x14ac:dyDescent="0.2">
      <c r="A281" s="110">
        <v>44865</v>
      </c>
      <c r="B281" s="117">
        <v>6726</v>
      </c>
      <c r="C281" s="117">
        <v>2645</v>
      </c>
      <c r="D281" s="117">
        <v>9371</v>
      </c>
      <c r="E281" s="117">
        <v>-375</v>
      </c>
      <c r="F281" s="117">
        <v>8996</v>
      </c>
      <c r="G281" s="117">
        <v>8105</v>
      </c>
      <c r="H281" s="117">
        <v>17101</v>
      </c>
      <c r="I281" s="117">
        <v>988</v>
      </c>
      <c r="J281" s="1"/>
      <c r="K281" s="1"/>
      <c r="L281" s="1"/>
      <c r="M281" s="110">
        <v>44865</v>
      </c>
      <c r="N281" s="114">
        <f>'Reserve Bank'!B281-'Check RB Past'!B281</f>
        <v>0</v>
      </c>
      <c r="O281" s="114">
        <f>'Reserve Bank'!C281-'Check RB Past'!C281</f>
        <v>0</v>
      </c>
      <c r="P281" s="114">
        <f>'Reserve Bank'!D281-'Check RB Past'!D281</f>
        <v>0</v>
      </c>
      <c r="Q281" s="114">
        <f>'Reserve Bank'!E281-'Check RB Past'!E281</f>
        <v>0</v>
      </c>
      <c r="R281" s="114">
        <f>'Reserve Bank'!F281-'Check RB Past'!F281</f>
        <v>0</v>
      </c>
      <c r="S281" s="114">
        <f>'Reserve Bank'!G281-'Check RB Past'!G281</f>
        <v>0</v>
      </c>
      <c r="T281" s="114">
        <f>'Reserve Bank'!H281-'Check RB Past'!H281</f>
        <v>0</v>
      </c>
      <c r="U281" s="114">
        <f>'Reserve Bank'!I281-'Check RB Past'!I281</f>
        <v>0</v>
      </c>
      <c r="V281" s="1"/>
      <c r="W281" s="1"/>
      <c r="X281" s="1"/>
      <c r="Y281" s="1"/>
      <c r="Z281" s="1"/>
      <c r="AA281" s="1"/>
      <c r="AB281" s="1"/>
    </row>
    <row r="282" spans="1:29" s="14" customFormat="1" ht="12.75" customHeight="1" x14ac:dyDescent="0.2">
      <c r="A282" s="110">
        <v>44895</v>
      </c>
      <c r="B282" s="117">
        <v>5900</v>
      </c>
      <c r="C282" s="117">
        <v>9729</v>
      </c>
      <c r="D282" s="117">
        <v>15629</v>
      </c>
      <c r="E282" s="117">
        <v>122</v>
      </c>
      <c r="F282" s="117">
        <v>15751</v>
      </c>
      <c r="G282" s="117">
        <v>7872</v>
      </c>
      <c r="H282" s="117">
        <v>23623</v>
      </c>
      <c r="I282" s="117">
        <v>1257</v>
      </c>
      <c r="J282" s="1"/>
      <c r="K282" s="1"/>
      <c r="L282" s="1"/>
      <c r="M282" s="110">
        <v>44895</v>
      </c>
      <c r="N282" s="114">
        <f>'Reserve Bank'!B282-'Check RB Past'!B282</f>
        <v>0</v>
      </c>
      <c r="O282" s="114">
        <f>'Reserve Bank'!C282-'Check RB Past'!C282</f>
        <v>0</v>
      </c>
      <c r="P282" s="114">
        <f>'Reserve Bank'!D282-'Check RB Past'!D282</f>
        <v>0</v>
      </c>
      <c r="Q282" s="114">
        <f>'Reserve Bank'!E282-'Check RB Past'!E282</f>
        <v>0</v>
      </c>
      <c r="R282" s="114">
        <f>'Reserve Bank'!F282-'Check RB Past'!F282</f>
        <v>0</v>
      </c>
      <c r="S282" s="114">
        <f>'Reserve Bank'!G282-'Check RB Past'!G282</f>
        <v>0</v>
      </c>
      <c r="T282" s="114">
        <f>'Reserve Bank'!H282-'Check RB Past'!H282</f>
        <v>0</v>
      </c>
      <c r="U282" s="114">
        <f>'Reserve Bank'!I282-'Check RB Past'!I282</f>
        <v>0</v>
      </c>
      <c r="V282" s="1"/>
      <c r="W282" s="1"/>
      <c r="X282" s="1"/>
      <c r="Y282" s="1"/>
      <c r="Z282" s="1"/>
      <c r="AA282" s="1"/>
      <c r="AB282" s="1"/>
    </row>
    <row r="283" spans="1:29" s="14" customFormat="1" ht="12.75" customHeight="1" x14ac:dyDescent="0.2">
      <c r="A283" s="110">
        <v>44926</v>
      </c>
      <c r="B283" s="117">
        <v>6394</v>
      </c>
      <c r="C283" s="117">
        <v>9523</v>
      </c>
      <c r="D283" s="117">
        <v>15917</v>
      </c>
      <c r="E283" s="117">
        <v>-340</v>
      </c>
      <c r="F283" s="117">
        <v>15577</v>
      </c>
      <c r="G283" s="117">
        <v>7177</v>
      </c>
      <c r="H283" s="117">
        <v>22754</v>
      </c>
      <c r="I283" s="117">
        <v>1391</v>
      </c>
      <c r="J283" s="1"/>
      <c r="K283" s="1"/>
      <c r="L283" s="1"/>
      <c r="M283" s="110">
        <v>44926</v>
      </c>
      <c r="N283" s="114">
        <f>'Reserve Bank'!B283-'Check RB Past'!B283</f>
        <v>0</v>
      </c>
      <c r="O283" s="114">
        <f>'Reserve Bank'!C283-'Check RB Past'!C283</f>
        <v>0</v>
      </c>
      <c r="P283" s="114">
        <f>'Reserve Bank'!D283-'Check RB Past'!D283</f>
        <v>0</v>
      </c>
      <c r="Q283" s="114">
        <f>'Reserve Bank'!E283-'Check RB Past'!E283</f>
        <v>0</v>
      </c>
      <c r="R283" s="114">
        <f>'Reserve Bank'!F283-'Check RB Past'!F283</f>
        <v>0</v>
      </c>
      <c r="S283" s="114">
        <f>'Reserve Bank'!G283-'Check RB Past'!G283</f>
        <v>0</v>
      </c>
      <c r="T283" s="114">
        <f>'Reserve Bank'!H283-'Check RB Past'!H283</f>
        <v>0</v>
      </c>
      <c r="U283" s="114">
        <f>'Reserve Bank'!I283-'Check RB Past'!I283</f>
        <v>0</v>
      </c>
      <c r="V283" s="1"/>
      <c r="W283" s="1"/>
      <c r="X283" s="1"/>
      <c r="Y283" s="1"/>
      <c r="Z283" s="1"/>
      <c r="AA283" s="1"/>
      <c r="AB283" s="1"/>
    </row>
    <row r="284" spans="1:29" s="14" customFormat="1" ht="12.75" customHeight="1" x14ac:dyDescent="0.2">
      <c r="A284" s="110">
        <v>44957</v>
      </c>
      <c r="B284" s="117">
        <v>4571</v>
      </c>
      <c r="C284" s="117">
        <v>11301</v>
      </c>
      <c r="D284" s="117">
        <v>15872</v>
      </c>
      <c r="E284" s="117">
        <v>15</v>
      </c>
      <c r="F284" s="117">
        <v>15887</v>
      </c>
      <c r="G284" s="117">
        <v>7044</v>
      </c>
      <c r="H284" s="117">
        <v>22931</v>
      </c>
      <c r="I284" s="117">
        <v>1260</v>
      </c>
      <c r="J284" s="1"/>
      <c r="K284" s="1"/>
      <c r="L284" s="1"/>
      <c r="M284" s="110">
        <v>44957</v>
      </c>
      <c r="N284" s="114">
        <f>'Reserve Bank'!B284-'Check RB Past'!B284</f>
        <v>0</v>
      </c>
      <c r="O284" s="114">
        <f>'Reserve Bank'!C284-'Check RB Past'!C284</f>
        <v>0</v>
      </c>
      <c r="P284" s="114">
        <f>'Reserve Bank'!D284-'Check RB Past'!D284</f>
        <v>0</v>
      </c>
      <c r="Q284" s="114">
        <f>'Reserve Bank'!E284-'Check RB Past'!E284</f>
        <v>0</v>
      </c>
      <c r="R284" s="114">
        <f>'Reserve Bank'!F284-'Check RB Past'!F284</f>
        <v>0</v>
      </c>
      <c r="S284" s="114">
        <f>'Reserve Bank'!G284-'Check RB Past'!G284</f>
        <v>0</v>
      </c>
      <c r="T284" s="114">
        <f>'Reserve Bank'!H284-'Check RB Past'!H284</f>
        <v>0</v>
      </c>
      <c r="U284" s="114">
        <f>'Reserve Bank'!I284-'Check RB Past'!I284</f>
        <v>0</v>
      </c>
      <c r="V284" s="1"/>
      <c r="W284" s="1"/>
      <c r="X284" s="1"/>
      <c r="Y284" s="1"/>
      <c r="Z284" s="1"/>
      <c r="AA284" s="1"/>
      <c r="AB284" s="1"/>
    </row>
    <row r="285" spans="1:29" s="14" customFormat="1" ht="12.75" customHeight="1" x14ac:dyDescent="0.2">
      <c r="A285" s="110">
        <v>44985</v>
      </c>
      <c r="B285" s="117">
        <v>4422</v>
      </c>
      <c r="C285" s="117">
        <v>15366</v>
      </c>
      <c r="D285" s="117">
        <v>19788</v>
      </c>
      <c r="E285" s="117">
        <v>-148</v>
      </c>
      <c r="F285" s="117">
        <v>19640</v>
      </c>
      <c r="G285" s="117">
        <v>7612</v>
      </c>
      <c r="H285" s="117">
        <v>27252</v>
      </c>
      <c r="I285" s="117">
        <v>1080</v>
      </c>
      <c r="J285" s="1"/>
      <c r="K285" s="1"/>
      <c r="L285" s="1"/>
      <c r="M285" s="110">
        <v>44985</v>
      </c>
      <c r="N285" s="114">
        <f>'Reserve Bank'!B285-'Check RB Past'!B285</f>
        <v>0</v>
      </c>
      <c r="O285" s="114">
        <f>'Reserve Bank'!C285-'Check RB Past'!C285</f>
        <v>0</v>
      </c>
      <c r="P285" s="114">
        <f>'Reserve Bank'!D285-'Check RB Past'!D285</f>
        <v>0</v>
      </c>
      <c r="Q285" s="114">
        <f>'Reserve Bank'!E285-'Check RB Past'!E285</f>
        <v>0</v>
      </c>
      <c r="R285" s="114">
        <f>'Reserve Bank'!F285-'Check RB Past'!F285</f>
        <v>0</v>
      </c>
      <c r="S285" s="114">
        <f>'Reserve Bank'!G285-'Check RB Past'!G285</f>
        <v>0</v>
      </c>
      <c r="T285" s="114">
        <f>'Reserve Bank'!H285-'Check RB Past'!H285</f>
        <v>0</v>
      </c>
      <c r="U285" s="114">
        <f>'Reserve Bank'!I285-'Check RB Past'!I285</f>
        <v>0</v>
      </c>
      <c r="V285" s="1"/>
      <c r="W285" s="1"/>
      <c r="X285" s="1"/>
      <c r="Y285" s="1"/>
      <c r="Z285" s="1"/>
      <c r="AA285" s="1"/>
      <c r="AB285" s="1"/>
    </row>
    <row r="286" spans="1:29" s="14" customFormat="1" ht="12.75" customHeight="1" x14ac:dyDescent="0.2">
      <c r="A286" s="110">
        <v>45016</v>
      </c>
      <c r="B286" s="117">
        <v>4103</v>
      </c>
      <c r="C286" s="117">
        <v>12448</v>
      </c>
      <c r="D286" s="117">
        <v>16551</v>
      </c>
      <c r="E286" s="117">
        <v>184</v>
      </c>
      <c r="F286" s="117">
        <v>16735</v>
      </c>
      <c r="G286" s="117">
        <v>6797</v>
      </c>
      <c r="H286" s="117">
        <v>23532</v>
      </c>
      <c r="I286" s="117">
        <v>978</v>
      </c>
      <c r="J286" s="1"/>
      <c r="K286" s="1"/>
      <c r="L286" s="1"/>
      <c r="M286" s="110">
        <v>45016</v>
      </c>
      <c r="N286" s="114">
        <f>'Reserve Bank'!B286-'Check RB Past'!B286</f>
        <v>0</v>
      </c>
      <c r="O286" s="114">
        <f>'Reserve Bank'!C286-'Check RB Past'!C286</f>
        <v>0</v>
      </c>
      <c r="P286" s="114">
        <f>'Reserve Bank'!D286-'Check RB Past'!D286</f>
        <v>0</v>
      </c>
      <c r="Q286" s="114">
        <f>'Reserve Bank'!E286-'Check RB Past'!E286</f>
        <v>0</v>
      </c>
      <c r="R286" s="114">
        <f>'Reserve Bank'!F286-'Check RB Past'!F286</f>
        <v>0</v>
      </c>
      <c r="S286" s="114">
        <f>'Reserve Bank'!G286-'Check RB Past'!G286</f>
        <v>0</v>
      </c>
      <c r="T286" s="114">
        <f>'Reserve Bank'!H286-'Check RB Past'!H286</f>
        <v>0</v>
      </c>
      <c r="U286" s="114">
        <f>'Reserve Bank'!I286-'Check RB Past'!I286</f>
        <v>0</v>
      </c>
      <c r="V286" s="1"/>
      <c r="W286" s="1"/>
      <c r="X286" s="1"/>
      <c r="Y286" s="1"/>
      <c r="Z286" s="1"/>
      <c r="AA286" s="1"/>
      <c r="AB286" s="1"/>
    </row>
    <row r="287" spans="1:29" s="14" customFormat="1" ht="12.75" customHeight="1" x14ac:dyDescent="0.2">
      <c r="A287" s="110">
        <v>45046</v>
      </c>
      <c r="B287" s="117">
        <v>4365</v>
      </c>
      <c r="C287" s="117">
        <v>13810</v>
      </c>
      <c r="D287" s="117">
        <v>18175</v>
      </c>
      <c r="E287" s="117">
        <v>279</v>
      </c>
      <c r="F287" s="117">
        <v>18454</v>
      </c>
      <c r="G287" s="117">
        <v>7433</v>
      </c>
      <c r="H287" s="117">
        <v>25887</v>
      </c>
      <c r="I287" s="117">
        <v>953</v>
      </c>
      <c r="J287" s="1"/>
      <c r="K287" s="1"/>
      <c r="L287" s="1"/>
      <c r="M287" s="110">
        <v>45046</v>
      </c>
      <c r="N287" s="114">
        <f>'Reserve Bank'!B287-'Check RB Past'!B287</f>
        <v>0</v>
      </c>
      <c r="O287" s="114">
        <f>'Reserve Bank'!C287-'Check RB Past'!C287</f>
        <v>0</v>
      </c>
      <c r="P287" s="114">
        <f>'Reserve Bank'!D287-'Check RB Past'!D287</f>
        <v>0</v>
      </c>
      <c r="Q287" s="114">
        <f>'Reserve Bank'!E287-'Check RB Past'!E287</f>
        <v>0</v>
      </c>
      <c r="R287" s="114">
        <f>'Reserve Bank'!F287-'Check RB Past'!F287</f>
        <v>0</v>
      </c>
      <c r="S287" s="114">
        <f>'Reserve Bank'!G287-'Check RB Past'!G287</f>
        <v>0</v>
      </c>
      <c r="T287" s="114">
        <f>'Reserve Bank'!H287-'Check RB Past'!H287</f>
        <v>0</v>
      </c>
      <c r="U287" s="114">
        <f>'Reserve Bank'!I287-'Check RB Past'!I287</f>
        <v>0</v>
      </c>
      <c r="V287" s="1"/>
      <c r="W287" s="1"/>
      <c r="X287" s="1"/>
      <c r="Y287" s="1"/>
      <c r="Z287" s="1"/>
      <c r="AA287" s="1"/>
      <c r="AB287" s="1"/>
    </row>
    <row r="288" spans="1:29" s="14" customFormat="1" ht="12.75" customHeight="1" x14ac:dyDescent="0.2">
      <c r="A288" s="110">
        <v>45077</v>
      </c>
      <c r="B288" s="117">
        <v>6412</v>
      </c>
      <c r="C288" s="117">
        <v>12690</v>
      </c>
      <c r="D288" s="117">
        <v>19102</v>
      </c>
      <c r="E288" s="117">
        <v>-69</v>
      </c>
      <c r="F288" s="117">
        <v>19033</v>
      </c>
      <c r="G288" s="117">
        <v>7436</v>
      </c>
      <c r="H288" s="117">
        <v>26469</v>
      </c>
      <c r="I288" s="117">
        <v>972</v>
      </c>
      <c r="J288" s="1"/>
      <c r="K288" s="1"/>
      <c r="L288" s="1"/>
      <c r="M288" s="110">
        <v>45077</v>
      </c>
      <c r="N288" s="114">
        <f>'Reserve Bank'!B288-'Check RB Past'!B288</f>
        <v>0</v>
      </c>
      <c r="O288" s="114">
        <f>'Reserve Bank'!C288-'Check RB Past'!C288</f>
        <v>0</v>
      </c>
      <c r="P288" s="114">
        <f>'Reserve Bank'!D288-'Check RB Past'!D288</f>
        <v>0</v>
      </c>
      <c r="Q288" s="114">
        <f>'Reserve Bank'!E288-'Check RB Past'!E288</f>
        <v>0</v>
      </c>
      <c r="R288" s="114">
        <f>'Reserve Bank'!F288-'Check RB Past'!F288</f>
        <v>0</v>
      </c>
      <c r="S288" s="114">
        <f>'Reserve Bank'!G288-'Check RB Past'!G288</f>
        <v>0</v>
      </c>
      <c r="T288" s="114">
        <f>'Reserve Bank'!H288-'Check RB Past'!H288</f>
        <v>0</v>
      </c>
      <c r="U288" s="114">
        <f>'Reserve Bank'!I288-'Check RB Past'!I288</f>
        <v>0</v>
      </c>
      <c r="V288" s="1"/>
      <c r="W288" s="1"/>
      <c r="X288" s="1"/>
      <c r="Y288" s="1"/>
      <c r="Z288" s="1"/>
      <c r="AA288" s="1"/>
      <c r="AB288" s="1"/>
    </row>
    <row r="289" spans="1:28" s="14" customFormat="1" ht="12.75" customHeight="1" x14ac:dyDescent="0.2">
      <c r="A289" s="110">
        <v>45107</v>
      </c>
      <c r="B289" s="117">
        <v>5926</v>
      </c>
      <c r="C289" s="117">
        <v>8270</v>
      </c>
      <c r="D289" s="117">
        <v>14196</v>
      </c>
      <c r="E289" s="117">
        <v>591</v>
      </c>
      <c r="F289" s="117">
        <v>14787</v>
      </c>
      <c r="G289" s="117">
        <v>7138</v>
      </c>
      <c r="H289" s="117">
        <v>21925</v>
      </c>
      <c r="I289" s="117">
        <v>1047</v>
      </c>
      <c r="J289" s="1"/>
      <c r="K289" s="1"/>
      <c r="L289" s="1"/>
      <c r="M289" s="110">
        <v>45107</v>
      </c>
      <c r="N289" s="114">
        <f>'Reserve Bank'!B289-'Check RB Past'!B289</f>
        <v>0</v>
      </c>
      <c r="O289" s="114">
        <f>'Reserve Bank'!C289-'Check RB Past'!C289</f>
        <v>0</v>
      </c>
      <c r="P289" s="114">
        <f>'Reserve Bank'!D289-'Check RB Past'!D289</f>
        <v>0</v>
      </c>
      <c r="Q289" s="114">
        <f>'Reserve Bank'!E289-'Check RB Past'!E289</f>
        <v>0</v>
      </c>
      <c r="R289" s="114">
        <f>'Reserve Bank'!F289-'Check RB Past'!F289</f>
        <v>0</v>
      </c>
      <c r="S289" s="114">
        <f>'Reserve Bank'!G289-'Check RB Past'!G289</f>
        <v>0</v>
      </c>
      <c r="T289" s="114">
        <f>'Reserve Bank'!H289-'Check RB Past'!H289</f>
        <v>0</v>
      </c>
      <c r="U289" s="114">
        <f>'Reserve Bank'!I289-'Check RB Past'!I289</f>
        <v>0</v>
      </c>
      <c r="V289" s="1"/>
      <c r="W289" s="1"/>
      <c r="X289" s="1"/>
      <c r="Y289" s="1"/>
      <c r="Z289" s="1"/>
      <c r="AA289" s="1"/>
      <c r="AB289" s="1"/>
    </row>
    <row r="290" spans="1:28" s="14" customFormat="1" ht="12.75" customHeight="1" x14ac:dyDescent="0.2">
      <c r="A290" s="110">
        <v>45138</v>
      </c>
      <c r="B290" s="117">
        <v>7686</v>
      </c>
      <c r="C290" s="117">
        <v>13088</v>
      </c>
      <c r="D290" s="117">
        <v>20774</v>
      </c>
      <c r="E290" s="117">
        <v>-147</v>
      </c>
      <c r="F290" s="117">
        <v>20627</v>
      </c>
      <c r="G290" s="117">
        <v>6982</v>
      </c>
      <c r="H290" s="117">
        <v>27609</v>
      </c>
      <c r="I290" s="117">
        <v>1130</v>
      </c>
      <c r="J290" s="1"/>
      <c r="K290" s="1"/>
      <c r="L290" s="1"/>
      <c r="M290" s="110">
        <v>45138</v>
      </c>
      <c r="N290" s="114">
        <f>'Reserve Bank'!B290-'Check RB Past'!B290</f>
        <v>0</v>
      </c>
      <c r="O290" s="114">
        <f>'Reserve Bank'!C290-'Check RB Past'!C290</f>
        <v>0</v>
      </c>
      <c r="P290" s="114">
        <f>'Reserve Bank'!D290-'Check RB Past'!D290</f>
        <v>0</v>
      </c>
      <c r="Q290" s="114">
        <f>'Reserve Bank'!E290-'Check RB Past'!E290</f>
        <v>0</v>
      </c>
      <c r="R290" s="114">
        <f>'Reserve Bank'!F290-'Check RB Past'!F290</f>
        <v>0</v>
      </c>
      <c r="S290" s="114">
        <f>'Reserve Bank'!G290-'Check RB Past'!G290</f>
        <v>0</v>
      </c>
      <c r="T290" s="114">
        <f>'Reserve Bank'!H290-'Check RB Past'!H290</f>
        <v>0</v>
      </c>
      <c r="U290" s="114">
        <f>'Reserve Bank'!I290-'Check RB Past'!I290</f>
        <v>0</v>
      </c>
      <c r="V290" s="1"/>
      <c r="W290" s="1"/>
      <c r="X290" s="1"/>
      <c r="Y290" s="1"/>
      <c r="Z290" s="1"/>
      <c r="AA290" s="1"/>
      <c r="AB290" s="1"/>
    </row>
    <row r="291" spans="1:28" s="14" customFormat="1" ht="12.75" customHeight="1" x14ac:dyDescent="0.2">
      <c r="A291" s="110">
        <v>45169</v>
      </c>
      <c r="B291" s="117">
        <v>8735</v>
      </c>
      <c r="C291" s="117">
        <v>11024</v>
      </c>
      <c r="D291" s="117">
        <v>19759</v>
      </c>
      <c r="E291" s="117">
        <v>585</v>
      </c>
      <c r="F291" s="117">
        <v>20344</v>
      </c>
      <c r="G291" s="117">
        <v>7023</v>
      </c>
      <c r="H291" s="117">
        <v>27367</v>
      </c>
      <c r="I291" s="117">
        <v>978</v>
      </c>
      <c r="J291" s="1"/>
      <c r="K291" s="1"/>
      <c r="L291" s="1"/>
      <c r="M291" s="110">
        <v>45169</v>
      </c>
      <c r="N291" s="114">
        <f>'Reserve Bank'!B291-'Check RB Past'!B291</f>
        <v>0</v>
      </c>
      <c r="O291" s="114">
        <f>'Reserve Bank'!C291-'Check RB Past'!C291</f>
        <v>0</v>
      </c>
      <c r="P291" s="114">
        <f>'Reserve Bank'!D291-'Check RB Past'!D291</f>
        <v>0</v>
      </c>
      <c r="Q291" s="114">
        <f>'Reserve Bank'!E291-'Check RB Past'!E291</f>
        <v>0</v>
      </c>
      <c r="R291" s="114">
        <f>'Reserve Bank'!F291-'Check RB Past'!F291</f>
        <v>0</v>
      </c>
      <c r="S291" s="114">
        <f>'Reserve Bank'!G291-'Check RB Past'!G291</f>
        <v>0</v>
      </c>
      <c r="T291" s="114">
        <f>'Reserve Bank'!H291-'Check RB Past'!H291</f>
        <v>0</v>
      </c>
      <c r="U291" s="114">
        <f>'Reserve Bank'!I291-'Check RB Past'!I291</f>
        <v>0</v>
      </c>
      <c r="V291" s="1"/>
      <c r="W291" s="1"/>
      <c r="X291" s="1"/>
      <c r="Y291" s="1"/>
      <c r="Z291" s="1"/>
      <c r="AA291" s="1"/>
      <c r="AB291" s="1"/>
    </row>
    <row r="292" spans="1:28" s="14" customFormat="1" ht="12.75" customHeight="1" x14ac:dyDescent="0.2">
      <c r="A292" s="110">
        <v>45199</v>
      </c>
      <c r="B292" s="117">
        <v>8413</v>
      </c>
      <c r="C292" s="117">
        <v>11137</v>
      </c>
      <c r="D292" s="117">
        <v>19550</v>
      </c>
      <c r="E292" s="117">
        <v>2114</v>
      </c>
      <c r="F292" s="117">
        <v>21664</v>
      </c>
      <c r="G292" s="117">
        <v>6955</v>
      </c>
      <c r="H292" s="117">
        <v>28619</v>
      </c>
      <c r="I292" s="117">
        <v>1032</v>
      </c>
      <c r="J292" s="1"/>
      <c r="K292" s="1"/>
      <c r="L292" s="1"/>
      <c r="M292" s="110">
        <v>45199</v>
      </c>
      <c r="N292" s="114">
        <f>'Reserve Bank'!B292-'Check RB Past'!B292</f>
        <v>0</v>
      </c>
      <c r="O292" s="114">
        <f>'Reserve Bank'!C292-'Check RB Past'!C292</f>
        <v>0</v>
      </c>
      <c r="P292" s="114">
        <f>'Reserve Bank'!D292-'Check RB Past'!D292</f>
        <v>0</v>
      </c>
      <c r="Q292" s="114">
        <f>'Reserve Bank'!E292-'Check RB Past'!E292</f>
        <v>0</v>
      </c>
      <c r="R292" s="114">
        <f>'Reserve Bank'!F292-'Check RB Past'!F292</f>
        <v>0</v>
      </c>
      <c r="S292" s="114">
        <f>'Reserve Bank'!G292-'Check RB Past'!G292</f>
        <v>0</v>
      </c>
      <c r="T292" s="114">
        <f>'Reserve Bank'!H292-'Check RB Past'!H292</f>
        <v>0</v>
      </c>
      <c r="U292" s="114">
        <f>'Reserve Bank'!I292-'Check RB Past'!I292</f>
        <v>0</v>
      </c>
      <c r="V292" s="1"/>
      <c r="W292" s="1"/>
      <c r="X292" s="1"/>
      <c r="Y292" s="1"/>
      <c r="Z292" s="1"/>
      <c r="AA292" s="1"/>
      <c r="AB292" s="1"/>
    </row>
    <row r="293" spans="1:28" s="14" customFormat="1" ht="12.75" customHeight="1" x14ac:dyDescent="0.2">
      <c r="A293" s="110">
        <v>45230</v>
      </c>
      <c r="B293" s="117">
        <v>8385</v>
      </c>
      <c r="C293" s="117">
        <v>7940</v>
      </c>
      <c r="D293" s="117">
        <v>16325</v>
      </c>
      <c r="E293" s="117">
        <v>3474</v>
      </c>
      <c r="F293" s="117">
        <v>19799</v>
      </c>
      <c r="G293" s="117">
        <v>7480</v>
      </c>
      <c r="H293" s="117">
        <v>27279</v>
      </c>
      <c r="I293" s="117">
        <v>1053</v>
      </c>
      <c r="J293" s="1"/>
      <c r="K293" s="1"/>
      <c r="L293" s="1"/>
      <c r="M293" s="110">
        <v>45230</v>
      </c>
      <c r="N293" s="114">
        <f>'Reserve Bank'!B293-'Check RB Past'!B293</f>
        <v>0</v>
      </c>
      <c r="O293" s="114">
        <f>'Reserve Bank'!C293-'Check RB Past'!C293</f>
        <v>0</v>
      </c>
      <c r="P293" s="114">
        <f>'Reserve Bank'!D293-'Check RB Past'!D293</f>
        <v>0</v>
      </c>
      <c r="Q293" s="114">
        <f>'Reserve Bank'!E293-'Check RB Past'!E293</f>
        <v>0</v>
      </c>
      <c r="R293" s="114">
        <f>'Reserve Bank'!F293-'Check RB Past'!F293</f>
        <v>0</v>
      </c>
      <c r="S293" s="114">
        <f>'Reserve Bank'!G293-'Check RB Past'!G293</f>
        <v>0</v>
      </c>
      <c r="T293" s="114">
        <f>'Reserve Bank'!H293-'Check RB Past'!H293</f>
        <v>0</v>
      </c>
      <c r="U293" s="114">
        <f>'Reserve Bank'!I293-'Check RB Past'!I293</f>
        <v>0</v>
      </c>
      <c r="V293" s="1"/>
      <c r="W293" s="1"/>
      <c r="X293" s="1"/>
      <c r="Y293" s="1"/>
      <c r="Z293" s="1"/>
      <c r="AA293" s="1"/>
      <c r="AB293" s="1"/>
    </row>
    <row r="294" spans="1:28" s="14" customFormat="1" ht="12.75" customHeight="1" x14ac:dyDescent="0.2">
      <c r="A294" s="110">
        <v>45260</v>
      </c>
      <c r="B294" s="117">
        <v>10769</v>
      </c>
      <c r="C294" s="117">
        <v>10659</v>
      </c>
      <c r="D294" s="117">
        <v>21428</v>
      </c>
      <c r="E294" s="117">
        <v>2722</v>
      </c>
      <c r="F294" s="117">
        <v>24150</v>
      </c>
      <c r="G294" s="117">
        <v>7221</v>
      </c>
      <c r="H294" s="117">
        <v>31371</v>
      </c>
      <c r="I294" s="117">
        <v>1185</v>
      </c>
      <c r="J294" s="1"/>
      <c r="K294" s="1"/>
      <c r="L294" s="1"/>
      <c r="M294" s="110">
        <v>45260</v>
      </c>
      <c r="N294" s="114">
        <f>'Reserve Bank'!B294-'Check RB Past'!B294</f>
        <v>0</v>
      </c>
      <c r="O294" s="114">
        <f>'Reserve Bank'!C294-'Check RB Past'!C294</f>
        <v>0</v>
      </c>
      <c r="P294" s="114">
        <f>'Reserve Bank'!D294-'Check RB Past'!D294</f>
        <v>0</v>
      </c>
      <c r="Q294" s="114">
        <f>'Reserve Bank'!E294-'Check RB Past'!E294</f>
        <v>0</v>
      </c>
      <c r="R294" s="114">
        <f>'Reserve Bank'!F294-'Check RB Past'!F294</f>
        <v>0</v>
      </c>
      <c r="S294" s="114">
        <f>'Reserve Bank'!G294-'Check RB Past'!G294</f>
        <v>0</v>
      </c>
      <c r="T294" s="114">
        <f>'Reserve Bank'!H294-'Check RB Past'!H294</f>
        <v>0</v>
      </c>
      <c r="U294" s="114">
        <f>'Reserve Bank'!I294-'Check RB Past'!I294</f>
        <v>0</v>
      </c>
      <c r="V294" s="1"/>
      <c r="W294" s="1"/>
      <c r="X294" s="1"/>
      <c r="Y294" s="1"/>
      <c r="Z294" s="1"/>
      <c r="AA294" s="1"/>
      <c r="AB294" s="1"/>
    </row>
    <row r="295" spans="1:28" s="14" customFormat="1" ht="12.75" customHeight="1" x14ac:dyDescent="0.2">
      <c r="A295" s="110">
        <v>45291</v>
      </c>
      <c r="B295" s="117">
        <v>11529</v>
      </c>
      <c r="C295" s="117">
        <v>4742</v>
      </c>
      <c r="D295" s="117">
        <v>16271</v>
      </c>
      <c r="E295" s="117">
        <v>1094</v>
      </c>
      <c r="F295" s="117">
        <v>17365</v>
      </c>
      <c r="G295" s="117">
        <v>7113</v>
      </c>
      <c r="H295" s="117">
        <v>24478</v>
      </c>
      <c r="I295" s="117">
        <v>1251</v>
      </c>
      <c r="J295" s="1"/>
      <c r="K295" s="1"/>
      <c r="L295" s="1"/>
      <c r="M295" s="110">
        <v>45291</v>
      </c>
      <c r="N295" s="114">
        <f>'Reserve Bank'!B295-'Check RB Past'!B295</f>
        <v>0</v>
      </c>
      <c r="O295" s="114">
        <f>'Reserve Bank'!C295-'Check RB Past'!C295</f>
        <v>0</v>
      </c>
      <c r="P295" s="114">
        <f>'Reserve Bank'!D295-'Check RB Past'!D295</f>
        <v>0</v>
      </c>
      <c r="Q295" s="114">
        <f>'Reserve Bank'!E295-'Check RB Past'!E295</f>
        <v>0</v>
      </c>
      <c r="R295" s="114">
        <f>'Reserve Bank'!F295-'Check RB Past'!F295</f>
        <v>0</v>
      </c>
      <c r="S295" s="114">
        <f>'Reserve Bank'!G295-'Check RB Past'!G295</f>
        <v>0</v>
      </c>
      <c r="T295" s="114">
        <f>'Reserve Bank'!H295-'Check RB Past'!H295</f>
        <v>0</v>
      </c>
      <c r="U295" s="114">
        <f>'Reserve Bank'!I295-'Check RB Past'!I295</f>
        <v>0</v>
      </c>
      <c r="V295" s="1"/>
      <c r="W295" s="1"/>
      <c r="X295" s="1"/>
      <c r="Y295" s="1"/>
      <c r="Z295" s="1"/>
      <c r="AA295" s="1"/>
      <c r="AB295" s="1"/>
    </row>
    <row r="296" spans="1:28" s="14" customFormat="1" ht="12.75" customHeight="1" x14ac:dyDescent="0.2">
      <c r="A296" s="110">
        <v>45322</v>
      </c>
      <c r="B296" s="117">
        <v>9982</v>
      </c>
      <c r="C296" s="117">
        <v>8840</v>
      </c>
      <c r="D296" s="117">
        <v>18822</v>
      </c>
      <c r="E296" s="117">
        <v>3904</v>
      </c>
      <c r="F296" s="117">
        <v>22726</v>
      </c>
      <c r="G296" s="117">
        <v>7070</v>
      </c>
      <c r="H296" s="117">
        <v>29796</v>
      </c>
      <c r="I296" s="117">
        <v>1048</v>
      </c>
      <c r="J296" s="1"/>
      <c r="K296" s="1"/>
      <c r="L296" s="1"/>
      <c r="M296" s="110">
        <v>45322</v>
      </c>
      <c r="N296" s="114">
        <f>'Reserve Bank'!B296-'Check RB Past'!B296</f>
        <v>0</v>
      </c>
      <c r="O296" s="114">
        <f>'Reserve Bank'!C296-'Check RB Past'!C296</f>
        <v>0</v>
      </c>
      <c r="P296" s="114">
        <f>'Reserve Bank'!D296-'Check RB Past'!D296</f>
        <v>0</v>
      </c>
      <c r="Q296" s="114">
        <f>'Reserve Bank'!E296-'Check RB Past'!E296</f>
        <v>0</v>
      </c>
      <c r="R296" s="114">
        <f>'Reserve Bank'!F296-'Check RB Past'!F296</f>
        <v>0</v>
      </c>
      <c r="S296" s="114">
        <f>'Reserve Bank'!G296-'Check RB Past'!G296</f>
        <v>0</v>
      </c>
      <c r="T296" s="114">
        <f>'Reserve Bank'!H296-'Check RB Past'!H296</f>
        <v>0</v>
      </c>
      <c r="U296" s="114">
        <f>'Reserve Bank'!I296-'Check RB Past'!I296</f>
        <v>0</v>
      </c>
      <c r="V296" s="1"/>
      <c r="W296" s="1"/>
      <c r="X296" s="1"/>
      <c r="Y296" s="1"/>
      <c r="Z296" s="1"/>
      <c r="AA296" s="1"/>
      <c r="AB296" s="1"/>
    </row>
    <row r="297" spans="1:28" s="14" customFormat="1" ht="12.75" customHeight="1" x14ac:dyDescent="0.2">
      <c r="A297" s="110">
        <v>45351</v>
      </c>
      <c r="B297" s="117">
        <v>12132</v>
      </c>
      <c r="C297" s="117">
        <v>8839</v>
      </c>
      <c r="D297" s="117">
        <v>20971</v>
      </c>
      <c r="E297" s="117">
        <v>3343</v>
      </c>
      <c r="F297" s="117">
        <v>24314</v>
      </c>
      <c r="G297" s="117">
        <v>7398</v>
      </c>
      <c r="H297" s="117">
        <v>31712</v>
      </c>
      <c r="I297" s="117">
        <v>1039</v>
      </c>
      <c r="J297" s="1"/>
      <c r="K297" s="1"/>
      <c r="L297" s="1"/>
      <c r="M297" s="110">
        <v>45351</v>
      </c>
      <c r="N297" s="114">
        <f>'Reserve Bank'!B297-'Check RB Past'!B297</f>
        <v>0</v>
      </c>
      <c r="O297" s="114">
        <f>'Reserve Bank'!C297-'Check RB Past'!C297</f>
        <v>0</v>
      </c>
      <c r="P297" s="114">
        <f>'Reserve Bank'!D297-'Check RB Past'!D297</f>
        <v>0</v>
      </c>
      <c r="Q297" s="114">
        <f>'Reserve Bank'!E297-'Check RB Past'!E297</f>
        <v>0</v>
      </c>
      <c r="R297" s="114">
        <f>'Reserve Bank'!F297-'Check RB Past'!F297</f>
        <v>0</v>
      </c>
      <c r="S297" s="114">
        <f>'Reserve Bank'!G297-'Check RB Past'!G297</f>
        <v>0</v>
      </c>
      <c r="T297" s="114">
        <f>'Reserve Bank'!H297-'Check RB Past'!H297</f>
        <v>0</v>
      </c>
      <c r="U297" s="114">
        <f>'Reserve Bank'!I297-'Check RB Past'!I297</f>
        <v>0</v>
      </c>
      <c r="V297" s="1"/>
      <c r="W297" s="1"/>
      <c r="X297" s="1"/>
      <c r="Y297" s="1"/>
      <c r="Z297" s="1"/>
      <c r="AA297" s="1"/>
      <c r="AB297" s="1"/>
    </row>
    <row r="298" spans="1:28" s="12" customFormat="1" ht="12.75" customHeight="1" x14ac:dyDescent="0.2">
      <c r="A298" s="110">
        <v>45382</v>
      </c>
      <c r="B298" s="117">
        <v>12410</v>
      </c>
      <c r="C298" s="117">
        <v>3567</v>
      </c>
      <c r="D298" s="117">
        <v>15977</v>
      </c>
      <c r="E298" s="117">
        <v>4258</v>
      </c>
      <c r="F298" s="117">
        <v>20235</v>
      </c>
      <c r="G298" s="117">
        <v>6883</v>
      </c>
      <c r="H298" s="117">
        <v>27118</v>
      </c>
      <c r="I298" s="117">
        <v>858</v>
      </c>
      <c r="J298" s="13"/>
      <c r="K298" s="13"/>
      <c r="L298" s="13"/>
      <c r="M298" s="110">
        <v>45382</v>
      </c>
      <c r="N298" s="114">
        <f>'Reserve Bank'!B298-'Check RB Past'!B298</f>
        <v>0</v>
      </c>
      <c r="O298" s="114">
        <f>'Reserve Bank'!C298-'Check RB Past'!C298</f>
        <v>0</v>
      </c>
      <c r="P298" s="114">
        <f>'Reserve Bank'!D298-'Check RB Past'!D298</f>
        <v>0</v>
      </c>
      <c r="Q298" s="114">
        <f>'Reserve Bank'!E298-'Check RB Past'!E298</f>
        <v>0</v>
      </c>
      <c r="R298" s="114">
        <f>'Reserve Bank'!F298-'Check RB Past'!F298</f>
        <v>0</v>
      </c>
      <c r="S298" s="114">
        <f>'Reserve Bank'!G298-'Check RB Past'!G298</f>
        <v>0</v>
      </c>
      <c r="T298" s="114">
        <f>'Reserve Bank'!H298-'Check RB Past'!H298</f>
        <v>0</v>
      </c>
      <c r="U298" s="114">
        <f>'Reserve Bank'!I298-'Check RB Past'!I298</f>
        <v>0</v>
      </c>
      <c r="V298" s="13"/>
      <c r="W298" s="13"/>
      <c r="X298" s="13"/>
      <c r="Y298" s="13"/>
      <c r="Z298" s="13"/>
      <c r="AA298" s="13"/>
      <c r="AB298" s="13"/>
    </row>
    <row r="299" spans="1:28" s="12" customFormat="1" ht="12.75" customHeight="1" x14ac:dyDescent="0.2">
      <c r="A299" s="110">
        <v>45412</v>
      </c>
      <c r="B299" s="117">
        <v>12602</v>
      </c>
      <c r="C299" s="117">
        <v>8340</v>
      </c>
      <c r="D299" s="117">
        <v>20942</v>
      </c>
      <c r="E299" s="117">
        <v>4536</v>
      </c>
      <c r="F299" s="117">
        <v>25478</v>
      </c>
      <c r="G299" s="117">
        <v>6460</v>
      </c>
      <c r="H299" s="117">
        <v>31938</v>
      </c>
      <c r="I299" s="117">
        <v>827</v>
      </c>
      <c r="J299" s="13"/>
      <c r="K299" s="13"/>
      <c r="L299" s="13"/>
      <c r="M299" s="110">
        <v>45412</v>
      </c>
      <c r="N299" s="114">
        <f>'Reserve Bank'!B299-'Check RB Past'!B299</f>
        <v>0</v>
      </c>
      <c r="O299" s="114">
        <f>'Reserve Bank'!C299-'Check RB Past'!C299</f>
        <v>0</v>
      </c>
      <c r="P299" s="114">
        <f>'Reserve Bank'!D299-'Check RB Past'!D299</f>
        <v>0</v>
      </c>
      <c r="Q299" s="114">
        <f>'Reserve Bank'!E299-'Check RB Past'!E299</f>
        <v>0</v>
      </c>
      <c r="R299" s="114">
        <f>'Reserve Bank'!F299-'Check RB Past'!F299</f>
        <v>0</v>
      </c>
      <c r="S299" s="114">
        <f>'Reserve Bank'!G299-'Check RB Past'!G299</f>
        <v>0</v>
      </c>
      <c r="T299" s="114">
        <f>'Reserve Bank'!H299-'Check RB Past'!H299</f>
        <v>0</v>
      </c>
      <c r="U299" s="114">
        <f>'Reserve Bank'!I299-'Check RB Past'!I299</f>
        <v>0</v>
      </c>
      <c r="V299" s="13"/>
      <c r="W299" s="13"/>
      <c r="X299" s="13"/>
      <c r="Y299" s="13"/>
      <c r="Z299" s="13"/>
      <c r="AA299" s="13"/>
      <c r="AB299" s="13"/>
    </row>
    <row r="300" spans="1:28" s="12" customFormat="1" ht="12.75" customHeight="1" x14ac:dyDescent="0.2">
      <c r="A300" s="110">
        <v>45443</v>
      </c>
      <c r="B300" s="117">
        <v>11543</v>
      </c>
      <c r="C300" s="117">
        <v>5633</v>
      </c>
      <c r="D300" s="117">
        <v>17176</v>
      </c>
      <c r="E300" s="117">
        <v>5999</v>
      </c>
      <c r="F300" s="117">
        <v>23175</v>
      </c>
      <c r="G300" s="117">
        <v>6240</v>
      </c>
      <c r="H300" s="117">
        <v>29415</v>
      </c>
      <c r="I300" s="117">
        <v>1152</v>
      </c>
      <c r="J300" s="13"/>
      <c r="K300" s="13"/>
      <c r="L300" s="13"/>
      <c r="M300" s="110">
        <v>45443</v>
      </c>
      <c r="N300" s="114">
        <f>'Reserve Bank'!B300-'Check RB Past'!B300</f>
        <v>0</v>
      </c>
      <c r="O300" s="114">
        <f>'Reserve Bank'!C300-'Check RB Past'!C300</f>
        <v>0</v>
      </c>
      <c r="P300" s="114">
        <f>'Reserve Bank'!D300-'Check RB Past'!D300</f>
        <v>0</v>
      </c>
      <c r="Q300" s="114">
        <f>'Reserve Bank'!E300-'Check RB Past'!E300</f>
        <v>0</v>
      </c>
      <c r="R300" s="114">
        <f>'Reserve Bank'!F300-'Check RB Past'!F300</f>
        <v>0</v>
      </c>
      <c r="S300" s="114">
        <f>'Reserve Bank'!G300-'Check RB Past'!G300</f>
        <v>0</v>
      </c>
      <c r="T300" s="114">
        <f>'Reserve Bank'!H300-'Check RB Past'!H300</f>
        <v>0</v>
      </c>
      <c r="U300" s="114">
        <f>'Reserve Bank'!I300-'Check RB Past'!I300</f>
        <v>0</v>
      </c>
      <c r="V300" s="13"/>
      <c r="W300" s="13"/>
      <c r="X300" s="13"/>
      <c r="Y300" s="13"/>
      <c r="Z300" s="13"/>
      <c r="AA300" s="13"/>
      <c r="AB300" s="13"/>
    </row>
    <row r="301" spans="1:28" s="14" customFormat="1" ht="12.75" customHeight="1" x14ac:dyDescent="0.2">
      <c r="A301" s="110">
        <v>45473</v>
      </c>
      <c r="B301" s="117">
        <v>11086</v>
      </c>
      <c r="C301" s="117">
        <v>6203</v>
      </c>
      <c r="D301" s="117">
        <v>17289</v>
      </c>
      <c r="E301" s="117">
        <v>5925</v>
      </c>
      <c r="F301" s="117">
        <v>23214</v>
      </c>
      <c r="G301" s="117">
        <v>6123</v>
      </c>
      <c r="H301" s="117">
        <v>29337</v>
      </c>
      <c r="I301" s="117">
        <v>1013</v>
      </c>
      <c r="J301" s="20"/>
      <c r="K301" s="1"/>
      <c r="L301" s="1"/>
      <c r="M301" s="110">
        <v>45473</v>
      </c>
      <c r="N301" s="114">
        <f>'Reserve Bank'!B301-'Check RB Past'!B301</f>
        <v>0</v>
      </c>
      <c r="O301" s="114">
        <f>'Reserve Bank'!C301-'Check RB Past'!C301</f>
        <v>0</v>
      </c>
      <c r="P301" s="114">
        <f>'Reserve Bank'!D301-'Check RB Past'!D301</f>
        <v>0</v>
      </c>
      <c r="Q301" s="114">
        <f>'Reserve Bank'!E301-'Check RB Past'!E301</f>
        <v>0</v>
      </c>
      <c r="R301" s="114">
        <f>'Reserve Bank'!F301-'Check RB Past'!F301</f>
        <v>0</v>
      </c>
      <c r="S301" s="114">
        <f>'Reserve Bank'!G301-'Check RB Past'!G301</f>
        <v>0</v>
      </c>
      <c r="T301" s="114">
        <f>'Reserve Bank'!H301-'Check RB Past'!H301</f>
        <v>0</v>
      </c>
      <c r="U301" s="114">
        <f>'Reserve Bank'!I301-'Check RB Past'!I301</f>
        <v>0</v>
      </c>
      <c r="V301" s="1"/>
      <c r="W301" s="1"/>
      <c r="X301" s="1"/>
      <c r="Y301" s="1"/>
      <c r="Z301" s="1"/>
      <c r="AA301" s="1"/>
    </row>
    <row r="302" spans="1:28" s="14" customFormat="1" ht="12.75" customHeight="1" x14ac:dyDescent="0.2">
      <c r="A302" s="110">
        <v>45504</v>
      </c>
      <c r="B302" s="117">
        <v>13687</v>
      </c>
      <c r="C302" s="117">
        <v>9472</v>
      </c>
      <c r="D302" s="117">
        <v>23159</v>
      </c>
      <c r="E302" s="117">
        <v>5183</v>
      </c>
      <c r="F302" s="117">
        <v>28342</v>
      </c>
      <c r="G302" s="117">
        <v>7307</v>
      </c>
      <c r="H302" s="117">
        <v>35649</v>
      </c>
      <c r="I302" s="117">
        <v>855</v>
      </c>
      <c r="J302" s="20"/>
      <c r="K302" s="1"/>
      <c r="L302" s="1"/>
      <c r="M302" s="110">
        <v>45504</v>
      </c>
      <c r="N302" s="114">
        <f>'Reserve Bank'!B302-'Check RB Past'!B302</f>
        <v>0</v>
      </c>
      <c r="O302" s="114">
        <f>'Reserve Bank'!C302-'Check RB Past'!C302</f>
        <v>0</v>
      </c>
      <c r="P302" s="114">
        <f>'Reserve Bank'!D302-'Check RB Past'!D302</f>
        <v>0</v>
      </c>
      <c r="Q302" s="114">
        <f>'Reserve Bank'!E302-'Check RB Past'!E302</f>
        <v>0</v>
      </c>
      <c r="R302" s="114">
        <f>'Reserve Bank'!F302-'Check RB Past'!F302</f>
        <v>0</v>
      </c>
      <c r="S302" s="114">
        <f>'Reserve Bank'!G302-'Check RB Past'!G302</f>
        <v>0</v>
      </c>
      <c r="T302" s="114">
        <f>'Reserve Bank'!H302-'Check RB Past'!H302</f>
        <v>0</v>
      </c>
      <c r="U302" s="114">
        <f>'Reserve Bank'!I302-'Check RB Past'!I302</f>
        <v>0</v>
      </c>
      <c r="V302" s="1"/>
      <c r="W302" s="1"/>
      <c r="X302" s="1"/>
      <c r="Y302" s="1"/>
      <c r="Z302" s="1"/>
      <c r="AA302" s="1"/>
    </row>
    <row r="303" spans="1:28" s="14" customFormat="1" ht="12.75" customHeight="1" x14ac:dyDescent="0.2">
      <c r="A303" s="110">
        <v>45535</v>
      </c>
      <c r="B303" s="117">
        <v>10744</v>
      </c>
      <c r="C303" s="117">
        <v>8324</v>
      </c>
      <c r="D303" s="117">
        <v>19068</v>
      </c>
      <c r="E303" s="117">
        <v>6109</v>
      </c>
      <c r="F303" s="117">
        <v>25177</v>
      </c>
      <c r="G303" s="117">
        <v>7397</v>
      </c>
      <c r="H303" s="117">
        <v>32574</v>
      </c>
      <c r="I303" s="117">
        <v>1025</v>
      </c>
      <c r="J303" s="20"/>
      <c r="K303" s="1"/>
      <c r="L303" s="1"/>
      <c r="M303" s="110">
        <v>45535</v>
      </c>
      <c r="N303" s="114">
        <f>'Reserve Bank'!B303-'Check RB Past'!B303</f>
        <v>0</v>
      </c>
      <c r="O303" s="114">
        <f>'Reserve Bank'!C303-'Check RB Past'!C303</f>
        <v>0</v>
      </c>
      <c r="P303" s="114">
        <f>'Reserve Bank'!D303-'Check RB Past'!D303</f>
        <v>0</v>
      </c>
      <c r="Q303" s="114">
        <f>'Reserve Bank'!E303-'Check RB Past'!E303</f>
        <v>0</v>
      </c>
      <c r="R303" s="114">
        <f>'Reserve Bank'!F303-'Check RB Past'!F303</f>
        <v>0</v>
      </c>
      <c r="S303" s="114">
        <f>'Reserve Bank'!G303-'Check RB Past'!G303</f>
        <v>0</v>
      </c>
      <c r="T303" s="114">
        <f>'Reserve Bank'!H303-'Check RB Past'!H303</f>
        <v>0</v>
      </c>
      <c r="U303" s="114">
        <f>'Reserve Bank'!I303-'Check RB Past'!I303</f>
        <v>0</v>
      </c>
      <c r="V303" s="1"/>
      <c r="W303" s="1"/>
      <c r="X303" s="1"/>
      <c r="Y303" s="1"/>
      <c r="Z303" s="1"/>
      <c r="AA303" s="1"/>
    </row>
    <row r="304" spans="1:28" s="14" customFormat="1" ht="12.75" customHeight="1" x14ac:dyDescent="0.2">
      <c r="A304" s="110">
        <v>45565</v>
      </c>
      <c r="B304" s="117">
        <v>9613</v>
      </c>
      <c r="C304" s="117">
        <v>7024</v>
      </c>
      <c r="D304" s="117">
        <v>16637</v>
      </c>
      <c r="E304" s="117">
        <v>8065</v>
      </c>
      <c r="F304" s="117">
        <v>24702</v>
      </c>
      <c r="G304" s="117">
        <v>7836</v>
      </c>
      <c r="H304" s="117">
        <v>32538</v>
      </c>
      <c r="I304" s="117">
        <v>997</v>
      </c>
      <c r="J304" s="20"/>
      <c r="K304" s="1"/>
      <c r="L304" s="1"/>
      <c r="M304" s="110">
        <v>45565</v>
      </c>
      <c r="N304" s="114">
        <f>'Reserve Bank'!B304-'Check RB Past'!B304</f>
        <v>0</v>
      </c>
      <c r="O304" s="114">
        <f>'Reserve Bank'!C304-'Check RB Past'!C304</f>
        <v>0</v>
      </c>
      <c r="P304" s="114">
        <f>'Reserve Bank'!D304-'Check RB Past'!D304</f>
        <v>0</v>
      </c>
      <c r="Q304" s="114">
        <f>'Reserve Bank'!E304-'Check RB Past'!E304</f>
        <v>0</v>
      </c>
      <c r="R304" s="114">
        <f>'Reserve Bank'!F304-'Check RB Past'!F304</f>
        <v>0</v>
      </c>
      <c r="S304" s="114">
        <f>'Reserve Bank'!G304-'Check RB Past'!G304</f>
        <v>0</v>
      </c>
      <c r="T304" s="114">
        <f>'Reserve Bank'!H304-'Check RB Past'!H304</f>
        <v>0</v>
      </c>
      <c r="U304" s="114">
        <f>'Reserve Bank'!I304-'Check RB Past'!I304</f>
        <v>0</v>
      </c>
      <c r="V304" s="1"/>
      <c r="W304" s="1"/>
      <c r="X304" s="1"/>
      <c r="Y304" s="1"/>
      <c r="Z304" s="1"/>
      <c r="AA304" s="1"/>
    </row>
    <row r="305" spans="1:27" s="14" customFormat="1" ht="12.75" customHeight="1" x14ac:dyDescent="0.2">
      <c r="A305" s="110">
        <v>45596</v>
      </c>
      <c r="B305" s="117">
        <v>11220</v>
      </c>
      <c r="C305" s="117">
        <v>11549</v>
      </c>
      <c r="D305" s="117">
        <v>22769</v>
      </c>
      <c r="E305" s="117">
        <v>8455</v>
      </c>
      <c r="F305" s="117">
        <v>31224</v>
      </c>
      <c r="G305" s="117">
        <v>8341</v>
      </c>
      <c r="H305" s="117">
        <v>39565</v>
      </c>
      <c r="I305" s="117">
        <v>344</v>
      </c>
      <c r="J305" s="20"/>
      <c r="K305" s="1"/>
      <c r="L305" s="1"/>
      <c r="M305" s="110">
        <v>45596</v>
      </c>
      <c r="N305" s="114">
        <f>'Reserve Bank'!B305-'Check RB Past'!B305</f>
        <v>0</v>
      </c>
      <c r="O305" s="114">
        <f>'Reserve Bank'!C305-'Check RB Past'!C305</f>
        <v>0</v>
      </c>
      <c r="P305" s="114">
        <f>'Reserve Bank'!D305-'Check RB Past'!D305</f>
        <v>0</v>
      </c>
      <c r="Q305" s="114">
        <f>'Reserve Bank'!E305-'Check RB Past'!E305</f>
        <v>0</v>
      </c>
      <c r="R305" s="114">
        <f>'Reserve Bank'!F305-'Check RB Past'!F305</f>
        <v>0</v>
      </c>
      <c r="S305" s="114">
        <f>'Reserve Bank'!G305-'Check RB Past'!G305</f>
        <v>0</v>
      </c>
      <c r="T305" s="114">
        <f>'Reserve Bank'!H305-'Check RB Past'!H305</f>
        <v>0</v>
      </c>
      <c r="U305" s="114">
        <f>'Reserve Bank'!I305-'Check RB Past'!I305</f>
        <v>0</v>
      </c>
      <c r="V305" s="1"/>
      <c r="W305" s="1"/>
      <c r="X305" s="1"/>
      <c r="Y305" s="1"/>
      <c r="Z305" s="1"/>
      <c r="AA305" s="1"/>
    </row>
    <row r="306" spans="1:27" s="14" customFormat="1" ht="12.75" customHeight="1" x14ac:dyDescent="0.2">
      <c r="A306" s="110">
        <v>45626</v>
      </c>
      <c r="B306" s="117">
        <v>12302</v>
      </c>
      <c r="C306" s="117">
        <v>9984</v>
      </c>
      <c r="D306" s="117">
        <v>22286</v>
      </c>
      <c r="E306" s="117">
        <v>7400</v>
      </c>
      <c r="F306" s="117">
        <v>29686</v>
      </c>
      <c r="G306" s="117">
        <v>8373</v>
      </c>
      <c r="H306" s="117">
        <v>38059</v>
      </c>
      <c r="I306" s="117">
        <v>399</v>
      </c>
      <c r="J306" s="20"/>
      <c r="K306" s="1"/>
      <c r="L306" s="1"/>
      <c r="M306" s="110">
        <v>45626</v>
      </c>
      <c r="N306" s="114">
        <f>'Reserve Bank'!B306-'Check RB Past'!B306</f>
        <v>0</v>
      </c>
      <c r="O306" s="114">
        <f>'Reserve Bank'!C306-'Check RB Past'!C306</f>
        <v>0</v>
      </c>
      <c r="P306" s="114">
        <f>'Reserve Bank'!D306-'Check RB Past'!D306</f>
        <v>0</v>
      </c>
      <c r="Q306" s="114">
        <f>'Reserve Bank'!E306-'Check RB Past'!E306</f>
        <v>0</v>
      </c>
      <c r="R306" s="114">
        <f>'Reserve Bank'!F306-'Check RB Past'!F306</f>
        <v>0</v>
      </c>
      <c r="S306" s="114">
        <f>'Reserve Bank'!G306-'Check RB Past'!G306</f>
        <v>0</v>
      </c>
      <c r="T306" s="114">
        <f>'Reserve Bank'!H306-'Check RB Past'!H306</f>
        <v>0</v>
      </c>
      <c r="U306" s="114">
        <f>'Reserve Bank'!I306-'Check RB Past'!I306</f>
        <v>0</v>
      </c>
      <c r="V306" s="1"/>
      <c r="W306" s="1"/>
      <c r="X306" s="1"/>
      <c r="Y306" s="1"/>
      <c r="Z306" s="1"/>
      <c r="AA306" s="1"/>
    </row>
    <row r="307" spans="1:27" s="14" customFormat="1" ht="12.75" customHeight="1" x14ac:dyDescent="0.2">
      <c r="A307" s="110">
        <v>45657</v>
      </c>
      <c r="B307" s="117">
        <v>15141</v>
      </c>
      <c r="C307" s="117">
        <v>7802</v>
      </c>
      <c r="D307" s="117">
        <v>22943</v>
      </c>
      <c r="E307" s="117">
        <v>7578</v>
      </c>
      <c r="F307" s="117">
        <v>30521</v>
      </c>
      <c r="G307" s="117">
        <v>8635</v>
      </c>
      <c r="H307" s="117">
        <v>39156</v>
      </c>
      <c r="I307" s="117">
        <v>-51</v>
      </c>
      <c r="J307" s="20"/>
      <c r="K307" s="1"/>
      <c r="L307" s="1"/>
      <c r="M307" s="110">
        <v>45657</v>
      </c>
      <c r="N307" s="114">
        <f>'Reserve Bank'!B307-'Check RB Past'!B307</f>
        <v>0</v>
      </c>
      <c r="O307" s="114">
        <f>'Reserve Bank'!C307-'Check RB Past'!C307</f>
        <v>0</v>
      </c>
      <c r="P307" s="114">
        <f>'Reserve Bank'!D307-'Check RB Past'!D307</f>
        <v>0</v>
      </c>
      <c r="Q307" s="114">
        <f>'Reserve Bank'!E307-'Check RB Past'!E307</f>
        <v>0</v>
      </c>
      <c r="R307" s="114">
        <f>'Reserve Bank'!F307-'Check RB Past'!F307</f>
        <v>0</v>
      </c>
      <c r="S307" s="114">
        <f>'Reserve Bank'!G307-'Check RB Past'!G307</f>
        <v>0</v>
      </c>
      <c r="T307" s="114">
        <f>'Reserve Bank'!H307-'Check RB Past'!H307</f>
        <v>0</v>
      </c>
      <c r="U307" s="114">
        <f>'Reserve Bank'!I307-'Check RB Past'!I307</f>
        <v>0</v>
      </c>
      <c r="V307" s="1"/>
      <c r="W307" s="1"/>
      <c r="X307" s="1"/>
      <c r="Y307" s="1"/>
      <c r="Z307" s="1"/>
      <c r="AA307" s="1"/>
    </row>
    <row r="308" spans="1:27" s="14" customFormat="1" ht="12.75" customHeight="1" x14ac:dyDescent="0.2">
      <c r="A308" s="110">
        <v>45688</v>
      </c>
      <c r="B308" s="117">
        <v>16292</v>
      </c>
      <c r="C308" s="117">
        <v>14888</v>
      </c>
      <c r="D308" s="117">
        <v>31180</v>
      </c>
      <c r="E308" s="117">
        <v>7673</v>
      </c>
      <c r="F308" s="117">
        <v>38853</v>
      </c>
      <c r="G308" s="117">
        <v>8459</v>
      </c>
      <c r="H308" s="117">
        <v>47312</v>
      </c>
      <c r="I308" s="117">
        <v>32</v>
      </c>
      <c r="J308" s="20"/>
      <c r="K308" s="1"/>
      <c r="L308" s="1"/>
      <c r="M308" s="110">
        <v>45688</v>
      </c>
      <c r="N308" s="114">
        <f>'Reserve Bank'!B308-'Check RB Past'!B308</f>
        <v>0</v>
      </c>
      <c r="O308" s="114">
        <f>'Reserve Bank'!C308-'Check RB Past'!C308</f>
        <v>0</v>
      </c>
      <c r="P308" s="114">
        <f>'Reserve Bank'!D308-'Check RB Past'!D308</f>
        <v>0</v>
      </c>
      <c r="Q308" s="114">
        <f>'Reserve Bank'!E308-'Check RB Past'!E308</f>
        <v>0</v>
      </c>
      <c r="R308" s="114">
        <f>'Reserve Bank'!F308-'Check RB Past'!F308</f>
        <v>0</v>
      </c>
      <c r="S308" s="114">
        <f>'Reserve Bank'!G308-'Check RB Past'!G308</f>
        <v>0</v>
      </c>
      <c r="T308" s="114">
        <f>'Reserve Bank'!H308-'Check RB Past'!H308</f>
        <v>0</v>
      </c>
      <c r="U308" s="114">
        <f>'Reserve Bank'!I308-'Check RB Past'!I308</f>
        <v>0</v>
      </c>
      <c r="V308" s="1"/>
      <c r="W308" s="1"/>
      <c r="X308" s="1"/>
      <c r="Y308" s="1"/>
      <c r="Z308" s="1"/>
      <c r="AA308" s="1"/>
    </row>
    <row r="309" spans="1:27" s="14" customFormat="1" ht="12.75" customHeight="1" x14ac:dyDescent="0.2">
      <c r="A309" s="110">
        <v>45716</v>
      </c>
      <c r="B309" s="117">
        <v>16367</v>
      </c>
      <c r="C309" s="117">
        <v>16968</v>
      </c>
      <c r="D309" s="117">
        <v>33335</v>
      </c>
      <c r="E309" s="117">
        <v>7960</v>
      </c>
      <c r="F309" s="117">
        <v>41295</v>
      </c>
      <c r="G309" s="117">
        <v>8830</v>
      </c>
      <c r="H309" s="117">
        <v>50125</v>
      </c>
      <c r="I309" s="117">
        <v>118</v>
      </c>
      <c r="J309" s="20"/>
      <c r="K309" s="1"/>
      <c r="L309" s="1"/>
      <c r="M309" s="110">
        <v>45716</v>
      </c>
      <c r="N309" s="114">
        <f>'Reserve Bank'!B309-'Check RB Past'!B309</f>
        <v>0</v>
      </c>
      <c r="O309" s="114">
        <f>'Reserve Bank'!C309-'Check RB Past'!C309</f>
        <v>0</v>
      </c>
      <c r="P309" s="114">
        <f>'Reserve Bank'!D309-'Check RB Past'!D309</f>
        <v>0</v>
      </c>
      <c r="Q309" s="114">
        <f>'Reserve Bank'!E309-'Check RB Past'!E309</f>
        <v>0</v>
      </c>
      <c r="R309" s="114">
        <f>'Reserve Bank'!F309-'Check RB Past'!F309</f>
        <v>0</v>
      </c>
      <c r="S309" s="114">
        <f>'Reserve Bank'!G309-'Check RB Past'!G309</f>
        <v>0</v>
      </c>
      <c r="T309" s="114">
        <f>'Reserve Bank'!H309-'Check RB Past'!H309</f>
        <v>0</v>
      </c>
      <c r="U309" s="114">
        <f>'Reserve Bank'!I309-'Check RB Past'!I309</f>
        <v>0</v>
      </c>
      <c r="V309" s="1"/>
      <c r="W309" s="1"/>
      <c r="X309" s="1"/>
      <c r="Y309" s="1"/>
      <c r="Z309" s="1"/>
      <c r="AA309" s="1"/>
    </row>
    <row r="310" spans="1:27" s="14" customFormat="1" ht="12.75" customHeight="1" x14ac:dyDescent="0.2">
      <c r="A310" s="110">
        <v>45747</v>
      </c>
      <c r="B310" s="117">
        <v>13121</v>
      </c>
      <c r="C310" s="117">
        <v>14173</v>
      </c>
      <c r="D310" s="117">
        <v>27294</v>
      </c>
      <c r="E310" s="117">
        <v>8435</v>
      </c>
      <c r="F310" s="117">
        <v>35729</v>
      </c>
      <c r="G310" s="117">
        <v>9625</v>
      </c>
      <c r="H310" s="117">
        <v>45354</v>
      </c>
      <c r="I310" s="117">
        <v>62</v>
      </c>
      <c r="J310" s="20"/>
      <c r="K310" s="1"/>
      <c r="L310" s="1"/>
      <c r="M310" s="110">
        <v>45747</v>
      </c>
      <c r="N310" s="114">
        <f>'Reserve Bank'!B310-'Check RB Past'!B310</f>
        <v>0</v>
      </c>
      <c r="O310" s="114">
        <f>'Reserve Bank'!C310-'Check RB Past'!C310</f>
        <v>0</v>
      </c>
      <c r="P310" s="114">
        <f>'Reserve Bank'!D310-'Check RB Past'!D310</f>
        <v>0</v>
      </c>
      <c r="Q310" s="114">
        <f>'Reserve Bank'!E310-'Check RB Past'!E310</f>
        <v>0</v>
      </c>
      <c r="R310" s="114">
        <f>'Reserve Bank'!F310-'Check RB Past'!F310</f>
        <v>0</v>
      </c>
      <c r="S310" s="114">
        <f>'Reserve Bank'!G310-'Check RB Past'!G310</f>
        <v>0</v>
      </c>
      <c r="T310" s="114">
        <f>'Reserve Bank'!H310-'Check RB Past'!H310</f>
        <v>0</v>
      </c>
      <c r="U310" s="114">
        <f>'Reserve Bank'!I310-'Check RB Past'!I310</f>
        <v>0</v>
      </c>
      <c r="V310" s="1"/>
      <c r="W310" s="1"/>
      <c r="X310" s="1"/>
      <c r="Y310" s="1"/>
      <c r="Z310" s="1"/>
      <c r="AA310" s="1"/>
    </row>
    <row r="311" spans="1:27" s="14" customFormat="1" ht="12.75" customHeight="1" x14ac:dyDescent="0.2">
      <c r="A311" s="110">
        <v>45777</v>
      </c>
      <c r="B311" s="117">
        <v>12556</v>
      </c>
      <c r="C311" s="117">
        <v>12807</v>
      </c>
      <c r="D311" s="117">
        <v>25363</v>
      </c>
      <c r="E311" s="117">
        <v>9911</v>
      </c>
      <c r="F311" s="117">
        <v>35274</v>
      </c>
      <c r="G311" s="117">
        <v>9957</v>
      </c>
      <c r="H311" s="117">
        <v>45231</v>
      </c>
      <c r="I311" s="117">
        <v>609</v>
      </c>
      <c r="J311" s="20"/>
      <c r="K311" s="1"/>
      <c r="L311" s="1"/>
      <c r="M311" s="110">
        <v>45777</v>
      </c>
      <c r="N311" s="114">
        <f>'Reserve Bank'!B311-'Check RB Past'!B311</f>
        <v>0</v>
      </c>
      <c r="O311" s="114">
        <f>'Reserve Bank'!C311-'Check RB Past'!C311</f>
        <v>0</v>
      </c>
      <c r="P311" s="114">
        <f>'Reserve Bank'!D311-'Check RB Past'!D311</f>
        <v>0</v>
      </c>
      <c r="Q311" s="114">
        <f>'Reserve Bank'!E311-'Check RB Past'!E311</f>
        <v>0</v>
      </c>
      <c r="R311" s="114">
        <f>'Reserve Bank'!F311-'Check RB Past'!F311</f>
        <v>0</v>
      </c>
      <c r="S311" s="114">
        <f>'Reserve Bank'!G311-'Check RB Past'!G311</f>
        <v>0</v>
      </c>
      <c r="T311" s="114">
        <f>'Reserve Bank'!H311-'Check RB Past'!H311</f>
        <v>0</v>
      </c>
      <c r="U311" s="114">
        <f>'Reserve Bank'!I311-'Check RB Past'!I311</f>
        <v>0</v>
      </c>
      <c r="V311" s="1"/>
      <c r="W311" s="1"/>
      <c r="X311" s="1"/>
      <c r="Y311" s="1"/>
      <c r="Z311" s="1"/>
      <c r="AA311" s="1"/>
    </row>
    <row r="312" spans="1:27" s="14" customFormat="1" ht="12.75" customHeight="1" x14ac:dyDescent="0.2">
      <c r="A312" s="110">
        <v>45808</v>
      </c>
      <c r="B312" s="117">
        <v>12699</v>
      </c>
      <c r="C312" s="117">
        <v>14194</v>
      </c>
      <c r="D312" s="117">
        <v>26893</v>
      </c>
      <c r="E312" s="117">
        <v>9768</v>
      </c>
      <c r="F312" s="117">
        <v>36661</v>
      </c>
      <c r="G312" s="117">
        <v>10247</v>
      </c>
      <c r="H312" s="117">
        <v>46908</v>
      </c>
      <c r="I312" s="117">
        <v>581</v>
      </c>
      <c r="J312" s="20"/>
      <c r="K312" s="1"/>
      <c r="L312" s="1"/>
      <c r="M312" s="110">
        <v>45808</v>
      </c>
      <c r="N312" s="114">
        <f>'Reserve Bank'!B312-'Check RB Past'!B312</f>
        <v>0</v>
      </c>
      <c r="O312" s="114">
        <f>'Reserve Bank'!C312-'Check RB Past'!C312</f>
        <v>0</v>
      </c>
      <c r="P312" s="114">
        <f>'Reserve Bank'!D312-'Check RB Past'!D312</f>
        <v>0</v>
      </c>
      <c r="Q312" s="114">
        <f>'Reserve Bank'!E312-'Check RB Past'!E312</f>
        <v>0</v>
      </c>
      <c r="R312" s="114">
        <f>'Reserve Bank'!F312-'Check RB Past'!F312</f>
        <v>0</v>
      </c>
      <c r="S312" s="114">
        <f>'Reserve Bank'!G312-'Check RB Past'!G312</f>
        <v>0</v>
      </c>
      <c r="T312" s="114">
        <f>'Reserve Bank'!H312-'Check RB Past'!H312</f>
        <v>0</v>
      </c>
      <c r="U312" s="114">
        <f>'Reserve Bank'!I312-'Check RB Past'!I312</f>
        <v>0</v>
      </c>
      <c r="V312" s="1"/>
      <c r="W312" s="1"/>
      <c r="X312" s="1"/>
      <c r="Y312" s="1"/>
      <c r="Z312" s="1"/>
      <c r="AA312" s="1"/>
    </row>
    <row r="313" spans="1:27" s="14" customFormat="1" ht="12.75" customHeight="1" x14ac:dyDescent="0.2">
      <c r="A313" s="110">
        <v>45838</v>
      </c>
      <c r="B313" s="117">
        <v>11756</v>
      </c>
      <c r="C313" s="117">
        <v>12801</v>
      </c>
      <c r="D313" s="117">
        <v>24557</v>
      </c>
      <c r="E313" s="117">
        <v>10213</v>
      </c>
      <c r="F313" s="117">
        <v>34770</v>
      </c>
      <c r="G313" s="117">
        <v>11021</v>
      </c>
      <c r="H313" s="117">
        <v>45791</v>
      </c>
      <c r="I313" s="117">
        <v>759</v>
      </c>
      <c r="J313" s="20"/>
      <c r="K313" s="1"/>
      <c r="L313" s="1"/>
      <c r="M313" s="110">
        <v>45838</v>
      </c>
      <c r="N313" s="114">
        <f>'Reserve Bank'!B313-'Check RB Past'!B313</f>
        <v>0</v>
      </c>
      <c r="O313" s="114">
        <f>'Reserve Bank'!C313-'Check RB Past'!C313</f>
        <v>0</v>
      </c>
      <c r="P313" s="114">
        <f>'Reserve Bank'!D313-'Check RB Past'!D313</f>
        <v>0</v>
      </c>
      <c r="Q313" s="114">
        <f>'Reserve Bank'!E313-'Check RB Past'!E313</f>
        <v>0</v>
      </c>
      <c r="R313" s="114">
        <f>'Reserve Bank'!F313-'Check RB Past'!F313</f>
        <v>0</v>
      </c>
      <c r="S313" s="114">
        <f>'Reserve Bank'!G313-'Check RB Past'!G313</f>
        <v>0</v>
      </c>
      <c r="T313" s="114">
        <f>'Reserve Bank'!H313-'Check RB Past'!H313</f>
        <v>0</v>
      </c>
      <c r="U313" s="114">
        <f>'Reserve Bank'!I313-'Check RB Past'!I313</f>
        <v>0</v>
      </c>
      <c r="V313" s="1"/>
      <c r="W313" s="1"/>
      <c r="X313" s="1"/>
      <c r="Y313" s="1"/>
      <c r="Z313" s="1"/>
      <c r="AA313" s="1"/>
    </row>
    <row r="314" spans="1:27" s="14" customFormat="1" ht="12.75" customHeight="1" x14ac:dyDescent="0.2">
      <c r="A314" s="110">
        <v>45869</v>
      </c>
      <c r="B314" s="117">
        <v>10161</v>
      </c>
      <c r="C314" s="117">
        <v>17215</v>
      </c>
      <c r="D314" s="117">
        <v>27376</v>
      </c>
      <c r="E314" s="117">
        <v>10244</v>
      </c>
      <c r="F314" s="117">
        <v>37620</v>
      </c>
      <c r="G314" s="117">
        <v>10784</v>
      </c>
      <c r="H314" s="117">
        <v>48404</v>
      </c>
      <c r="I314" s="117">
        <v>256</v>
      </c>
      <c r="J314" s="20"/>
      <c r="K314" s="1"/>
      <c r="L314" s="1"/>
      <c r="M314" s="110">
        <v>45869</v>
      </c>
      <c r="N314" s="114">
        <f>'Reserve Bank'!B314-'Check RB Past'!B314</f>
        <v>0</v>
      </c>
      <c r="O314" s="114">
        <f>'Reserve Bank'!C314-'Check RB Past'!C314</f>
        <v>0</v>
      </c>
      <c r="P314" s="114">
        <f>'Reserve Bank'!D314-'Check RB Past'!D314</f>
        <v>0</v>
      </c>
      <c r="Q314" s="114">
        <f>'Reserve Bank'!E314-'Check RB Past'!E314</f>
        <v>0</v>
      </c>
      <c r="R314" s="114">
        <f>'Reserve Bank'!F314-'Check RB Past'!F314</f>
        <v>0</v>
      </c>
      <c r="S314" s="114">
        <f>'Reserve Bank'!G314-'Check RB Past'!G314</f>
        <v>0</v>
      </c>
      <c r="T314" s="114">
        <f>'Reserve Bank'!H314-'Check RB Past'!H314</f>
        <v>0</v>
      </c>
      <c r="U314" s="114">
        <f>'Reserve Bank'!I314-'Check RB Past'!I314</f>
        <v>0</v>
      </c>
      <c r="V314" s="1"/>
      <c r="W314" s="1"/>
      <c r="X314" s="1"/>
      <c r="Y314" s="1"/>
      <c r="Z314" s="1"/>
      <c r="AA314" s="1"/>
    </row>
    <row r="315" spans="1:27" s="14" customFormat="1" ht="12.75" customHeight="1" x14ac:dyDescent="0.2">
      <c r="A315" s="110">
        <v>45900</v>
      </c>
      <c r="B315" s="117">
        <v>9819</v>
      </c>
      <c r="C315" s="117">
        <v>16219</v>
      </c>
      <c r="D315" s="117">
        <v>26038</v>
      </c>
      <c r="E315" s="117">
        <v>11227</v>
      </c>
      <c r="F315" s="117">
        <v>37265</v>
      </c>
      <c r="G315" s="117">
        <v>10747</v>
      </c>
      <c r="H315" s="117">
        <v>48012</v>
      </c>
      <c r="I315" s="117">
        <v>244</v>
      </c>
      <c r="J315" s="20"/>
      <c r="K315" s="1"/>
      <c r="L315" s="1"/>
      <c r="M315" s="110">
        <v>45900</v>
      </c>
      <c r="N315" s="114">
        <f>'Reserve Bank'!B315-'Check RB Past'!B315</f>
        <v>0</v>
      </c>
      <c r="O315" s="114">
        <f>'Reserve Bank'!C315-'Check RB Past'!C315</f>
        <v>0</v>
      </c>
      <c r="P315" s="114">
        <f>'Reserve Bank'!D315-'Check RB Past'!D315</f>
        <v>0</v>
      </c>
      <c r="Q315" s="114">
        <f>'Reserve Bank'!E315-'Check RB Past'!E315</f>
        <v>0</v>
      </c>
      <c r="R315" s="114">
        <f>'Reserve Bank'!F315-'Check RB Past'!F315</f>
        <v>0</v>
      </c>
      <c r="S315" s="114">
        <f>'Reserve Bank'!G315-'Check RB Past'!G315</f>
        <v>0</v>
      </c>
      <c r="T315" s="114">
        <f>'Reserve Bank'!H315-'Check RB Past'!H315</f>
        <v>0</v>
      </c>
      <c r="U315" s="114">
        <f>'Reserve Bank'!I315-'Check RB Past'!I315</f>
        <v>0</v>
      </c>
      <c r="V315" s="1"/>
      <c r="W315" s="1"/>
      <c r="X315" s="1"/>
      <c r="Y315" s="1"/>
      <c r="Z315" s="1"/>
      <c r="AA315" s="1"/>
    </row>
    <row r="316" spans="1:27" s="14" customFormat="1" ht="12.75" customHeight="1" x14ac:dyDescent="0.2">
      <c r="A316" s="110">
        <v>45930</v>
      </c>
      <c r="B316" s="117">
        <v>9812</v>
      </c>
      <c r="C316" s="117">
        <v>16008</v>
      </c>
      <c r="D316" s="117">
        <v>25820</v>
      </c>
      <c r="E316" s="117">
        <v>11842</v>
      </c>
      <c r="F316" s="117">
        <v>37662</v>
      </c>
      <c r="G316" s="117">
        <v>9727</v>
      </c>
      <c r="H316" s="117">
        <v>47389</v>
      </c>
      <c r="I316" s="117">
        <v>-40</v>
      </c>
      <c r="J316" s="20"/>
      <c r="K316" s="1"/>
      <c r="L316" s="1"/>
      <c r="M316" s="110">
        <v>45930</v>
      </c>
      <c r="N316" s="114">
        <f>'Reserve Bank'!B316-'Check RB Past'!B316</f>
        <v>0</v>
      </c>
      <c r="O316" s="114">
        <f>'Reserve Bank'!C316-'Check RB Past'!C316</f>
        <v>0</v>
      </c>
      <c r="P316" s="114">
        <f>'Reserve Bank'!D316-'Check RB Past'!D316</f>
        <v>0</v>
      </c>
      <c r="Q316" s="114">
        <f>'Reserve Bank'!E316-'Check RB Past'!E316</f>
        <v>0</v>
      </c>
      <c r="R316" s="114">
        <f>'Reserve Bank'!F316-'Check RB Past'!F316</f>
        <v>0</v>
      </c>
      <c r="S316" s="114">
        <f>'Reserve Bank'!G316-'Check RB Past'!G316</f>
        <v>0</v>
      </c>
      <c r="T316" s="114">
        <f>'Reserve Bank'!H316-'Check RB Past'!H316</f>
        <v>0</v>
      </c>
      <c r="U316" s="114">
        <f>'Reserve Bank'!I316-'Check RB Past'!I316</f>
        <v>0</v>
      </c>
      <c r="V316" s="1"/>
      <c r="W316" s="1"/>
      <c r="X316" s="1"/>
      <c r="Y316" s="1"/>
      <c r="Z316" s="1"/>
      <c r="AA316" s="1"/>
    </row>
    <row r="317" spans="1:27" s="14" customFormat="1" ht="12" customHeight="1" x14ac:dyDescent="0.2">
      <c r="A317" s="110">
        <v>45961</v>
      </c>
      <c r="B317" s="163">
        <v>9387</v>
      </c>
      <c r="C317" s="163">
        <v>16257</v>
      </c>
      <c r="D317" s="117">
        <f>C317+B317</f>
        <v>25644</v>
      </c>
      <c r="E317" s="117">
        <v>12765</v>
      </c>
      <c r="F317" s="117">
        <f>E317+D317</f>
        <v>38409</v>
      </c>
      <c r="G317" s="117">
        <v>9641</v>
      </c>
      <c r="H317" s="117">
        <f>F317+G317</f>
        <v>48050</v>
      </c>
      <c r="I317" s="117">
        <v>-288</v>
      </c>
      <c r="J317" s="20"/>
      <c r="K317" s="1"/>
      <c r="L317" s="1"/>
      <c r="M317" s="110">
        <v>45961</v>
      </c>
      <c r="N317" s="114">
        <f>'Reserve Bank'!B317-'Check RB Past'!B317</f>
        <v>0</v>
      </c>
      <c r="O317" s="114">
        <f>'Reserve Bank'!C317-'Check RB Past'!C317</f>
        <v>0</v>
      </c>
      <c r="P317" s="114">
        <f>'Reserve Bank'!D317-'Check RB Past'!D317</f>
        <v>0</v>
      </c>
      <c r="Q317" s="114">
        <f>'Reserve Bank'!E317-'Check RB Past'!E317</f>
        <v>0</v>
      </c>
      <c r="R317" s="114">
        <f>'Reserve Bank'!F317-'Check RB Past'!F317</f>
        <v>0</v>
      </c>
      <c r="S317" s="114">
        <f>'Reserve Bank'!G317-'Check RB Past'!G317</f>
        <v>0</v>
      </c>
      <c r="T317" s="114">
        <f>'Reserve Bank'!H317-'Check RB Past'!H317</f>
        <v>0</v>
      </c>
      <c r="U317" s="114">
        <f>'Reserve Bank'!I317-'Check RB Past'!I317</f>
        <v>0</v>
      </c>
      <c r="V317" s="1"/>
      <c r="W317" s="1"/>
      <c r="X317" s="1"/>
      <c r="Y317" s="1"/>
      <c r="Z317" s="1"/>
      <c r="AA317" s="1"/>
    </row>
    <row r="318" spans="1:27" ht="12.75" customHeight="1" x14ac:dyDescent="0.2">
      <c r="A318" s="109">
        <v>45991</v>
      </c>
      <c r="B318" s="138">
        <v>11281</v>
      </c>
      <c r="C318" s="138">
        <v>22705</v>
      </c>
      <c r="D318" s="127">
        <f>C318+B318</f>
        <v>33986</v>
      </c>
      <c r="E318" s="127">
        <v>11526</v>
      </c>
      <c r="F318" s="127">
        <f>E318+D318</f>
        <v>45512</v>
      </c>
      <c r="G318" s="127">
        <v>10340</v>
      </c>
      <c r="H318" s="127">
        <f>F318+G318</f>
        <v>55852</v>
      </c>
      <c r="I318" s="127">
        <v>-342</v>
      </c>
      <c r="M318" s="110">
        <v>45991</v>
      </c>
      <c r="N318" s="114">
        <f>'Reserve Bank'!B318-'Check RB Past'!B318</f>
        <v>0</v>
      </c>
      <c r="O318" s="114">
        <f>'Reserve Bank'!C318-'Check RB Past'!C318</f>
        <v>0</v>
      </c>
      <c r="P318" s="114">
        <f>'Reserve Bank'!D318-'Check RB Past'!D318</f>
        <v>0</v>
      </c>
      <c r="Q318" s="114">
        <f>'Reserve Bank'!E318-'Check RB Past'!E318</f>
        <v>0</v>
      </c>
      <c r="R318" s="114">
        <f>'Reserve Bank'!F318-'Check RB Past'!F318</f>
        <v>0</v>
      </c>
      <c r="S318" s="114">
        <f>'Reserve Bank'!G318-'Check RB Past'!G318</f>
        <v>0</v>
      </c>
      <c r="T318" s="114">
        <f>'Reserve Bank'!H318-'Check RB Past'!H318</f>
        <v>0</v>
      </c>
      <c r="U318" s="114">
        <f>'Reserve Bank'!I318-'Check RB Past'!I318</f>
        <v>0</v>
      </c>
    </row>
    <row r="319" spans="1:27" ht="12.75" customHeight="1" x14ac:dyDescent="0.2">
      <c r="B319" s="81"/>
      <c r="C319" s="81"/>
      <c r="D319" s="81"/>
      <c r="E319" s="81"/>
      <c r="F319" s="81"/>
      <c r="G319" s="81"/>
      <c r="H319" s="81"/>
      <c r="I319" s="81"/>
      <c r="N319" s="81"/>
      <c r="O319" s="81"/>
      <c r="P319" s="81"/>
      <c r="Q319" s="81"/>
      <c r="R319" s="81"/>
      <c r="S319" s="81"/>
      <c r="T319" s="81"/>
      <c r="U319" s="81"/>
    </row>
    <row r="320" spans="1:27" ht="12.75" customHeight="1" x14ac:dyDescent="0.2">
      <c r="B320" s="81"/>
      <c r="C320" s="81"/>
      <c r="D320" s="81"/>
      <c r="E320" s="81"/>
      <c r="F320" s="81"/>
      <c r="G320" s="81"/>
      <c r="H320" s="81"/>
      <c r="I320" s="81"/>
      <c r="N320" s="81"/>
      <c r="O320" s="81"/>
      <c r="P320" s="81"/>
      <c r="Q320" s="81"/>
      <c r="R320" s="81"/>
      <c r="S320" s="81"/>
      <c r="T320" s="81"/>
      <c r="U320" s="81"/>
    </row>
    <row r="321" spans="2:21" ht="12.75" customHeight="1" x14ac:dyDescent="0.2">
      <c r="B321" s="81"/>
      <c r="C321" s="81"/>
      <c r="D321" s="81"/>
      <c r="E321" s="81"/>
      <c r="F321" s="81"/>
      <c r="G321" s="81"/>
      <c r="H321" s="81"/>
      <c r="I321" s="81"/>
      <c r="N321" s="81"/>
      <c r="O321" s="81"/>
      <c r="P321" s="81"/>
      <c r="Q321" s="81"/>
      <c r="R321" s="81"/>
      <c r="S321" s="81"/>
      <c r="T321" s="81"/>
      <c r="U321" s="81"/>
    </row>
    <row r="322" spans="2:21" ht="12.75" customHeight="1" x14ac:dyDescent="0.2">
      <c r="B322" s="81"/>
      <c r="C322" s="81"/>
      <c r="D322" s="81"/>
      <c r="E322" s="81"/>
      <c r="F322" s="81"/>
      <c r="G322" s="81"/>
      <c r="H322" s="81"/>
      <c r="I322" s="81"/>
      <c r="N322" s="81"/>
      <c r="O322" s="81"/>
      <c r="P322" s="81"/>
      <c r="Q322" s="81"/>
      <c r="R322" s="81"/>
      <c r="S322" s="81"/>
      <c r="T322" s="81"/>
      <c r="U322" s="81"/>
    </row>
    <row r="323" spans="2:21" ht="12.75" customHeight="1" x14ac:dyDescent="0.2">
      <c r="B323" s="81"/>
      <c r="C323" s="81"/>
      <c r="D323" s="81"/>
      <c r="E323" s="81"/>
      <c r="F323" s="81"/>
      <c r="G323" s="81"/>
      <c r="H323" s="81"/>
      <c r="I323" s="81"/>
      <c r="N323" s="81"/>
      <c r="O323" s="81"/>
      <c r="P323" s="81"/>
      <c r="Q323" s="81"/>
      <c r="R323" s="81"/>
      <c r="S323" s="81"/>
      <c r="T323" s="81"/>
      <c r="U323" s="81"/>
    </row>
    <row r="324" spans="2:21" ht="12.75" customHeight="1" x14ac:dyDescent="0.2">
      <c r="B324" s="81"/>
      <c r="C324" s="81"/>
      <c r="D324" s="81"/>
      <c r="E324" s="81"/>
      <c r="F324" s="81"/>
      <c r="G324" s="81"/>
      <c r="H324" s="81"/>
      <c r="I324" s="81"/>
      <c r="N324" s="81"/>
      <c r="O324" s="81"/>
      <c r="P324" s="81"/>
      <c r="Q324" s="81"/>
      <c r="R324" s="81"/>
      <c r="S324" s="81"/>
      <c r="T324" s="81"/>
      <c r="U324" s="81"/>
    </row>
    <row r="325" spans="2:21" ht="12.75" customHeight="1" x14ac:dyDescent="0.2">
      <c r="B325" s="81"/>
      <c r="C325" s="81"/>
      <c r="D325" s="81"/>
      <c r="E325" s="81"/>
      <c r="F325" s="81"/>
      <c r="G325" s="81"/>
      <c r="H325" s="81"/>
      <c r="I325" s="81"/>
      <c r="N325" s="81"/>
      <c r="O325" s="81"/>
      <c r="P325" s="81"/>
      <c r="Q325" s="81"/>
      <c r="R325" s="81"/>
      <c r="S325" s="81"/>
      <c r="T325" s="81"/>
      <c r="U325" s="81"/>
    </row>
    <row r="326" spans="2:21" ht="12.75" customHeight="1" x14ac:dyDescent="0.2">
      <c r="B326" s="81"/>
      <c r="C326" s="81"/>
      <c r="D326" s="81"/>
      <c r="E326" s="81"/>
      <c r="F326" s="81"/>
      <c r="G326" s="81"/>
      <c r="H326" s="81"/>
      <c r="I326" s="81"/>
      <c r="N326" s="81"/>
      <c r="O326" s="81"/>
      <c r="P326" s="81"/>
      <c r="Q326" s="81"/>
      <c r="R326" s="81"/>
      <c r="S326" s="81"/>
      <c r="T326" s="81"/>
      <c r="U326" s="81"/>
    </row>
    <row r="327" spans="2:21" ht="12.75" customHeight="1" x14ac:dyDescent="0.2">
      <c r="B327" s="81"/>
      <c r="C327" s="81"/>
      <c r="D327" s="81"/>
      <c r="E327" s="81"/>
      <c r="F327" s="81"/>
      <c r="G327" s="81"/>
      <c r="H327" s="81"/>
      <c r="I327" s="81"/>
      <c r="N327" s="81"/>
      <c r="O327" s="81"/>
      <c r="P327" s="81"/>
      <c r="Q327" s="81"/>
      <c r="R327" s="81"/>
      <c r="S327" s="81"/>
      <c r="T327" s="81"/>
      <c r="U327" s="81"/>
    </row>
    <row r="328" spans="2:21" ht="12.75" customHeight="1" x14ac:dyDescent="0.2">
      <c r="B328" s="81"/>
      <c r="C328" s="81"/>
      <c r="D328" s="81"/>
      <c r="E328" s="81"/>
      <c r="F328" s="81"/>
      <c r="G328" s="81"/>
      <c r="H328" s="81"/>
      <c r="I328" s="81"/>
      <c r="N328" s="81"/>
      <c r="O328" s="81"/>
      <c r="P328" s="81"/>
      <c r="Q328" s="81"/>
      <c r="R328" s="81"/>
      <c r="S328" s="81"/>
      <c r="T328" s="81"/>
      <c r="U328" s="81"/>
    </row>
    <row r="329" spans="2:21" ht="12.75" customHeight="1" x14ac:dyDescent="0.2">
      <c r="B329" s="81"/>
      <c r="C329" s="81"/>
      <c r="D329" s="81"/>
      <c r="E329" s="81"/>
      <c r="F329" s="81"/>
      <c r="G329" s="81"/>
      <c r="H329" s="81"/>
      <c r="I329" s="81"/>
      <c r="N329" s="81"/>
      <c r="O329" s="81"/>
      <c r="P329" s="81"/>
      <c r="Q329" s="81"/>
      <c r="R329" s="81"/>
      <c r="S329" s="81"/>
      <c r="T329" s="81"/>
      <c r="U329" s="81"/>
    </row>
    <row r="330" spans="2:21" ht="12.75" customHeight="1" x14ac:dyDescent="0.2">
      <c r="B330" s="81"/>
      <c r="C330" s="81"/>
      <c r="D330" s="81"/>
      <c r="E330" s="81"/>
      <c r="F330" s="81"/>
      <c r="G330" s="81"/>
      <c r="H330" s="81"/>
      <c r="I330" s="81"/>
      <c r="N330" s="81"/>
      <c r="O330" s="81"/>
      <c r="P330" s="81"/>
      <c r="Q330" s="81"/>
      <c r="R330" s="81"/>
      <c r="S330" s="81"/>
      <c r="T330" s="81"/>
      <c r="U330" s="81"/>
    </row>
    <row r="331" spans="2:21" ht="12.75" customHeight="1" x14ac:dyDescent="0.2">
      <c r="B331" s="81"/>
      <c r="C331" s="81"/>
      <c r="D331" s="81"/>
      <c r="E331" s="81"/>
      <c r="F331" s="81"/>
      <c r="G331" s="81"/>
      <c r="H331" s="81"/>
      <c r="I331" s="81"/>
      <c r="N331" s="81"/>
      <c r="O331" s="81"/>
      <c r="P331" s="81"/>
      <c r="Q331" s="81"/>
      <c r="R331" s="81"/>
      <c r="S331" s="81"/>
      <c r="T331" s="81"/>
      <c r="U331" s="81"/>
    </row>
    <row r="332" spans="2:21" ht="12.75" customHeight="1" x14ac:dyDescent="0.2">
      <c r="B332" s="81"/>
      <c r="C332" s="81"/>
      <c r="D332" s="81"/>
      <c r="E332" s="81"/>
      <c r="F332" s="81"/>
      <c r="G332" s="81"/>
      <c r="H332" s="81"/>
      <c r="I332" s="81"/>
      <c r="N332" s="81"/>
      <c r="O332" s="81"/>
      <c r="P332" s="81"/>
      <c r="Q332" s="81"/>
      <c r="R332" s="81"/>
      <c r="S332" s="81"/>
      <c r="T332" s="81"/>
      <c r="U332" s="81"/>
    </row>
    <row r="333" spans="2:21" ht="12.75" customHeight="1" x14ac:dyDescent="0.2">
      <c r="B333" s="81"/>
      <c r="C333" s="81"/>
      <c r="D333" s="81"/>
      <c r="E333" s="81"/>
      <c r="F333" s="81"/>
      <c r="G333" s="81"/>
      <c r="H333" s="81"/>
      <c r="I333" s="81"/>
      <c r="N333" s="81"/>
      <c r="O333" s="81"/>
      <c r="P333" s="81"/>
      <c r="Q333" s="81"/>
      <c r="R333" s="81"/>
      <c r="S333" s="81"/>
      <c r="T333" s="81"/>
      <c r="U333" s="81"/>
    </row>
    <row r="334" spans="2:21" ht="12.75" customHeight="1" x14ac:dyDescent="0.2">
      <c r="B334" s="81"/>
      <c r="C334" s="81"/>
      <c r="D334" s="81"/>
      <c r="E334" s="81"/>
      <c r="F334" s="81"/>
      <c r="G334" s="81"/>
      <c r="H334" s="81"/>
      <c r="I334" s="81"/>
      <c r="N334" s="81"/>
      <c r="O334" s="81"/>
      <c r="P334" s="81"/>
      <c r="Q334" s="81"/>
      <c r="R334" s="81"/>
      <c r="S334" s="81"/>
      <c r="T334" s="81"/>
      <c r="U334" s="81"/>
    </row>
    <row r="335" spans="2:21" ht="12.75" customHeight="1" x14ac:dyDescent="0.2">
      <c r="B335" s="81"/>
      <c r="C335" s="81"/>
      <c r="D335" s="81"/>
      <c r="E335" s="81"/>
      <c r="F335" s="81"/>
      <c r="G335" s="81"/>
      <c r="H335" s="81"/>
      <c r="I335" s="81"/>
      <c r="N335" s="81"/>
      <c r="O335" s="81"/>
      <c r="P335" s="81"/>
      <c r="Q335" s="81"/>
      <c r="R335" s="81"/>
      <c r="S335" s="81"/>
      <c r="T335" s="81"/>
      <c r="U335" s="81"/>
    </row>
    <row r="336" spans="2:21" ht="12.75" customHeight="1" x14ac:dyDescent="0.2">
      <c r="B336" s="81"/>
      <c r="C336" s="81"/>
      <c r="D336" s="81"/>
      <c r="E336" s="81"/>
      <c r="F336" s="81"/>
      <c r="G336" s="81"/>
      <c r="H336" s="81"/>
      <c r="I336" s="81"/>
      <c r="N336" s="81"/>
      <c r="O336" s="81"/>
      <c r="P336" s="81"/>
      <c r="Q336" s="81"/>
      <c r="R336" s="81"/>
      <c r="S336" s="81"/>
      <c r="T336" s="81"/>
      <c r="U336" s="81"/>
    </row>
    <row r="337" spans="2:21" ht="12.75" customHeight="1" x14ac:dyDescent="0.2">
      <c r="B337" s="81"/>
      <c r="C337" s="81"/>
      <c r="D337" s="81"/>
      <c r="E337" s="81"/>
      <c r="F337" s="81"/>
      <c r="G337" s="81"/>
      <c r="H337" s="81"/>
      <c r="I337" s="81"/>
      <c r="N337" s="81"/>
      <c r="O337" s="81"/>
      <c r="P337" s="81"/>
      <c r="Q337" s="81"/>
      <c r="R337" s="81"/>
      <c r="S337" s="81"/>
      <c r="T337" s="81"/>
      <c r="U337" s="81"/>
    </row>
    <row r="338" spans="2:21" ht="12.75" customHeight="1" x14ac:dyDescent="0.2">
      <c r="B338" s="81"/>
      <c r="C338" s="81"/>
      <c r="D338" s="81"/>
      <c r="E338" s="81"/>
      <c r="F338" s="81"/>
      <c r="G338" s="81"/>
      <c r="H338" s="81"/>
      <c r="I338" s="81"/>
      <c r="N338" s="81"/>
      <c r="O338" s="81"/>
      <c r="P338" s="81"/>
      <c r="Q338" s="81"/>
      <c r="R338" s="81"/>
      <c r="S338" s="81"/>
      <c r="T338" s="81"/>
      <c r="U338" s="81"/>
    </row>
    <row r="339" spans="2:21" ht="12.75" customHeight="1" x14ac:dyDescent="0.2">
      <c r="B339" s="81"/>
      <c r="C339" s="81"/>
      <c r="D339" s="81"/>
      <c r="E339" s="81"/>
      <c r="F339" s="81"/>
      <c r="G339" s="81"/>
      <c r="H339" s="81"/>
      <c r="I339" s="81"/>
      <c r="N339" s="81"/>
      <c r="O339" s="81"/>
      <c r="P339" s="81"/>
      <c r="Q339" s="81"/>
      <c r="R339" s="81"/>
      <c r="S339" s="81"/>
      <c r="T339" s="81"/>
      <c r="U339" s="81"/>
    </row>
    <row r="340" spans="2:21" ht="12.75" customHeight="1" x14ac:dyDescent="0.2">
      <c r="B340" s="81"/>
      <c r="C340" s="81"/>
      <c r="D340" s="81"/>
      <c r="E340" s="81"/>
      <c r="F340" s="81"/>
      <c r="G340" s="81"/>
      <c r="H340" s="81"/>
      <c r="I340" s="81"/>
      <c r="N340" s="81"/>
      <c r="O340" s="81"/>
      <c r="P340" s="81"/>
      <c r="Q340" s="81"/>
      <c r="R340" s="81"/>
      <c r="S340" s="81"/>
      <c r="T340" s="81"/>
      <c r="U340" s="81"/>
    </row>
    <row r="341" spans="2:21" ht="12.75" customHeight="1" x14ac:dyDescent="0.2">
      <c r="B341" s="81"/>
      <c r="C341" s="81"/>
      <c r="D341" s="81"/>
      <c r="E341" s="81"/>
      <c r="F341" s="81"/>
      <c r="G341" s="81"/>
      <c r="H341" s="81"/>
      <c r="I341" s="81"/>
      <c r="N341" s="81"/>
      <c r="O341" s="81"/>
      <c r="P341" s="81"/>
      <c r="Q341" s="81"/>
      <c r="R341" s="81"/>
      <c r="S341" s="81"/>
      <c r="T341" s="81"/>
      <c r="U341" s="81"/>
    </row>
    <row r="342" spans="2:21" ht="12.75" customHeight="1" x14ac:dyDescent="0.2">
      <c r="B342" s="81"/>
      <c r="C342" s="81"/>
      <c r="D342" s="81"/>
      <c r="E342" s="81"/>
      <c r="F342" s="81"/>
      <c r="G342" s="81"/>
      <c r="H342" s="81"/>
      <c r="I342" s="81"/>
      <c r="N342" s="81"/>
      <c r="O342" s="81"/>
      <c r="P342" s="81"/>
      <c r="Q342" s="81"/>
      <c r="R342" s="81"/>
      <c r="S342" s="81"/>
      <c r="T342" s="81"/>
      <c r="U342" s="81"/>
    </row>
    <row r="343" spans="2:21" ht="12.75" customHeight="1" x14ac:dyDescent="0.2">
      <c r="B343" s="81"/>
      <c r="C343" s="81"/>
      <c r="D343" s="81"/>
      <c r="E343" s="81"/>
      <c r="F343" s="81"/>
      <c r="G343" s="81"/>
      <c r="H343" s="81"/>
      <c r="I343" s="81"/>
      <c r="N343" s="81"/>
      <c r="O343" s="81"/>
      <c r="P343" s="81"/>
      <c r="Q343" s="81"/>
      <c r="R343" s="81"/>
      <c r="S343" s="81"/>
      <c r="T343" s="81"/>
      <c r="U343" s="81"/>
    </row>
    <row r="344" spans="2:21" ht="12.75" customHeight="1" x14ac:dyDescent="0.2">
      <c r="B344" s="81"/>
      <c r="C344" s="81"/>
      <c r="D344" s="81"/>
      <c r="E344" s="81"/>
      <c r="F344" s="81"/>
      <c r="G344" s="81"/>
      <c r="H344" s="81"/>
      <c r="I344" s="81"/>
      <c r="N344" s="81"/>
      <c r="O344" s="81"/>
      <c r="P344" s="81"/>
      <c r="Q344" s="81"/>
      <c r="R344" s="81"/>
      <c r="S344" s="81"/>
      <c r="T344" s="81"/>
      <c r="U344" s="81"/>
    </row>
    <row r="345" spans="2:21" ht="12.75" customHeight="1" x14ac:dyDescent="0.2">
      <c r="B345" s="81"/>
      <c r="C345" s="81"/>
      <c r="D345" s="81"/>
      <c r="E345" s="81"/>
      <c r="F345" s="81"/>
      <c r="G345" s="81"/>
      <c r="H345" s="81"/>
      <c r="I345" s="81"/>
      <c r="N345" s="81"/>
      <c r="O345" s="81"/>
      <c r="P345" s="81"/>
      <c r="Q345" s="81"/>
      <c r="R345" s="81"/>
      <c r="S345" s="81"/>
      <c r="T345" s="81"/>
      <c r="U345" s="81"/>
    </row>
    <row r="346" spans="2:21" ht="12.75" customHeight="1" x14ac:dyDescent="0.2">
      <c r="B346" s="81"/>
      <c r="C346" s="81"/>
      <c r="D346" s="81"/>
      <c r="E346" s="81"/>
      <c r="F346" s="81"/>
      <c r="G346" s="81"/>
      <c r="H346" s="81"/>
      <c r="I346" s="81"/>
      <c r="N346" s="81"/>
      <c r="O346" s="81"/>
      <c r="P346" s="81"/>
      <c r="Q346" s="81"/>
      <c r="R346" s="81"/>
      <c r="S346" s="81"/>
      <c r="T346" s="81"/>
      <c r="U346" s="81"/>
    </row>
    <row r="347" spans="2:21" ht="12.75" customHeight="1" x14ac:dyDescent="0.2">
      <c r="B347" s="81"/>
      <c r="C347" s="81"/>
      <c r="D347" s="81"/>
      <c r="E347" s="81"/>
      <c r="F347" s="81"/>
      <c r="G347" s="81"/>
      <c r="H347" s="81"/>
      <c r="I347" s="81"/>
      <c r="N347" s="81"/>
      <c r="O347" s="81"/>
      <c r="P347" s="81"/>
      <c r="Q347" s="81"/>
      <c r="R347" s="81"/>
      <c r="S347" s="81"/>
      <c r="T347" s="81"/>
      <c r="U347" s="81"/>
    </row>
    <row r="348" spans="2:21" ht="12.75" customHeight="1" x14ac:dyDescent="0.2">
      <c r="B348" s="81"/>
      <c r="C348" s="81"/>
      <c r="D348" s="81"/>
      <c r="E348" s="81"/>
      <c r="F348" s="81"/>
      <c r="G348" s="81"/>
      <c r="H348" s="81"/>
      <c r="I348" s="81"/>
      <c r="N348" s="81"/>
      <c r="O348" s="81"/>
      <c r="P348" s="81"/>
      <c r="Q348" s="81"/>
      <c r="R348" s="81"/>
      <c r="S348" s="81"/>
      <c r="T348" s="81"/>
      <c r="U348" s="81"/>
    </row>
    <row r="349" spans="2:21" ht="12.75" customHeight="1" x14ac:dyDescent="0.2">
      <c r="B349" s="81"/>
      <c r="C349" s="81"/>
      <c r="D349" s="81"/>
      <c r="E349" s="81"/>
      <c r="F349" s="81"/>
      <c r="G349" s="81"/>
      <c r="H349" s="81"/>
      <c r="I349" s="81"/>
      <c r="N349" s="81"/>
      <c r="O349" s="81"/>
      <c r="P349" s="81"/>
      <c r="Q349" s="81"/>
      <c r="R349" s="81"/>
      <c r="S349" s="81"/>
      <c r="T349" s="81"/>
      <c r="U349" s="81"/>
    </row>
    <row r="350" spans="2:21" ht="12.75" customHeight="1" x14ac:dyDescent="0.2">
      <c r="B350" s="81"/>
      <c r="C350" s="81"/>
      <c r="D350" s="81"/>
      <c r="E350" s="81"/>
      <c r="F350" s="81"/>
      <c r="G350" s="81"/>
      <c r="H350" s="81"/>
      <c r="I350" s="81"/>
      <c r="N350" s="81"/>
      <c r="O350" s="81"/>
      <c r="P350" s="81"/>
      <c r="Q350" s="81"/>
      <c r="R350" s="81"/>
      <c r="S350" s="81"/>
      <c r="T350" s="81"/>
      <c r="U350" s="81"/>
    </row>
    <row r="351" spans="2:21" ht="12.75" customHeight="1" x14ac:dyDescent="0.2">
      <c r="B351" s="81"/>
      <c r="C351" s="81"/>
      <c r="D351" s="81"/>
      <c r="E351" s="81"/>
      <c r="F351" s="81"/>
      <c r="G351" s="81"/>
      <c r="H351" s="81"/>
      <c r="I351" s="81"/>
      <c r="N351" s="81"/>
      <c r="O351" s="81"/>
      <c r="P351" s="81"/>
      <c r="Q351" s="81"/>
      <c r="R351" s="81"/>
      <c r="S351" s="81"/>
      <c r="T351" s="81"/>
      <c r="U351" s="81"/>
    </row>
    <row r="352" spans="2:21" ht="12.75" customHeight="1" x14ac:dyDescent="0.2">
      <c r="B352" s="81"/>
      <c r="C352" s="81"/>
      <c r="D352" s="81"/>
      <c r="E352" s="81"/>
      <c r="F352" s="81"/>
      <c r="G352" s="81"/>
      <c r="H352" s="81"/>
      <c r="I352" s="81"/>
      <c r="N352" s="81"/>
      <c r="O352" s="81"/>
      <c r="P352" s="81"/>
      <c r="Q352" s="81"/>
      <c r="R352" s="81"/>
      <c r="S352" s="81"/>
      <c r="T352" s="81"/>
      <c r="U352" s="81"/>
    </row>
    <row r="353" spans="2:21" ht="12.75" customHeight="1" x14ac:dyDescent="0.2">
      <c r="B353" s="81"/>
      <c r="C353" s="81"/>
      <c r="D353" s="81"/>
      <c r="E353" s="81"/>
      <c r="F353" s="81"/>
      <c r="G353" s="81"/>
      <c r="H353" s="81"/>
      <c r="I353" s="81"/>
      <c r="N353" s="81"/>
      <c r="O353" s="81"/>
      <c r="P353" s="81"/>
      <c r="Q353" s="81"/>
      <c r="R353" s="81"/>
      <c r="S353" s="81"/>
      <c r="T353" s="81"/>
      <c r="U353" s="81"/>
    </row>
    <row r="354" spans="2:21" ht="12.75" customHeight="1" x14ac:dyDescent="0.2">
      <c r="B354" s="81"/>
      <c r="C354" s="81"/>
      <c r="D354" s="81"/>
      <c r="E354" s="81"/>
      <c r="F354" s="81"/>
      <c r="G354" s="81"/>
      <c r="H354" s="81"/>
      <c r="I354" s="81"/>
      <c r="N354" s="81"/>
      <c r="O354" s="81"/>
      <c r="P354" s="81"/>
      <c r="Q354" s="81"/>
      <c r="R354" s="81"/>
      <c r="S354" s="81"/>
      <c r="T354" s="81"/>
      <c r="U354" s="81"/>
    </row>
    <row r="355" spans="2:21" ht="12.75" customHeight="1" x14ac:dyDescent="0.2">
      <c r="B355" s="81"/>
      <c r="C355" s="81"/>
      <c r="D355" s="81"/>
      <c r="E355" s="81"/>
      <c r="F355" s="81"/>
      <c r="G355" s="81"/>
      <c r="H355" s="81"/>
      <c r="I355" s="81"/>
      <c r="N355" s="81"/>
      <c r="O355" s="81"/>
      <c r="P355" s="81"/>
      <c r="Q355" s="81"/>
      <c r="R355" s="81"/>
      <c r="S355" s="81"/>
      <c r="T355" s="81"/>
      <c r="U355" s="81"/>
    </row>
    <row r="356" spans="2:21" ht="12.75" customHeight="1" x14ac:dyDescent="0.2">
      <c r="B356" s="81"/>
      <c r="C356" s="81"/>
      <c r="D356" s="81"/>
      <c r="E356" s="81"/>
      <c r="F356" s="81"/>
      <c r="G356" s="81"/>
      <c r="H356" s="81"/>
      <c r="I356" s="81"/>
      <c r="N356" s="81"/>
      <c r="O356" s="81"/>
      <c r="P356" s="81"/>
      <c r="Q356" s="81"/>
      <c r="R356" s="81"/>
      <c r="S356" s="81"/>
      <c r="T356" s="81"/>
      <c r="U356" s="81"/>
    </row>
    <row r="357" spans="2:21" ht="12.75" customHeight="1" x14ac:dyDescent="0.2">
      <c r="B357" s="81"/>
      <c r="C357" s="81"/>
      <c r="D357" s="81"/>
      <c r="E357" s="81"/>
      <c r="F357" s="81"/>
      <c r="G357" s="81"/>
      <c r="H357" s="81"/>
      <c r="I357" s="81"/>
      <c r="N357" s="81"/>
      <c r="O357" s="81"/>
      <c r="P357" s="81"/>
      <c r="Q357" s="81"/>
      <c r="R357" s="81"/>
      <c r="S357" s="81"/>
      <c r="T357" s="81"/>
      <c r="U357" s="81"/>
    </row>
    <row r="358" spans="2:21" ht="12.75" customHeight="1" x14ac:dyDescent="0.2">
      <c r="B358" s="81"/>
      <c r="C358" s="81"/>
      <c r="D358" s="81"/>
      <c r="E358" s="81"/>
      <c r="F358" s="81"/>
      <c r="G358" s="81"/>
      <c r="H358" s="81"/>
      <c r="I358" s="81"/>
      <c r="N358" s="81"/>
      <c r="O358" s="81"/>
      <c r="P358" s="81"/>
      <c r="Q358" s="81"/>
      <c r="R358" s="81"/>
      <c r="S358" s="81"/>
      <c r="T358" s="81"/>
      <c r="U358" s="81"/>
    </row>
    <row r="359" spans="2:21" ht="12.75" customHeight="1" x14ac:dyDescent="0.2">
      <c r="B359" s="81"/>
      <c r="C359" s="81"/>
      <c r="D359" s="81"/>
      <c r="E359" s="81"/>
      <c r="F359" s="81"/>
      <c r="G359" s="81"/>
      <c r="H359" s="81"/>
      <c r="I359" s="81"/>
      <c r="N359" s="81"/>
      <c r="O359" s="81"/>
      <c r="P359" s="81"/>
      <c r="Q359" s="81"/>
      <c r="R359" s="81"/>
      <c r="S359" s="81"/>
      <c r="T359" s="81"/>
      <c r="U359" s="81"/>
    </row>
    <row r="360" spans="2:21" ht="12.75" customHeight="1" x14ac:dyDescent="0.2">
      <c r="B360" s="81"/>
      <c r="C360" s="81"/>
      <c r="D360" s="81"/>
      <c r="E360" s="81"/>
      <c r="F360" s="81"/>
      <c r="G360" s="81"/>
      <c r="H360" s="81"/>
      <c r="I360" s="81"/>
      <c r="N360" s="81"/>
      <c r="O360" s="81"/>
      <c r="P360" s="81"/>
      <c r="Q360" s="81"/>
      <c r="R360" s="81"/>
      <c r="S360" s="81"/>
      <c r="T360" s="81"/>
      <c r="U360" s="81"/>
    </row>
    <row r="361" spans="2:21" ht="12.75" customHeight="1" x14ac:dyDescent="0.2">
      <c r="B361" s="81"/>
      <c r="C361" s="81"/>
      <c r="D361" s="81"/>
      <c r="E361" s="81"/>
      <c r="F361" s="81"/>
      <c r="G361" s="81"/>
      <c r="H361" s="81"/>
      <c r="I361" s="81"/>
      <c r="N361" s="81"/>
      <c r="O361" s="81"/>
      <c r="P361" s="81"/>
      <c r="Q361" s="81"/>
      <c r="R361" s="81"/>
      <c r="S361" s="81"/>
      <c r="T361" s="81"/>
      <c r="U361" s="81"/>
    </row>
    <row r="362" spans="2:21" ht="12.75" customHeight="1" x14ac:dyDescent="0.2">
      <c r="B362" s="81"/>
      <c r="C362" s="81"/>
      <c r="D362" s="81"/>
      <c r="E362" s="81"/>
      <c r="F362" s="81"/>
      <c r="G362" s="81"/>
      <c r="H362" s="81"/>
      <c r="I362" s="81"/>
      <c r="N362" s="81"/>
      <c r="O362" s="81"/>
      <c r="P362" s="81"/>
      <c r="Q362" s="81"/>
      <c r="R362" s="81"/>
      <c r="S362" s="81"/>
      <c r="T362" s="81"/>
      <c r="U362" s="81"/>
    </row>
    <row r="363" spans="2:21" ht="12.75" customHeight="1" x14ac:dyDescent="0.2">
      <c r="B363" s="81"/>
      <c r="C363" s="81"/>
      <c r="D363" s="81"/>
      <c r="E363" s="81"/>
      <c r="F363" s="81"/>
      <c r="G363" s="81"/>
      <c r="H363" s="81"/>
      <c r="I363" s="81"/>
      <c r="N363" s="81"/>
      <c r="O363" s="81"/>
      <c r="P363" s="81"/>
      <c r="Q363" s="81"/>
      <c r="R363" s="81"/>
      <c r="S363" s="81"/>
      <c r="T363" s="81"/>
      <c r="U363" s="81"/>
    </row>
    <row r="364" spans="2:21" ht="12.75" customHeight="1" x14ac:dyDescent="0.2">
      <c r="B364" s="81"/>
      <c r="C364" s="81"/>
      <c r="D364" s="81"/>
      <c r="E364" s="81"/>
      <c r="F364" s="81"/>
      <c r="G364" s="81"/>
      <c r="H364" s="81"/>
      <c r="I364" s="81"/>
      <c r="N364" s="81"/>
      <c r="O364" s="81"/>
      <c r="P364" s="81"/>
      <c r="Q364" s="81"/>
      <c r="R364" s="81"/>
      <c r="S364" s="81"/>
      <c r="T364" s="81"/>
      <c r="U364" s="81"/>
    </row>
    <row r="365" spans="2:21" ht="12.75" customHeight="1" x14ac:dyDescent="0.2">
      <c r="B365" s="81"/>
      <c r="C365" s="81"/>
      <c r="D365" s="81"/>
      <c r="E365" s="81"/>
      <c r="F365" s="81"/>
      <c r="G365" s="81"/>
      <c r="H365" s="81"/>
      <c r="I365" s="81"/>
      <c r="N365" s="81"/>
      <c r="O365" s="81"/>
      <c r="P365" s="81"/>
      <c r="Q365" s="81"/>
      <c r="R365" s="81"/>
      <c r="S365" s="81"/>
      <c r="T365" s="81"/>
      <c r="U365" s="81"/>
    </row>
    <row r="366" spans="2:21" ht="12.75" customHeight="1" x14ac:dyDescent="0.2">
      <c r="B366" s="81"/>
      <c r="C366" s="81"/>
      <c r="D366" s="81"/>
      <c r="E366" s="81"/>
      <c r="F366" s="81"/>
      <c r="G366" s="81"/>
      <c r="H366" s="81"/>
      <c r="I366" s="81"/>
      <c r="N366" s="81"/>
      <c r="O366" s="81"/>
      <c r="P366" s="81"/>
      <c r="Q366" s="81"/>
      <c r="R366" s="81"/>
      <c r="S366" s="81"/>
      <c r="T366" s="81"/>
      <c r="U366" s="81"/>
    </row>
    <row r="367" spans="2:21" ht="12.75" customHeight="1" x14ac:dyDescent="0.2">
      <c r="B367" s="81"/>
      <c r="C367" s="81"/>
      <c r="D367" s="81"/>
      <c r="E367" s="81"/>
      <c r="F367" s="81"/>
      <c r="G367" s="81"/>
      <c r="H367" s="81"/>
      <c r="I367" s="81"/>
      <c r="N367" s="81"/>
      <c r="O367" s="81"/>
      <c r="P367" s="81"/>
      <c r="Q367" s="81"/>
      <c r="R367" s="81"/>
      <c r="S367" s="81"/>
      <c r="T367" s="81"/>
      <c r="U367" s="81"/>
    </row>
    <row r="368" spans="2:21" ht="12.75" customHeight="1" x14ac:dyDescent="0.2">
      <c r="B368" s="81"/>
      <c r="C368" s="81"/>
      <c r="D368" s="81"/>
      <c r="E368" s="81"/>
      <c r="F368" s="81"/>
      <c r="G368" s="81"/>
      <c r="H368" s="81"/>
      <c r="I368" s="81"/>
      <c r="N368" s="81"/>
      <c r="O368" s="81"/>
      <c r="P368" s="81"/>
      <c r="Q368" s="81"/>
      <c r="R368" s="81"/>
      <c r="S368" s="81"/>
      <c r="T368" s="81"/>
      <c r="U368" s="81"/>
    </row>
    <row r="369" spans="2:21" ht="12.75" customHeight="1" x14ac:dyDescent="0.2">
      <c r="B369" s="81"/>
      <c r="C369" s="81"/>
      <c r="D369" s="81"/>
      <c r="E369" s="81"/>
      <c r="F369" s="81"/>
      <c r="G369" s="81"/>
      <c r="H369" s="81"/>
      <c r="I369" s="81"/>
      <c r="N369" s="81"/>
      <c r="O369" s="81"/>
      <c r="P369" s="81"/>
      <c r="Q369" s="81"/>
      <c r="R369" s="81"/>
      <c r="S369" s="81"/>
      <c r="T369" s="81"/>
      <c r="U369" s="81"/>
    </row>
    <row r="370" spans="2:21" ht="12.75" customHeight="1" x14ac:dyDescent="0.2">
      <c r="B370" s="81"/>
      <c r="C370" s="81"/>
      <c r="D370" s="81"/>
      <c r="E370" s="81"/>
      <c r="F370" s="81"/>
      <c r="G370" s="81"/>
      <c r="H370" s="81"/>
      <c r="I370" s="81"/>
      <c r="N370" s="81"/>
      <c r="O370" s="81"/>
      <c r="P370" s="81"/>
      <c r="Q370" s="81"/>
      <c r="R370" s="81"/>
      <c r="S370" s="81"/>
      <c r="T370" s="81"/>
      <c r="U370" s="81"/>
    </row>
    <row r="371" spans="2:21" ht="12.75" customHeight="1" x14ac:dyDescent="0.2">
      <c r="B371" s="81"/>
      <c r="C371" s="81"/>
      <c r="D371" s="81"/>
      <c r="E371" s="81"/>
      <c r="F371" s="81"/>
      <c r="G371" s="81"/>
      <c r="H371" s="81"/>
      <c r="I371" s="81"/>
      <c r="N371" s="81"/>
      <c r="O371" s="81"/>
      <c r="P371" s="81"/>
      <c r="Q371" s="81"/>
      <c r="R371" s="81"/>
      <c r="S371" s="81"/>
      <c r="T371" s="81"/>
      <c r="U371" s="81"/>
    </row>
    <row r="372" spans="2:21" ht="12.75" customHeight="1" x14ac:dyDescent="0.2">
      <c r="B372" s="81"/>
      <c r="C372" s="81"/>
      <c r="D372" s="81"/>
      <c r="E372" s="81"/>
      <c r="F372" s="81"/>
      <c r="G372" s="81"/>
      <c r="H372" s="81"/>
      <c r="I372" s="81"/>
      <c r="N372" s="81"/>
      <c r="O372" s="81"/>
      <c r="P372" s="81"/>
      <c r="Q372" s="81"/>
      <c r="R372" s="81"/>
      <c r="S372" s="81"/>
      <c r="T372" s="81"/>
      <c r="U372" s="81"/>
    </row>
    <row r="373" spans="2:21" ht="12.75" customHeight="1" x14ac:dyDescent="0.2">
      <c r="B373" s="81"/>
      <c r="C373" s="81"/>
      <c r="D373" s="81"/>
      <c r="E373" s="81"/>
      <c r="F373" s="81"/>
      <c r="G373" s="81"/>
      <c r="H373" s="81"/>
      <c r="I373" s="81"/>
      <c r="N373" s="81"/>
      <c r="O373" s="81"/>
      <c r="P373" s="81"/>
      <c r="Q373" s="81"/>
      <c r="R373" s="81"/>
      <c r="S373" s="81"/>
      <c r="T373" s="81"/>
      <c r="U373" s="81"/>
    </row>
    <row r="374" spans="2:21" ht="12.75" customHeight="1" x14ac:dyDescent="0.2">
      <c r="B374" s="81"/>
      <c r="C374" s="81"/>
      <c r="D374" s="81"/>
      <c r="E374" s="81"/>
      <c r="F374" s="81"/>
      <c r="G374" s="81"/>
      <c r="H374" s="81"/>
      <c r="I374" s="81"/>
      <c r="N374" s="81"/>
      <c r="O374" s="81"/>
      <c r="P374" s="81"/>
      <c r="Q374" s="81"/>
      <c r="R374" s="81"/>
      <c r="S374" s="81"/>
      <c r="T374" s="81"/>
      <c r="U374" s="81"/>
    </row>
    <row r="375" spans="2:21" ht="12.75" customHeight="1" x14ac:dyDescent="0.2">
      <c r="B375" s="81"/>
      <c r="C375" s="81"/>
      <c r="D375" s="81"/>
      <c r="E375" s="81"/>
      <c r="F375" s="81"/>
      <c r="G375" s="81"/>
      <c r="H375" s="81"/>
      <c r="I375" s="81"/>
      <c r="N375" s="81"/>
      <c r="O375" s="81"/>
      <c r="P375" s="81"/>
      <c r="Q375" s="81"/>
      <c r="R375" s="81"/>
      <c r="S375" s="81"/>
      <c r="T375" s="81"/>
      <c r="U375" s="81"/>
    </row>
    <row r="376" spans="2:21" ht="12.75" customHeight="1" x14ac:dyDescent="0.2">
      <c r="B376" s="81"/>
      <c r="C376" s="81"/>
      <c r="D376" s="81"/>
      <c r="E376" s="81"/>
      <c r="F376" s="81"/>
      <c r="G376" s="81"/>
      <c r="H376" s="81"/>
      <c r="I376" s="81"/>
      <c r="N376" s="81"/>
      <c r="O376" s="81"/>
      <c r="P376" s="81"/>
      <c r="Q376" s="81"/>
      <c r="R376" s="81"/>
      <c r="S376" s="81"/>
      <c r="T376" s="81"/>
      <c r="U376" s="81"/>
    </row>
    <row r="377" spans="2:21" ht="12.75" customHeight="1" x14ac:dyDescent="0.2">
      <c r="B377" s="81"/>
      <c r="C377" s="81"/>
      <c r="D377" s="81"/>
      <c r="E377" s="81"/>
      <c r="F377" s="81"/>
      <c r="G377" s="81"/>
      <c r="H377" s="81"/>
      <c r="I377" s="81"/>
      <c r="N377" s="81"/>
      <c r="O377" s="81"/>
      <c r="P377" s="81"/>
      <c r="Q377" s="81"/>
      <c r="R377" s="81"/>
      <c r="S377" s="81"/>
      <c r="T377" s="81"/>
      <c r="U377" s="81"/>
    </row>
    <row r="378" spans="2:21" ht="12.75" customHeight="1" x14ac:dyDescent="0.2">
      <c r="B378" s="81"/>
      <c r="C378" s="81"/>
      <c r="D378" s="81"/>
      <c r="E378" s="81"/>
      <c r="F378" s="81"/>
      <c r="G378" s="81"/>
      <c r="H378" s="81"/>
      <c r="I378" s="81"/>
      <c r="N378" s="81"/>
      <c r="O378" s="81"/>
      <c r="P378" s="81"/>
      <c r="Q378" s="81"/>
      <c r="R378" s="81"/>
      <c r="S378" s="81"/>
      <c r="T378" s="81"/>
      <c r="U378" s="81"/>
    </row>
    <row r="379" spans="2:21" ht="12.75" customHeight="1" x14ac:dyDescent="0.2">
      <c r="B379" s="81"/>
      <c r="C379" s="81"/>
      <c r="D379" s="81"/>
      <c r="E379" s="81"/>
      <c r="F379" s="81"/>
      <c r="G379" s="81"/>
      <c r="H379" s="81"/>
      <c r="I379" s="81"/>
      <c r="N379" s="81"/>
      <c r="O379" s="81"/>
      <c r="P379" s="81"/>
      <c r="Q379" s="81"/>
      <c r="R379" s="81"/>
      <c r="S379" s="81"/>
      <c r="T379" s="81"/>
      <c r="U379" s="81"/>
    </row>
    <row r="380" spans="2:21" ht="12.75" customHeight="1" x14ac:dyDescent="0.2">
      <c r="B380" s="81"/>
      <c r="C380" s="81"/>
      <c r="D380" s="81"/>
      <c r="E380" s="81"/>
      <c r="F380" s="81"/>
      <c r="G380" s="81"/>
      <c r="H380" s="81"/>
      <c r="I380" s="81"/>
      <c r="N380" s="81"/>
      <c r="O380" s="81"/>
      <c r="P380" s="81"/>
      <c r="Q380" s="81"/>
      <c r="R380" s="81"/>
      <c r="S380" s="81"/>
      <c r="T380" s="81"/>
      <c r="U380" s="81"/>
    </row>
    <row r="381" spans="2:21" ht="12.75" customHeight="1" x14ac:dyDescent="0.2">
      <c r="B381" s="81"/>
      <c r="C381" s="81"/>
      <c r="D381" s="81"/>
      <c r="E381" s="81"/>
      <c r="F381" s="81"/>
      <c r="G381" s="81"/>
      <c r="H381" s="81"/>
      <c r="I381" s="81"/>
      <c r="N381" s="81"/>
      <c r="O381" s="81"/>
      <c r="P381" s="81"/>
      <c r="Q381" s="81"/>
      <c r="R381" s="81"/>
      <c r="S381" s="81"/>
      <c r="T381" s="81"/>
      <c r="U381" s="81"/>
    </row>
    <row r="382" spans="2:21" ht="12.75" customHeight="1" x14ac:dyDescent="0.2">
      <c r="B382" s="81"/>
      <c r="C382" s="81"/>
      <c r="D382" s="81"/>
      <c r="E382" s="81"/>
      <c r="F382" s="81"/>
      <c r="G382" s="81"/>
      <c r="H382" s="81"/>
      <c r="I382" s="81"/>
      <c r="N382" s="81"/>
      <c r="O382" s="81"/>
      <c r="P382" s="81"/>
      <c r="Q382" s="81"/>
      <c r="R382" s="81"/>
      <c r="S382" s="81"/>
      <c r="T382" s="81"/>
      <c r="U382" s="81"/>
    </row>
    <row r="383" spans="2:21" ht="12.75" customHeight="1" x14ac:dyDescent="0.2">
      <c r="B383" s="81"/>
      <c r="C383" s="81"/>
      <c r="D383" s="81"/>
      <c r="E383" s="81"/>
      <c r="F383" s="81"/>
      <c r="G383" s="81"/>
      <c r="H383" s="81"/>
      <c r="I383" s="81"/>
      <c r="N383" s="81"/>
      <c r="O383" s="81"/>
      <c r="P383" s="81"/>
      <c r="Q383" s="81"/>
      <c r="R383" s="81"/>
      <c r="S383" s="81"/>
      <c r="T383" s="81"/>
      <c r="U383" s="81"/>
    </row>
    <row r="384" spans="2:21" ht="12.75" customHeight="1" x14ac:dyDescent="0.2">
      <c r="B384" s="81"/>
      <c r="C384" s="81"/>
      <c r="D384" s="81"/>
      <c r="E384" s="81"/>
      <c r="F384" s="81"/>
      <c r="G384" s="81"/>
      <c r="H384" s="81"/>
      <c r="I384" s="81"/>
      <c r="N384" s="81"/>
      <c r="O384" s="81"/>
      <c r="P384" s="81"/>
      <c r="Q384" s="81"/>
      <c r="R384" s="81"/>
      <c r="S384" s="81"/>
      <c r="T384" s="81"/>
      <c r="U384" s="81"/>
    </row>
    <row r="385" spans="2:21" ht="12.75" customHeight="1" x14ac:dyDescent="0.2">
      <c r="B385" s="81"/>
      <c r="C385" s="81"/>
      <c r="D385" s="81"/>
      <c r="E385" s="81"/>
      <c r="F385" s="81"/>
      <c r="G385" s="81"/>
      <c r="H385" s="81"/>
      <c r="I385" s="81"/>
      <c r="N385" s="81"/>
      <c r="O385" s="81"/>
      <c r="P385" s="81"/>
      <c r="Q385" s="81"/>
      <c r="R385" s="81"/>
      <c r="S385" s="81"/>
      <c r="T385" s="81"/>
      <c r="U385" s="81"/>
    </row>
    <row r="386" spans="2:21" ht="12.75" customHeight="1" x14ac:dyDescent="0.2">
      <c r="B386" s="81"/>
      <c r="C386" s="81"/>
      <c r="D386" s="81"/>
      <c r="E386" s="81"/>
      <c r="F386" s="81"/>
      <c r="G386" s="81"/>
      <c r="H386" s="81"/>
      <c r="I386" s="81"/>
      <c r="N386" s="81"/>
      <c r="O386" s="81"/>
      <c r="P386" s="81"/>
      <c r="Q386" s="81"/>
      <c r="R386" s="81"/>
      <c r="S386" s="81"/>
      <c r="T386" s="81"/>
      <c r="U386" s="81"/>
    </row>
    <row r="387" spans="2:21" ht="12.75" customHeight="1" x14ac:dyDescent="0.2">
      <c r="B387" s="81"/>
      <c r="C387" s="81"/>
      <c r="D387" s="81"/>
      <c r="E387" s="81"/>
      <c r="F387" s="81"/>
      <c r="G387" s="81"/>
      <c r="H387" s="81"/>
      <c r="I387" s="81"/>
      <c r="N387" s="81"/>
      <c r="O387" s="81"/>
      <c r="P387" s="81"/>
      <c r="Q387" s="81"/>
      <c r="R387" s="81"/>
      <c r="S387" s="81"/>
      <c r="T387" s="81"/>
      <c r="U387" s="81"/>
    </row>
    <row r="388" spans="2:21" ht="12.75" customHeight="1" x14ac:dyDescent="0.2">
      <c r="B388" s="81"/>
      <c r="C388" s="81"/>
      <c r="D388" s="81"/>
      <c r="E388" s="81"/>
      <c r="F388" s="81"/>
      <c r="G388" s="81"/>
      <c r="H388" s="81"/>
      <c r="I388" s="81"/>
      <c r="N388" s="81"/>
      <c r="O388" s="81"/>
      <c r="P388" s="81"/>
      <c r="Q388" s="81"/>
      <c r="R388" s="81"/>
      <c r="S388" s="81"/>
      <c r="T388" s="81"/>
      <c r="U388" s="81"/>
    </row>
    <row r="389" spans="2:21" ht="12.75" customHeight="1" x14ac:dyDescent="0.2">
      <c r="B389" s="81"/>
      <c r="C389" s="81"/>
      <c r="D389" s="81"/>
      <c r="E389" s="81"/>
      <c r="F389" s="81"/>
      <c r="G389" s="81"/>
      <c r="H389" s="81"/>
      <c r="I389" s="81"/>
      <c r="N389" s="81"/>
      <c r="O389" s="81"/>
      <c r="P389" s="81"/>
      <c r="Q389" s="81"/>
      <c r="R389" s="81"/>
      <c r="S389" s="81"/>
      <c r="T389" s="81"/>
      <c r="U389" s="81"/>
    </row>
    <row r="390" spans="2:21" ht="12.75" customHeight="1" x14ac:dyDescent="0.2">
      <c r="B390" s="81"/>
      <c r="C390" s="81"/>
      <c r="D390" s="81"/>
      <c r="E390" s="81"/>
      <c r="F390" s="81"/>
      <c r="G390" s="81"/>
      <c r="H390" s="81"/>
      <c r="I390" s="81"/>
      <c r="N390" s="81"/>
      <c r="O390" s="81"/>
      <c r="P390" s="81"/>
      <c r="Q390" s="81"/>
      <c r="R390" s="81"/>
      <c r="S390" s="81"/>
      <c r="T390" s="81"/>
      <c r="U390" s="81"/>
    </row>
    <row r="391" spans="2:21" ht="12.75" customHeight="1" x14ac:dyDescent="0.2">
      <c r="B391" s="81"/>
      <c r="C391" s="81"/>
      <c r="D391" s="81"/>
      <c r="E391" s="81"/>
      <c r="F391" s="81"/>
      <c r="G391" s="81"/>
      <c r="H391" s="81"/>
      <c r="I391" s="81"/>
      <c r="N391" s="81"/>
      <c r="O391" s="81"/>
      <c r="P391" s="81"/>
      <c r="Q391" s="81"/>
      <c r="R391" s="81"/>
      <c r="S391" s="81"/>
      <c r="T391" s="81"/>
      <c r="U391" s="81"/>
    </row>
    <row r="392" spans="2:21" ht="12.75" customHeight="1" x14ac:dyDescent="0.2">
      <c r="B392" s="81"/>
      <c r="C392" s="81"/>
      <c r="D392" s="81"/>
      <c r="E392" s="81"/>
      <c r="F392" s="81"/>
      <c r="G392" s="81"/>
      <c r="H392" s="81"/>
      <c r="I392" s="81"/>
      <c r="N392" s="81"/>
      <c r="O392" s="81"/>
      <c r="P392" s="81"/>
      <c r="Q392" s="81"/>
      <c r="R392" s="81"/>
      <c r="S392" s="81"/>
      <c r="T392" s="81"/>
      <c r="U392" s="81"/>
    </row>
    <row r="393" spans="2:21" ht="12.75" customHeight="1" x14ac:dyDescent="0.2">
      <c r="B393" s="81"/>
      <c r="C393" s="81"/>
      <c r="D393" s="81"/>
      <c r="E393" s="81"/>
      <c r="F393" s="81"/>
      <c r="G393" s="81"/>
      <c r="H393" s="81"/>
      <c r="I393" s="81"/>
      <c r="N393" s="81"/>
      <c r="O393" s="81"/>
      <c r="P393" s="81"/>
      <c r="Q393" s="81"/>
      <c r="R393" s="81"/>
      <c r="S393" s="81"/>
      <c r="T393" s="81"/>
      <c r="U393" s="81"/>
    </row>
    <row r="394" spans="2:21" ht="12.75" customHeight="1" x14ac:dyDescent="0.2">
      <c r="B394" s="81"/>
      <c r="C394" s="81"/>
      <c r="D394" s="81"/>
      <c r="E394" s="81"/>
      <c r="F394" s="81"/>
      <c r="G394" s="81"/>
      <c r="H394" s="81"/>
      <c r="I394" s="81"/>
      <c r="N394" s="81"/>
      <c r="O394" s="81"/>
      <c r="P394" s="81"/>
      <c r="Q394" s="81"/>
      <c r="R394" s="81"/>
      <c r="S394" s="81"/>
      <c r="T394" s="81"/>
      <c r="U394" s="81"/>
    </row>
    <row r="395" spans="2:21" ht="12.75" customHeight="1" x14ac:dyDescent="0.2">
      <c r="B395" s="81"/>
      <c r="C395" s="81"/>
      <c r="D395" s="81"/>
      <c r="E395" s="81"/>
      <c r="F395" s="81"/>
      <c r="G395" s="81"/>
      <c r="H395" s="81"/>
      <c r="I395" s="81"/>
      <c r="N395" s="81"/>
      <c r="O395" s="81"/>
      <c r="P395" s="81"/>
      <c r="Q395" s="81"/>
      <c r="R395" s="81"/>
      <c r="S395" s="81"/>
      <c r="T395" s="81"/>
      <c r="U395" s="81"/>
    </row>
    <row r="396" spans="2:21" ht="12.75" customHeight="1" x14ac:dyDescent="0.2">
      <c r="B396" s="81"/>
      <c r="C396" s="81"/>
      <c r="D396" s="81"/>
      <c r="E396" s="81"/>
      <c r="F396" s="81"/>
      <c r="G396" s="81"/>
      <c r="H396" s="81"/>
      <c r="I396" s="81"/>
      <c r="N396" s="81"/>
      <c r="O396" s="81"/>
      <c r="P396" s="81"/>
      <c r="Q396" s="81"/>
      <c r="R396" s="81"/>
      <c r="S396" s="81"/>
      <c r="T396" s="81"/>
      <c r="U396" s="81"/>
    </row>
    <row r="397" spans="2:21" ht="12.75" customHeight="1" x14ac:dyDescent="0.2">
      <c r="B397" s="81"/>
      <c r="C397" s="81"/>
      <c r="D397" s="81"/>
      <c r="E397" s="81"/>
      <c r="F397" s="81"/>
      <c r="G397" s="81"/>
      <c r="H397" s="81"/>
      <c r="I397" s="81"/>
      <c r="N397" s="81"/>
      <c r="O397" s="81"/>
      <c r="P397" s="81"/>
      <c r="Q397" s="81"/>
      <c r="R397" s="81"/>
      <c r="S397" s="81"/>
      <c r="T397" s="81"/>
      <c r="U397" s="81"/>
    </row>
    <row r="398" spans="2:21" ht="12.75" customHeight="1" x14ac:dyDescent="0.2">
      <c r="B398" s="81"/>
      <c r="C398" s="81"/>
      <c r="D398" s="81"/>
      <c r="E398" s="81"/>
      <c r="F398" s="81"/>
      <c r="G398" s="81"/>
      <c r="H398" s="81"/>
      <c r="I398" s="81"/>
      <c r="N398" s="81"/>
      <c r="O398" s="81"/>
      <c r="P398" s="81"/>
      <c r="Q398" s="81"/>
      <c r="R398" s="81"/>
      <c r="S398" s="81"/>
      <c r="T398" s="81"/>
      <c r="U398" s="81"/>
    </row>
    <row r="399" spans="2:21" ht="12.75" customHeight="1" x14ac:dyDescent="0.2">
      <c r="B399" s="81"/>
      <c r="C399" s="81"/>
      <c r="D399" s="81"/>
      <c r="E399" s="81"/>
      <c r="F399" s="81"/>
      <c r="G399" s="81"/>
      <c r="H399" s="81"/>
      <c r="I399" s="81"/>
      <c r="N399" s="81"/>
      <c r="O399" s="81"/>
      <c r="P399" s="81"/>
      <c r="Q399" s="81"/>
      <c r="R399" s="81"/>
      <c r="S399" s="81"/>
      <c r="T399" s="81"/>
      <c r="U399" s="81"/>
    </row>
    <row r="400" spans="2:21" ht="12.75" customHeight="1" x14ac:dyDescent="0.2">
      <c r="B400" s="81"/>
      <c r="C400" s="81"/>
      <c r="D400" s="81"/>
      <c r="E400" s="81"/>
      <c r="F400" s="81"/>
      <c r="G400" s="81"/>
      <c r="H400" s="81"/>
      <c r="I400" s="81"/>
      <c r="N400" s="81"/>
      <c r="O400" s="81"/>
      <c r="P400" s="81"/>
      <c r="Q400" s="81"/>
      <c r="R400" s="81"/>
      <c r="S400" s="81"/>
      <c r="T400" s="81"/>
      <c r="U400" s="81"/>
    </row>
    <row r="401" spans="2:21" ht="12.75" customHeight="1" x14ac:dyDescent="0.2">
      <c r="B401" s="81"/>
      <c r="C401" s="81"/>
      <c r="D401" s="81"/>
      <c r="E401" s="81"/>
      <c r="F401" s="81"/>
      <c r="G401" s="81"/>
      <c r="H401" s="81"/>
      <c r="I401" s="81"/>
      <c r="N401" s="81"/>
      <c r="O401" s="81"/>
      <c r="P401" s="81"/>
      <c r="Q401" s="81"/>
      <c r="R401" s="81"/>
      <c r="S401" s="81"/>
      <c r="T401" s="81"/>
      <c r="U401" s="81"/>
    </row>
    <row r="402" spans="2:21" ht="12.75" customHeight="1" x14ac:dyDescent="0.2">
      <c r="B402" s="81"/>
      <c r="C402" s="81"/>
      <c r="D402" s="81"/>
      <c r="E402" s="81"/>
      <c r="F402" s="81"/>
      <c r="G402" s="81"/>
      <c r="H402" s="81"/>
      <c r="I402" s="81"/>
      <c r="N402" s="81"/>
      <c r="O402" s="81"/>
      <c r="P402" s="81"/>
      <c r="Q402" s="81"/>
      <c r="R402" s="81"/>
      <c r="S402" s="81"/>
      <c r="T402" s="81"/>
      <c r="U402" s="81"/>
    </row>
    <row r="403" spans="2:21" ht="12.75" customHeight="1" x14ac:dyDescent="0.2">
      <c r="B403" s="81"/>
      <c r="C403" s="81"/>
      <c r="D403" s="81"/>
      <c r="E403" s="81"/>
      <c r="F403" s="81"/>
      <c r="G403" s="81"/>
      <c r="H403" s="81"/>
      <c r="I403" s="81"/>
      <c r="N403" s="81"/>
      <c r="O403" s="81"/>
      <c r="P403" s="81"/>
      <c r="Q403" s="81"/>
      <c r="R403" s="81"/>
      <c r="S403" s="81"/>
      <c r="T403" s="81"/>
      <c r="U403" s="81"/>
    </row>
    <row r="404" spans="2:21" ht="12.75" customHeight="1" x14ac:dyDescent="0.2">
      <c r="B404" s="81"/>
      <c r="C404" s="81"/>
      <c r="D404" s="81"/>
      <c r="E404" s="81"/>
      <c r="F404" s="81"/>
      <c r="G404" s="81"/>
      <c r="H404" s="81"/>
      <c r="I404" s="81"/>
      <c r="N404" s="81"/>
      <c r="O404" s="81"/>
      <c r="P404" s="81"/>
      <c r="Q404" s="81"/>
      <c r="R404" s="81"/>
      <c r="S404" s="81"/>
      <c r="T404" s="81"/>
      <c r="U404" s="81"/>
    </row>
    <row r="405" spans="2:21" ht="12.75" customHeight="1" x14ac:dyDescent="0.2">
      <c r="B405" s="81"/>
      <c r="C405" s="81"/>
      <c r="D405" s="81"/>
      <c r="E405" s="81"/>
      <c r="F405" s="81"/>
      <c r="G405" s="81"/>
      <c r="H405" s="81"/>
      <c r="I405" s="81"/>
      <c r="N405" s="81"/>
      <c r="O405" s="81"/>
      <c r="P405" s="81"/>
      <c r="Q405" s="81"/>
      <c r="R405" s="81"/>
      <c r="S405" s="81"/>
      <c r="T405" s="81"/>
      <c r="U405" s="81"/>
    </row>
    <row r="406" spans="2:21" ht="12.75" customHeight="1" x14ac:dyDescent="0.2">
      <c r="B406" s="81"/>
      <c r="C406" s="81"/>
      <c r="D406" s="81"/>
      <c r="E406" s="81"/>
      <c r="F406" s="81"/>
      <c r="G406" s="81"/>
      <c r="H406" s="81"/>
      <c r="I406" s="81"/>
      <c r="N406" s="81"/>
      <c r="O406" s="81"/>
      <c r="P406" s="81"/>
      <c r="Q406" s="81"/>
      <c r="R406" s="81"/>
      <c r="S406" s="81"/>
      <c r="T406" s="81"/>
      <c r="U406" s="81"/>
    </row>
    <row r="407" spans="2:21" ht="12.75" customHeight="1" x14ac:dyDescent="0.2">
      <c r="B407" s="81"/>
      <c r="C407" s="81"/>
      <c r="D407" s="81"/>
      <c r="E407" s="81"/>
      <c r="F407" s="81"/>
      <c r="G407" s="81"/>
      <c r="H407" s="81"/>
      <c r="I407" s="81"/>
      <c r="N407" s="81"/>
      <c r="O407" s="81"/>
      <c r="P407" s="81"/>
      <c r="Q407" s="81"/>
      <c r="R407" s="81"/>
      <c r="S407" s="81"/>
      <c r="T407" s="81"/>
      <c r="U407" s="81"/>
    </row>
    <row r="408" spans="2:21" ht="12.75" customHeight="1" x14ac:dyDescent="0.2">
      <c r="B408" s="81"/>
      <c r="C408" s="81"/>
      <c r="D408" s="81"/>
      <c r="E408" s="81"/>
      <c r="F408" s="81"/>
      <c r="G408" s="81"/>
      <c r="H408" s="81"/>
      <c r="I408" s="81"/>
      <c r="N408" s="81"/>
      <c r="O408" s="81"/>
      <c r="P408" s="81"/>
      <c r="Q408" s="81"/>
      <c r="R408" s="81"/>
      <c r="S408" s="81"/>
      <c r="T408" s="81"/>
      <c r="U408" s="81"/>
    </row>
    <row r="409" spans="2:21" ht="12.75" customHeight="1" x14ac:dyDescent="0.2">
      <c r="B409" s="81"/>
      <c r="C409" s="81"/>
      <c r="D409" s="81"/>
      <c r="E409" s="81"/>
      <c r="F409" s="81"/>
      <c r="G409" s="81"/>
      <c r="H409" s="81"/>
      <c r="I409" s="81"/>
      <c r="N409" s="81"/>
      <c r="O409" s="81"/>
      <c r="P409" s="81"/>
      <c r="Q409" s="81"/>
      <c r="R409" s="81"/>
      <c r="S409" s="81"/>
      <c r="T409" s="81"/>
      <c r="U409" s="81"/>
    </row>
    <row r="410" spans="2:21" ht="12.75" customHeight="1" x14ac:dyDescent="0.2">
      <c r="B410" s="81"/>
      <c r="C410" s="81"/>
      <c r="D410" s="81"/>
      <c r="E410" s="81"/>
      <c r="F410" s="81"/>
      <c r="G410" s="81"/>
      <c r="H410" s="81"/>
      <c r="I410" s="81"/>
      <c r="N410" s="81"/>
      <c r="O410" s="81"/>
      <c r="P410" s="81"/>
      <c r="Q410" s="81"/>
      <c r="R410" s="81"/>
      <c r="S410" s="81"/>
      <c r="T410" s="81"/>
      <c r="U410" s="81"/>
    </row>
    <row r="411" spans="2:21" ht="12.75" customHeight="1" x14ac:dyDescent="0.2">
      <c r="B411" s="81"/>
      <c r="C411" s="81"/>
      <c r="D411" s="81"/>
      <c r="E411" s="81"/>
      <c r="F411" s="81"/>
      <c r="G411" s="81"/>
      <c r="H411" s="81"/>
      <c r="I411" s="81"/>
      <c r="N411" s="81"/>
      <c r="O411" s="81"/>
      <c r="P411" s="81"/>
      <c r="Q411" s="81"/>
      <c r="R411" s="81"/>
      <c r="S411" s="81"/>
      <c r="T411" s="81"/>
      <c r="U411" s="81"/>
    </row>
    <row r="412" spans="2:21" ht="12.75" customHeight="1" x14ac:dyDescent="0.2">
      <c r="B412" s="81"/>
      <c r="C412" s="81"/>
      <c r="D412" s="81"/>
      <c r="E412" s="81"/>
      <c r="F412" s="81"/>
      <c r="G412" s="81"/>
      <c r="H412" s="81"/>
      <c r="I412" s="81"/>
      <c r="N412" s="81"/>
      <c r="O412" s="81"/>
      <c r="P412" s="81"/>
      <c r="Q412" s="81"/>
      <c r="R412" s="81"/>
      <c r="S412" s="81"/>
      <c r="T412" s="81"/>
      <c r="U412" s="81"/>
    </row>
    <row r="413" spans="2:21" ht="12.75" customHeight="1" x14ac:dyDescent="0.2">
      <c r="B413" s="81"/>
      <c r="C413" s="81"/>
      <c r="D413" s="81"/>
      <c r="E413" s="81"/>
      <c r="F413" s="81"/>
      <c r="G413" s="81"/>
      <c r="H413" s="81"/>
      <c r="I413" s="81"/>
      <c r="N413" s="81"/>
      <c r="O413" s="81"/>
      <c r="P413" s="81"/>
      <c r="Q413" s="81"/>
      <c r="R413" s="81"/>
      <c r="S413" s="81"/>
      <c r="T413" s="81"/>
      <c r="U413" s="81"/>
    </row>
    <row r="414" spans="2:21" ht="12.75" customHeight="1" x14ac:dyDescent="0.2">
      <c r="B414" s="81"/>
      <c r="C414" s="81"/>
      <c r="D414" s="81"/>
      <c r="E414" s="81"/>
      <c r="F414" s="81"/>
      <c r="G414" s="81"/>
      <c r="H414" s="81"/>
      <c r="I414" s="81"/>
      <c r="N414" s="81"/>
      <c r="O414" s="81"/>
      <c r="P414" s="81"/>
      <c r="Q414" s="81"/>
      <c r="R414" s="81"/>
      <c r="S414" s="81"/>
      <c r="T414" s="81"/>
      <c r="U414" s="81"/>
    </row>
    <row r="415" spans="2:21" ht="12.75" customHeight="1" x14ac:dyDescent="0.2">
      <c r="B415" s="81"/>
      <c r="C415" s="81"/>
      <c r="D415" s="81"/>
      <c r="E415" s="81"/>
      <c r="F415" s="81"/>
      <c r="G415" s="81"/>
      <c r="H415" s="81"/>
      <c r="I415" s="81"/>
      <c r="N415" s="81"/>
      <c r="O415" s="81"/>
      <c r="P415" s="81"/>
      <c r="Q415" s="81"/>
      <c r="R415" s="81"/>
      <c r="S415" s="81"/>
      <c r="T415" s="81"/>
      <c r="U415" s="81"/>
    </row>
    <row r="416" spans="2:21" ht="12.75" customHeight="1" x14ac:dyDescent="0.2">
      <c r="B416" s="81"/>
      <c r="C416" s="81"/>
      <c r="D416" s="81"/>
      <c r="E416" s="81"/>
      <c r="F416" s="81"/>
      <c r="G416" s="81"/>
      <c r="H416" s="81"/>
      <c r="I416" s="81"/>
      <c r="N416" s="81"/>
      <c r="O416" s="81"/>
      <c r="P416" s="81"/>
      <c r="Q416" s="81"/>
      <c r="R416" s="81"/>
      <c r="S416" s="81"/>
      <c r="T416" s="81"/>
      <c r="U416" s="81"/>
    </row>
    <row r="417" spans="2:21" ht="12.75" customHeight="1" x14ac:dyDescent="0.2">
      <c r="B417" s="81"/>
      <c r="C417" s="81"/>
      <c r="D417" s="81"/>
      <c r="E417" s="81"/>
      <c r="F417" s="81"/>
      <c r="G417" s="81"/>
      <c r="H417" s="81"/>
      <c r="I417" s="81"/>
      <c r="N417" s="81"/>
      <c r="O417" s="81"/>
      <c r="P417" s="81"/>
      <c r="Q417" s="81"/>
      <c r="R417" s="81"/>
      <c r="S417" s="81"/>
      <c r="T417" s="81"/>
      <c r="U417" s="81"/>
    </row>
    <row r="418" spans="2:21" ht="12.75" customHeight="1" x14ac:dyDescent="0.2">
      <c r="B418" s="81"/>
      <c r="C418" s="81"/>
      <c r="D418" s="81"/>
      <c r="E418" s="81"/>
      <c r="F418" s="81"/>
      <c r="G418" s="81"/>
      <c r="H418" s="81"/>
      <c r="I418" s="81"/>
      <c r="N418" s="81"/>
      <c r="O418" s="81"/>
      <c r="P418" s="81"/>
      <c r="Q418" s="81"/>
      <c r="R418" s="81"/>
      <c r="S418" s="81"/>
      <c r="T418" s="81"/>
      <c r="U418" s="81"/>
    </row>
    <row r="419" spans="2:21" ht="12.75" customHeight="1" x14ac:dyDescent="0.2">
      <c r="B419" s="81"/>
      <c r="C419" s="81"/>
      <c r="D419" s="81"/>
      <c r="E419" s="81"/>
      <c r="F419" s="81"/>
      <c r="G419" s="81"/>
      <c r="H419" s="81"/>
      <c r="I419" s="81"/>
      <c r="N419" s="81"/>
      <c r="O419" s="81"/>
      <c r="P419" s="81"/>
      <c r="Q419" s="81"/>
      <c r="R419" s="81"/>
      <c r="S419" s="81"/>
      <c r="T419" s="81"/>
      <c r="U419" s="81"/>
    </row>
    <row r="420" spans="2:21" ht="12.75" customHeight="1" x14ac:dyDescent="0.2">
      <c r="B420" s="81"/>
      <c r="C420" s="81"/>
      <c r="D420" s="81"/>
      <c r="E420" s="81"/>
      <c r="F420" s="81"/>
      <c r="G420" s="81"/>
      <c r="H420" s="81"/>
      <c r="I420" s="81"/>
      <c r="N420" s="81"/>
      <c r="O420" s="81"/>
      <c r="P420" s="81"/>
      <c r="Q420" s="81"/>
      <c r="R420" s="81"/>
      <c r="S420" s="81"/>
      <c r="T420" s="81"/>
      <c r="U420" s="81"/>
    </row>
    <row r="421" spans="2:21" ht="12.75" customHeight="1" x14ac:dyDescent="0.2">
      <c r="B421" s="81"/>
      <c r="C421" s="81"/>
      <c r="D421" s="81"/>
      <c r="E421" s="81"/>
      <c r="F421" s="81"/>
      <c r="G421" s="81"/>
      <c r="H421" s="81"/>
      <c r="I421" s="81"/>
      <c r="N421" s="81"/>
      <c r="O421" s="81"/>
      <c r="P421" s="81"/>
      <c r="Q421" s="81"/>
      <c r="R421" s="81"/>
      <c r="S421" s="81"/>
      <c r="T421" s="81"/>
      <c r="U421" s="81"/>
    </row>
    <row r="422" spans="2:21" ht="12.75" customHeight="1" x14ac:dyDescent="0.2">
      <c r="B422" s="81"/>
      <c r="C422" s="81"/>
      <c r="D422" s="81"/>
      <c r="E422" s="81"/>
      <c r="F422" s="81"/>
      <c r="G422" s="81"/>
      <c r="H422" s="81"/>
      <c r="I422" s="81"/>
      <c r="N422" s="81"/>
      <c r="O422" s="81"/>
      <c r="P422" s="81"/>
      <c r="Q422" s="81"/>
      <c r="R422" s="81"/>
      <c r="S422" s="81"/>
      <c r="T422" s="81"/>
      <c r="U422" s="81"/>
    </row>
    <row r="423" spans="2:21" ht="12.75" customHeight="1" x14ac:dyDescent="0.2">
      <c r="B423" s="81"/>
      <c r="C423" s="81"/>
      <c r="D423" s="81"/>
      <c r="E423" s="81"/>
      <c r="F423" s="81"/>
      <c r="G423" s="81"/>
      <c r="H423" s="81"/>
      <c r="I423" s="81"/>
      <c r="N423" s="81"/>
      <c r="O423" s="81"/>
      <c r="P423" s="81"/>
      <c r="Q423" s="81"/>
      <c r="R423" s="81"/>
      <c r="S423" s="81"/>
      <c r="T423" s="81"/>
      <c r="U423" s="81"/>
    </row>
    <row r="424" spans="2:21" ht="12.75" customHeight="1" x14ac:dyDescent="0.2">
      <c r="B424" s="81"/>
      <c r="C424" s="81"/>
      <c r="D424" s="81"/>
      <c r="E424" s="81"/>
      <c r="F424" s="81"/>
      <c r="G424" s="81"/>
      <c r="H424" s="81"/>
      <c r="I424" s="81"/>
      <c r="N424" s="81"/>
      <c r="O424" s="81"/>
      <c r="P424" s="81"/>
      <c r="Q424" s="81"/>
      <c r="R424" s="81"/>
      <c r="S424" s="81"/>
      <c r="T424" s="81"/>
      <c r="U424" s="81"/>
    </row>
    <row r="425" spans="2:21" ht="12.75" customHeight="1" x14ac:dyDescent="0.2">
      <c r="B425" s="81"/>
      <c r="C425" s="81"/>
      <c r="D425" s="81"/>
      <c r="E425" s="81"/>
      <c r="F425" s="81"/>
      <c r="G425" s="81"/>
      <c r="H425" s="81"/>
      <c r="I425" s="81"/>
      <c r="N425" s="81"/>
      <c r="O425" s="81"/>
      <c r="P425" s="81"/>
      <c r="Q425" s="81"/>
      <c r="R425" s="81"/>
      <c r="S425" s="81"/>
      <c r="T425" s="81"/>
      <c r="U425" s="81"/>
    </row>
    <row r="426" spans="2:21" ht="12.75" customHeight="1" x14ac:dyDescent="0.2">
      <c r="B426" s="81"/>
      <c r="C426" s="81"/>
      <c r="D426" s="81"/>
      <c r="E426" s="81"/>
      <c r="F426" s="81"/>
      <c r="G426" s="81"/>
      <c r="H426" s="81"/>
      <c r="I426" s="81"/>
      <c r="N426" s="81"/>
      <c r="O426" s="81"/>
      <c r="P426" s="81"/>
      <c r="Q426" s="81"/>
      <c r="R426" s="81"/>
      <c r="S426" s="81"/>
      <c r="T426" s="81"/>
      <c r="U426" s="81"/>
    </row>
    <row r="427" spans="2:21" ht="12.75" customHeight="1" x14ac:dyDescent="0.2">
      <c r="B427" s="81"/>
      <c r="C427" s="81"/>
      <c r="D427" s="81"/>
      <c r="E427" s="81"/>
      <c r="F427" s="81"/>
      <c r="G427" s="81"/>
      <c r="H427" s="81"/>
      <c r="I427" s="81"/>
      <c r="N427" s="81"/>
      <c r="O427" s="81"/>
      <c r="P427" s="81"/>
      <c r="Q427" s="81"/>
      <c r="R427" s="81"/>
      <c r="S427" s="81"/>
      <c r="T427" s="81"/>
      <c r="U427" s="81"/>
    </row>
    <row r="428" spans="2:21" ht="12.75" customHeight="1" x14ac:dyDescent="0.2">
      <c r="B428" s="81"/>
      <c r="C428" s="81"/>
      <c r="D428" s="81"/>
      <c r="E428" s="81"/>
      <c r="F428" s="81"/>
      <c r="G428" s="81"/>
      <c r="H428" s="81"/>
      <c r="I428" s="81"/>
      <c r="N428" s="81"/>
      <c r="O428" s="81"/>
      <c r="P428" s="81"/>
      <c r="Q428" s="81"/>
      <c r="R428" s="81"/>
      <c r="S428" s="81"/>
      <c r="T428" s="81"/>
      <c r="U428" s="81"/>
    </row>
    <row r="429" spans="2:21" ht="12.75" customHeight="1" x14ac:dyDescent="0.2">
      <c r="B429" s="81"/>
      <c r="C429" s="81"/>
      <c r="D429" s="81"/>
      <c r="E429" s="81"/>
      <c r="F429" s="81"/>
      <c r="G429" s="81"/>
      <c r="H429" s="81"/>
      <c r="I429" s="81"/>
      <c r="N429" s="81"/>
      <c r="O429" s="81"/>
      <c r="P429" s="81"/>
      <c r="Q429" s="81"/>
      <c r="R429" s="81"/>
      <c r="S429" s="81"/>
      <c r="T429" s="81"/>
      <c r="U429" s="81"/>
    </row>
    <row r="430" spans="2:21" ht="12.75" customHeight="1" x14ac:dyDescent="0.2">
      <c r="B430" s="81"/>
      <c r="C430" s="81"/>
      <c r="D430" s="81"/>
      <c r="E430" s="81"/>
      <c r="F430" s="81"/>
      <c r="G430" s="81"/>
      <c r="H430" s="81"/>
      <c r="I430" s="81"/>
      <c r="N430" s="81"/>
      <c r="O430" s="81"/>
      <c r="P430" s="81"/>
      <c r="Q430" s="81"/>
      <c r="R430" s="81"/>
      <c r="S430" s="81"/>
      <c r="T430" s="81"/>
      <c r="U430" s="81"/>
    </row>
    <row r="431" spans="2:21" ht="12.75" customHeight="1" x14ac:dyDescent="0.2">
      <c r="B431" s="81"/>
      <c r="C431" s="81"/>
      <c r="D431" s="81"/>
      <c r="E431" s="81"/>
      <c r="F431" s="81"/>
      <c r="G431" s="81"/>
      <c r="H431" s="81"/>
      <c r="I431" s="81"/>
      <c r="N431" s="81"/>
      <c r="O431" s="81"/>
      <c r="P431" s="81"/>
      <c r="Q431" s="81"/>
      <c r="R431" s="81"/>
      <c r="S431" s="81"/>
      <c r="T431" s="81"/>
      <c r="U431" s="81"/>
    </row>
    <row r="432" spans="2:21" ht="12.75" customHeight="1" x14ac:dyDescent="0.2">
      <c r="B432" s="81"/>
      <c r="C432" s="81"/>
      <c r="D432" s="81"/>
      <c r="E432" s="81"/>
      <c r="F432" s="81"/>
      <c r="G432" s="81"/>
      <c r="H432" s="81"/>
      <c r="I432" s="81"/>
      <c r="N432" s="81"/>
      <c r="O432" s="81"/>
      <c r="P432" s="81"/>
      <c r="Q432" s="81"/>
      <c r="R432" s="81"/>
      <c r="S432" s="81"/>
      <c r="T432" s="81"/>
      <c r="U432" s="81"/>
    </row>
    <row r="433" spans="2:21" ht="12.75" customHeight="1" x14ac:dyDescent="0.2">
      <c r="B433" s="81"/>
      <c r="C433" s="81"/>
      <c r="D433" s="81"/>
      <c r="E433" s="81"/>
      <c r="F433" s="81"/>
      <c r="G433" s="81"/>
      <c r="H433" s="81"/>
      <c r="I433" s="81"/>
      <c r="N433" s="81"/>
      <c r="O433" s="81"/>
      <c r="P433" s="81"/>
      <c r="Q433" s="81"/>
      <c r="R433" s="81"/>
      <c r="S433" s="81"/>
      <c r="T433" s="81"/>
      <c r="U433" s="81"/>
    </row>
    <row r="434" spans="2:21" ht="12.75" customHeight="1" x14ac:dyDescent="0.2">
      <c r="B434" s="81"/>
      <c r="C434" s="81"/>
      <c r="D434" s="81"/>
      <c r="E434" s="81"/>
      <c r="F434" s="81"/>
      <c r="G434" s="81"/>
      <c r="H434" s="81"/>
      <c r="I434" s="81"/>
      <c r="N434" s="81"/>
      <c r="O434" s="81"/>
      <c r="P434" s="81"/>
      <c r="Q434" s="81"/>
      <c r="R434" s="81"/>
      <c r="S434" s="81"/>
      <c r="T434" s="81"/>
      <c r="U434" s="81"/>
    </row>
    <row r="435" spans="2:21" ht="12.75" customHeight="1" x14ac:dyDescent="0.2">
      <c r="B435" s="81"/>
      <c r="C435" s="81"/>
      <c r="D435" s="81"/>
      <c r="E435" s="81"/>
      <c r="F435" s="81"/>
      <c r="G435" s="81"/>
      <c r="H435" s="81"/>
      <c r="I435" s="81"/>
      <c r="N435" s="81"/>
      <c r="O435" s="81"/>
      <c r="P435" s="81"/>
      <c r="Q435" s="81"/>
      <c r="R435" s="81"/>
      <c r="S435" s="81"/>
      <c r="T435" s="81"/>
      <c r="U435" s="81"/>
    </row>
    <row r="436" spans="2:21" ht="12.75" customHeight="1" x14ac:dyDescent="0.2">
      <c r="B436" s="81"/>
      <c r="C436" s="81"/>
      <c r="D436" s="81"/>
      <c r="E436" s="81"/>
      <c r="F436" s="81"/>
      <c r="G436" s="81"/>
      <c r="H436" s="81"/>
      <c r="I436" s="81"/>
      <c r="N436" s="81"/>
      <c r="O436" s="81"/>
      <c r="P436" s="81"/>
      <c r="Q436" s="81"/>
      <c r="R436" s="81"/>
      <c r="S436" s="81"/>
      <c r="T436" s="81"/>
      <c r="U436" s="81"/>
    </row>
    <row r="437" spans="2:21" ht="12.75" customHeight="1" x14ac:dyDescent="0.2">
      <c r="B437" s="81"/>
      <c r="C437" s="81"/>
      <c r="D437" s="81"/>
      <c r="E437" s="81"/>
      <c r="F437" s="81"/>
      <c r="G437" s="81"/>
      <c r="H437" s="81"/>
      <c r="I437" s="81"/>
      <c r="N437" s="81"/>
      <c r="O437" s="81"/>
      <c r="P437" s="81"/>
      <c r="Q437" s="81"/>
      <c r="R437" s="81"/>
      <c r="S437" s="81"/>
      <c r="T437" s="81"/>
      <c r="U437" s="81"/>
    </row>
    <row r="438" spans="2:21" ht="12.75" customHeight="1" x14ac:dyDescent="0.2">
      <c r="B438" s="81"/>
      <c r="C438" s="81"/>
      <c r="D438" s="81"/>
      <c r="E438" s="81"/>
      <c r="F438" s="81"/>
      <c r="G438" s="81"/>
      <c r="H438" s="81"/>
      <c r="I438" s="81"/>
      <c r="N438" s="81"/>
      <c r="O438" s="81"/>
      <c r="P438" s="81"/>
      <c r="Q438" s="81"/>
      <c r="R438" s="81"/>
      <c r="S438" s="81"/>
      <c r="T438" s="81"/>
      <c r="U438" s="81"/>
    </row>
    <row r="439" spans="2:21" ht="12.75" customHeight="1" x14ac:dyDescent="0.2">
      <c r="B439" s="81"/>
      <c r="C439" s="81"/>
      <c r="D439" s="81"/>
      <c r="E439" s="81"/>
      <c r="F439" s="81"/>
      <c r="G439" s="81"/>
      <c r="H439" s="81"/>
      <c r="I439" s="81"/>
      <c r="N439" s="81"/>
      <c r="O439" s="81"/>
      <c r="P439" s="81"/>
      <c r="Q439" s="81"/>
      <c r="R439" s="81"/>
      <c r="S439" s="81"/>
      <c r="T439" s="81"/>
      <c r="U439" s="81"/>
    </row>
    <row r="440" spans="2:21" ht="12.75" customHeight="1" x14ac:dyDescent="0.2">
      <c r="B440" s="81"/>
      <c r="C440" s="81"/>
      <c r="D440" s="81"/>
      <c r="E440" s="81"/>
      <c r="F440" s="81"/>
      <c r="G440" s="81"/>
      <c r="H440" s="81"/>
      <c r="I440" s="81"/>
      <c r="N440" s="81"/>
      <c r="O440" s="81"/>
      <c r="P440" s="81"/>
      <c r="Q440" s="81"/>
      <c r="R440" s="81"/>
      <c r="S440" s="81"/>
      <c r="T440" s="81"/>
      <c r="U440" s="81"/>
    </row>
    <row r="441" spans="2:21" ht="12.75" customHeight="1" x14ac:dyDescent="0.2">
      <c r="B441" s="81"/>
      <c r="C441" s="81"/>
      <c r="D441" s="81"/>
      <c r="E441" s="81"/>
      <c r="F441" s="81"/>
      <c r="G441" s="81"/>
      <c r="H441" s="81"/>
      <c r="I441" s="81"/>
      <c r="N441" s="81"/>
      <c r="O441" s="81"/>
      <c r="P441" s="81"/>
      <c r="Q441" s="81"/>
      <c r="R441" s="81"/>
      <c r="S441" s="81"/>
      <c r="T441" s="81"/>
      <c r="U441" s="81"/>
    </row>
    <row r="442" spans="2:21" ht="12.75" customHeight="1" x14ac:dyDescent="0.2">
      <c r="B442" s="81"/>
      <c r="C442" s="81"/>
      <c r="D442" s="81"/>
      <c r="E442" s="81"/>
      <c r="F442" s="81"/>
      <c r="G442" s="81"/>
      <c r="H442" s="81"/>
      <c r="I442" s="81"/>
      <c r="N442" s="81"/>
      <c r="O442" s="81"/>
      <c r="P442" s="81"/>
      <c r="Q442" s="81"/>
      <c r="R442" s="81"/>
      <c r="S442" s="81"/>
      <c r="T442" s="81"/>
      <c r="U442" s="81"/>
    </row>
    <row r="443" spans="2:21" ht="12.75" customHeight="1" x14ac:dyDescent="0.2">
      <c r="B443" s="81"/>
      <c r="C443" s="81"/>
      <c r="D443" s="81"/>
      <c r="E443" s="81"/>
      <c r="F443" s="81"/>
      <c r="G443" s="81"/>
      <c r="H443" s="81"/>
      <c r="I443" s="81"/>
      <c r="N443" s="81"/>
      <c r="O443" s="81"/>
      <c r="P443" s="81"/>
      <c r="Q443" s="81"/>
      <c r="R443" s="81"/>
      <c r="S443" s="81"/>
      <c r="T443" s="81"/>
      <c r="U443" s="81"/>
    </row>
    <row r="444" spans="2:21" ht="12.75" customHeight="1" x14ac:dyDescent="0.2">
      <c r="B444" s="81"/>
      <c r="C444" s="81"/>
      <c r="D444" s="81"/>
      <c r="E444" s="81"/>
      <c r="F444" s="81"/>
      <c r="G444" s="81"/>
      <c r="H444" s="81"/>
      <c r="I444" s="81"/>
      <c r="N444" s="81"/>
      <c r="O444" s="81"/>
      <c r="P444" s="81"/>
      <c r="Q444" s="81"/>
      <c r="R444" s="81"/>
      <c r="S444" s="81"/>
      <c r="T444" s="81"/>
      <c r="U444" s="81"/>
    </row>
    <row r="445" spans="2:21" ht="12.75" customHeight="1" x14ac:dyDescent="0.2">
      <c r="B445" s="81"/>
      <c r="C445" s="81"/>
      <c r="D445" s="81"/>
      <c r="E445" s="81"/>
      <c r="F445" s="81"/>
      <c r="G445" s="81"/>
      <c r="H445" s="81"/>
      <c r="I445" s="81"/>
      <c r="N445" s="81"/>
      <c r="O445" s="81"/>
      <c r="P445" s="81"/>
      <c r="Q445" s="81"/>
      <c r="R445" s="81"/>
      <c r="S445" s="81"/>
      <c r="T445" s="81"/>
      <c r="U445" s="81"/>
    </row>
    <row r="446" spans="2:21" ht="12.75" customHeight="1" x14ac:dyDescent="0.2">
      <c r="B446" s="81"/>
      <c r="C446" s="81"/>
      <c r="D446" s="81"/>
      <c r="E446" s="81"/>
      <c r="F446" s="81"/>
      <c r="G446" s="81"/>
      <c r="H446" s="81"/>
      <c r="I446" s="81"/>
      <c r="N446" s="81"/>
      <c r="O446" s="81"/>
      <c r="P446" s="81"/>
      <c r="Q446" s="81"/>
      <c r="R446" s="81"/>
      <c r="S446" s="81"/>
      <c r="T446" s="81"/>
      <c r="U446" s="81"/>
    </row>
    <row r="447" spans="2:21" ht="12.75" customHeight="1" x14ac:dyDescent="0.2">
      <c r="B447" s="81"/>
      <c r="C447" s="81"/>
      <c r="D447" s="81"/>
      <c r="E447" s="81"/>
      <c r="F447" s="81"/>
      <c r="G447" s="81"/>
      <c r="H447" s="81"/>
      <c r="I447" s="81"/>
      <c r="N447" s="81"/>
      <c r="O447" s="81"/>
      <c r="P447" s="81"/>
      <c r="Q447" s="81"/>
      <c r="R447" s="81"/>
      <c r="S447" s="81"/>
      <c r="T447" s="81"/>
      <c r="U447" s="81"/>
    </row>
    <row r="448" spans="2:21" ht="12.75" customHeight="1" x14ac:dyDescent="0.2">
      <c r="B448" s="81"/>
      <c r="C448" s="81"/>
      <c r="D448" s="81"/>
      <c r="E448" s="81"/>
      <c r="F448" s="81"/>
      <c r="G448" s="81"/>
      <c r="H448" s="81"/>
      <c r="I448" s="81"/>
      <c r="N448" s="81"/>
      <c r="O448" s="81"/>
      <c r="P448" s="81"/>
      <c r="Q448" s="81"/>
      <c r="R448" s="81"/>
      <c r="S448" s="81"/>
      <c r="T448" s="81"/>
      <c r="U448" s="81"/>
    </row>
    <row r="449" spans="2:21" ht="12.75" customHeight="1" x14ac:dyDescent="0.2">
      <c r="B449" s="81"/>
      <c r="C449" s="81"/>
      <c r="D449" s="81"/>
      <c r="E449" s="81"/>
      <c r="F449" s="81"/>
      <c r="G449" s="81"/>
      <c r="H449" s="81"/>
      <c r="I449" s="81"/>
      <c r="N449" s="81"/>
      <c r="O449" s="81"/>
      <c r="P449" s="81"/>
      <c r="Q449" s="81"/>
      <c r="R449" s="81"/>
      <c r="S449" s="81"/>
      <c r="T449" s="81"/>
      <c r="U449" s="81"/>
    </row>
    <row r="450" spans="2:21" ht="12.75" customHeight="1" x14ac:dyDescent="0.2">
      <c r="B450" s="81"/>
      <c r="C450" s="81"/>
      <c r="D450" s="81"/>
      <c r="E450" s="81"/>
      <c r="F450" s="81"/>
      <c r="G450" s="81"/>
      <c r="H450" s="81"/>
      <c r="I450" s="81"/>
      <c r="N450" s="81"/>
      <c r="O450" s="81"/>
      <c r="P450" s="81"/>
      <c r="Q450" s="81"/>
      <c r="R450" s="81"/>
      <c r="S450" s="81"/>
      <c r="T450" s="81"/>
      <c r="U450" s="81"/>
    </row>
    <row r="451" spans="2:21" ht="12.75" customHeight="1" x14ac:dyDescent="0.2">
      <c r="B451" s="81"/>
      <c r="C451" s="81"/>
      <c r="D451" s="81"/>
      <c r="E451" s="81"/>
      <c r="F451" s="81"/>
      <c r="G451" s="81"/>
      <c r="H451" s="81"/>
      <c r="I451" s="81"/>
      <c r="N451" s="81"/>
      <c r="O451" s="81"/>
      <c r="P451" s="81"/>
      <c r="Q451" s="81"/>
      <c r="R451" s="81"/>
      <c r="S451" s="81"/>
      <c r="T451" s="81"/>
      <c r="U451" s="81"/>
    </row>
    <row r="452" spans="2:21" ht="12.75" customHeight="1" x14ac:dyDescent="0.2">
      <c r="B452" s="81"/>
      <c r="C452" s="81"/>
      <c r="D452" s="81"/>
      <c r="E452" s="81"/>
      <c r="F452" s="81"/>
      <c r="G452" s="81"/>
      <c r="H452" s="81"/>
      <c r="I452" s="81"/>
      <c r="N452" s="81"/>
      <c r="O452" s="81"/>
      <c r="P452" s="81"/>
      <c r="Q452" s="81"/>
      <c r="R452" s="81"/>
      <c r="S452" s="81"/>
      <c r="T452" s="81"/>
      <c r="U452" s="81"/>
    </row>
    <row r="453" spans="2:21" ht="12.75" customHeight="1" x14ac:dyDescent="0.2">
      <c r="B453" s="81"/>
      <c r="C453" s="81"/>
      <c r="D453" s="81"/>
      <c r="E453" s="81"/>
      <c r="F453" s="81"/>
      <c r="G453" s="81"/>
      <c r="H453" s="81"/>
      <c r="I453" s="81"/>
      <c r="N453" s="81"/>
      <c r="O453" s="81"/>
      <c r="P453" s="81"/>
      <c r="Q453" s="81"/>
      <c r="R453" s="81"/>
      <c r="S453" s="81"/>
      <c r="T453" s="81"/>
      <c r="U453" s="81"/>
    </row>
    <row r="454" spans="2:21" ht="12.75" customHeight="1" x14ac:dyDescent="0.2">
      <c r="B454" s="81"/>
      <c r="C454" s="81"/>
      <c r="D454" s="81"/>
      <c r="E454" s="81"/>
      <c r="F454" s="81"/>
      <c r="G454" s="81"/>
      <c r="H454" s="81"/>
      <c r="I454" s="81"/>
      <c r="N454" s="81"/>
      <c r="O454" s="81"/>
      <c r="P454" s="81"/>
      <c r="Q454" s="81"/>
      <c r="R454" s="81"/>
      <c r="S454" s="81"/>
      <c r="T454" s="81"/>
      <c r="U454" s="81"/>
    </row>
    <row r="455" spans="2:21" ht="12.75" customHeight="1" x14ac:dyDescent="0.2">
      <c r="B455" s="81"/>
      <c r="C455" s="81"/>
      <c r="D455" s="81"/>
      <c r="E455" s="81"/>
      <c r="F455" s="81"/>
      <c r="G455" s="81"/>
      <c r="H455" s="81"/>
      <c r="I455" s="81"/>
      <c r="N455" s="81"/>
      <c r="O455" s="81"/>
      <c r="P455" s="81"/>
      <c r="Q455" s="81"/>
      <c r="R455" s="81"/>
      <c r="S455" s="81"/>
      <c r="T455" s="81"/>
      <c r="U455" s="81"/>
    </row>
    <row r="456" spans="2:21" ht="12.75" customHeight="1" x14ac:dyDescent="0.2">
      <c r="B456" s="81"/>
      <c r="C456" s="81"/>
      <c r="D456" s="81"/>
      <c r="E456" s="81"/>
      <c r="F456" s="81"/>
      <c r="G456" s="81"/>
      <c r="H456" s="81"/>
      <c r="I456" s="81"/>
      <c r="N456" s="81"/>
      <c r="O456" s="81"/>
      <c r="P456" s="81"/>
      <c r="Q456" s="81"/>
      <c r="R456" s="81"/>
      <c r="S456" s="81"/>
      <c r="T456" s="81"/>
      <c r="U456" s="81"/>
    </row>
    <row r="457" spans="2:21" ht="12.75" customHeight="1" x14ac:dyDescent="0.2">
      <c r="B457" s="81"/>
      <c r="C457" s="81"/>
      <c r="D457" s="81"/>
      <c r="E457" s="81"/>
      <c r="F457" s="81"/>
      <c r="G457" s="81"/>
      <c r="H457" s="81"/>
      <c r="I457" s="81"/>
      <c r="N457" s="81"/>
      <c r="O457" s="81"/>
      <c r="P457" s="81"/>
      <c r="Q457" s="81"/>
      <c r="R457" s="81"/>
      <c r="S457" s="81"/>
      <c r="T457" s="81"/>
      <c r="U457" s="81"/>
    </row>
    <row r="458" spans="2:21" ht="12.75" customHeight="1" x14ac:dyDescent="0.2">
      <c r="B458" s="81"/>
      <c r="C458" s="81"/>
      <c r="D458" s="81"/>
      <c r="E458" s="81"/>
      <c r="F458" s="81"/>
      <c r="G458" s="81"/>
      <c r="H458" s="81"/>
      <c r="I458" s="81"/>
      <c r="N458" s="81"/>
      <c r="O458" s="81"/>
      <c r="P458" s="81"/>
      <c r="Q458" s="81"/>
      <c r="R458" s="81"/>
      <c r="S458" s="81"/>
      <c r="T458" s="81"/>
      <c r="U458" s="81"/>
    </row>
    <row r="459" spans="2:21" ht="12.75" customHeight="1" x14ac:dyDescent="0.2">
      <c r="B459" s="81"/>
      <c r="C459" s="81"/>
      <c r="D459" s="81"/>
      <c r="E459" s="81"/>
      <c r="F459" s="81"/>
      <c r="G459" s="81"/>
      <c r="H459" s="81"/>
      <c r="I459" s="81"/>
      <c r="N459" s="81"/>
      <c r="O459" s="81"/>
      <c r="P459" s="81"/>
      <c r="Q459" s="81"/>
      <c r="R459" s="81"/>
      <c r="S459" s="81"/>
      <c r="T459" s="81"/>
      <c r="U459" s="81"/>
    </row>
    <row r="460" spans="2:21" ht="12.75" customHeight="1" x14ac:dyDescent="0.2">
      <c r="B460" s="81"/>
      <c r="C460" s="81"/>
      <c r="D460" s="81"/>
      <c r="E460" s="81"/>
      <c r="F460" s="81"/>
      <c r="G460" s="81"/>
      <c r="H460" s="81"/>
      <c r="I460" s="81"/>
      <c r="N460" s="81"/>
      <c r="O460" s="81"/>
      <c r="P460" s="81"/>
      <c r="Q460" s="81"/>
      <c r="R460" s="81"/>
      <c r="S460" s="81"/>
      <c r="T460" s="81"/>
      <c r="U460" s="81"/>
    </row>
    <row r="461" spans="2:21" ht="12.75" customHeight="1" x14ac:dyDescent="0.2">
      <c r="B461" s="81"/>
      <c r="C461" s="81"/>
      <c r="D461" s="81"/>
      <c r="E461" s="81"/>
      <c r="F461" s="81"/>
      <c r="G461" s="81"/>
      <c r="H461" s="81"/>
      <c r="I461" s="81"/>
      <c r="N461" s="81"/>
      <c r="O461" s="81"/>
      <c r="P461" s="81"/>
      <c r="Q461" s="81"/>
      <c r="R461" s="81"/>
      <c r="S461" s="81"/>
      <c r="T461" s="81"/>
      <c r="U461" s="81"/>
    </row>
    <row r="462" spans="2:21" ht="12.75" customHeight="1" x14ac:dyDescent="0.2">
      <c r="B462" s="81"/>
      <c r="C462" s="81"/>
      <c r="D462" s="81"/>
      <c r="E462" s="81"/>
      <c r="F462" s="81"/>
      <c r="G462" s="81"/>
      <c r="H462" s="81"/>
      <c r="I462" s="81"/>
      <c r="N462" s="81"/>
      <c r="O462" s="81"/>
      <c r="P462" s="81"/>
      <c r="Q462" s="81"/>
      <c r="R462" s="81"/>
      <c r="S462" s="81"/>
      <c r="T462" s="81"/>
      <c r="U462" s="81"/>
    </row>
    <row r="463" spans="2:21" ht="12.75" customHeight="1" x14ac:dyDescent="0.2">
      <c r="B463" s="81"/>
      <c r="C463" s="81"/>
      <c r="D463" s="81"/>
      <c r="E463" s="81"/>
      <c r="F463" s="81"/>
      <c r="G463" s="81"/>
      <c r="H463" s="81"/>
      <c r="I463" s="81"/>
      <c r="N463" s="81"/>
      <c r="O463" s="81"/>
      <c r="P463" s="81"/>
      <c r="Q463" s="81"/>
      <c r="R463" s="81"/>
      <c r="S463" s="81"/>
      <c r="T463" s="81"/>
      <c r="U463" s="81"/>
    </row>
    <row r="464" spans="2:21" ht="12.75" customHeight="1" x14ac:dyDescent="0.2">
      <c r="B464" s="81"/>
      <c r="C464" s="81"/>
      <c r="D464" s="81"/>
      <c r="E464" s="81"/>
      <c r="F464" s="81"/>
      <c r="G464" s="81"/>
      <c r="H464" s="81"/>
      <c r="I464" s="81"/>
      <c r="N464" s="81"/>
      <c r="O464" s="81"/>
      <c r="P464" s="81"/>
      <c r="Q464" s="81"/>
      <c r="R464" s="81"/>
      <c r="S464" s="81"/>
      <c r="T464" s="81"/>
      <c r="U464" s="81"/>
    </row>
    <row r="465" spans="2:21" ht="12.75" customHeight="1" x14ac:dyDescent="0.2">
      <c r="B465" s="81"/>
      <c r="C465" s="81"/>
      <c r="D465" s="81"/>
      <c r="E465" s="81"/>
      <c r="F465" s="81"/>
      <c r="G465" s="81"/>
      <c r="H465" s="81"/>
      <c r="I465" s="81"/>
      <c r="N465" s="81"/>
      <c r="O465" s="81"/>
      <c r="P465" s="81"/>
      <c r="Q465" s="81"/>
      <c r="R465" s="81"/>
      <c r="S465" s="81"/>
      <c r="T465" s="81"/>
      <c r="U465" s="81"/>
    </row>
    <row r="466" spans="2:21" ht="12.75" customHeight="1" x14ac:dyDescent="0.2">
      <c r="B466" s="81"/>
      <c r="C466" s="81"/>
      <c r="D466" s="81"/>
      <c r="E466" s="81"/>
      <c r="F466" s="81"/>
      <c r="G466" s="81"/>
      <c r="H466" s="81"/>
      <c r="I466" s="81"/>
      <c r="N466" s="81"/>
      <c r="O466" s="81"/>
      <c r="P466" s="81"/>
      <c r="Q466" s="81"/>
      <c r="R466" s="81"/>
      <c r="S466" s="81"/>
      <c r="T466" s="81"/>
      <c r="U466" s="81"/>
    </row>
    <row r="467" spans="2:21" ht="12.75" customHeight="1" x14ac:dyDescent="0.2">
      <c r="B467" s="81"/>
      <c r="C467" s="81"/>
      <c r="D467" s="81"/>
      <c r="E467" s="81"/>
      <c r="F467" s="81"/>
      <c r="G467" s="81"/>
      <c r="H467" s="81"/>
      <c r="I467" s="81"/>
      <c r="N467" s="81"/>
      <c r="O467" s="81"/>
      <c r="P467" s="81"/>
      <c r="Q467" s="81"/>
      <c r="R467" s="81"/>
      <c r="S467" s="81"/>
      <c r="T467" s="81"/>
      <c r="U467" s="81"/>
    </row>
    <row r="468" spans="2:21" ht="12.75" customHeight="1" x14ac:dyDescent="0.2">
      <c r="B468" s="81"/>
      <c r="C468" s="81"/>
      <c r="D468" s="81"/>
      <c r="E468" s="81"/>
      <c r="F468" s="81"/>
      <c r="G468" s="81"/>
      <c r="H468" s="81"/>
      <c r="I468" s="81"/>
      <c r="N468" s="81"/>
      <c r="O468" s="81"/>
      <c r="P468" s="81"/>
      <c r="Q468" s="81"/>
      <c r="R468" s="81"/>
      <c r="S468" s="81"/>
      <c r="T468" s="81"/>
      <c r="U468" s="81"/>
    </row>
    <row r="469" spans="2:21" ht="12.75" customHeight="1" x14ac:dyDescent="0.2">
      <c r="B469" s="81"/>
      <c r="C469" s="81"/>
      <c r="D469" s="81"/>
      <c r="E469" s="81"/>
      <c r="F469" s="81"/>
      <c r="G469" s="81"/>
      <c r="H469" s="81"/>
      <c r="I469" s="81"/>
      <c r="N469" s="81"/>
      <c r="O469" s="81"/>
      <c r="P469" s="81"/>
      <c r="Q469" s="81"/>
      <c r="R469" s="81"/>
      <c r="S469" s="81"/>
      <c r="T469" s="81"/>
      <c r="U469" s="81"/>
    </row>
    <row r="470" spans="2:21" ht="12.75" customHeight="1" x14ac:dyDescent="0.2">
      <c r="B470" s="81"/>
      <c r="C470" s="81"/>
      <c r="D470" s="81"/>
      <c r="E470" s="81"/>
      <c r="F470" s="81"/>
      <c r="G470" s="81"/>
      <c r="H470" s="81"/>
      <c r="I470" s="81"/>
      <c r="N470" s="81"/>
      <c r="O470" s="81"/>
      <c r="P470" s="81"/>
      <c r="Q470" s="81"/>
      <c r="R470" s="81"/>
      <c r="S470" s="81"/>
      <c r="T470" s="81"/>
      <c r="U470" s="81"/>
    </row>
    <row r="471" spans="2:21" ht="12.75" customHeight="1" x14ac:dyDescent="0.2">
      <c r="B471" s="81"/>
      <c r="C471" s="81"/>
      <c r="D471" s="81"/>
      <c r="E471" s="81"/>
      <c r="F471" s="81"/>
      <c r="G471" s="81"/>
      <c r="H471" s="81"/>
      <c r="I471" s="81"/>
      <c r="N471" s="81"/>
      <c r="O471" s="81"/>
      <c r="P471" s="81"/>
      <c r="Q471" s="81"/>
      <c r="R471" s="81"/>
      <c r="S471" s="81"/>
      <c r="T471" s="81"/>
      <c r="U471" s="81"/>
    </row>
    <row r="472" spans="2:21" ht="12.75" customHeight="1" x14ac:dyDescent="0.2">
      <c r="B472" s="81"/>
      <c r="C472" s="81"/>
      <c r="D472" s="81"/>
      <c r="E472" s="81"/>
      <c r="F472" s="81"/>
      <c r="G472" s="81"/>
      <c r="H472" s="81"/>
      <c r="I472" s="81"/>
      <c r="N472" s="81"/>
      <c r="O472" s="81"/>
      <c r="P472" s="81"/>
      <c r="Q472" s="81"/>
      <c r="R472" s="81"/>
      <c r="S472" s="81"/>
      <c r="T472" s="81"/>
      <c r="U472" s="81"/>
    </row>
    <row r="473" spans="2:21" ht="12.75" customHeight="1" x14ac:dyDescent="0.2">
      <c r="B473" s="81"/>
      <c r="C473" s="81"/>
      <c r="D473" s="81"/>
      <c r="E473" s="81"/>
      <c r="F473" s="81"/>
      <c r="G473" s="81"/>
      <c r="H473" s="81"/>
      <c r="I473" s="81"/>
      <c r="N473" s="81"/>
      <c r="O473" s="81"/>
      <c r="P473" s="81"/>
      <c r="Q473" s="81"/>
      <c r="R473" s="81"/>
      <c r="S473" s="81"/>
      <c r="T473" s="81"/>
      <c r="U473" s="81"/>
    </row>
    <row r="474" spans="2:21" ht="12.75" customHeight="1" x14ac:dyDescent="0.2">
      <c r="B474" s="81"/>
      <c r="C474" s="81"/>
      <c r="D474" s="81"/>
      <c r="E474" s="81"/>
      <c r="F474" s="81"/>
      <c r="G474" s="81"/>
      <c r="H474" s="81"/>
      <c r="I474" s="81"/>
      <c r="N474" s="81"/>
      <c r="O474" s="81"/>
      <c r="P474" s="81"/>
      <c r="Q474" s="81"/>
      <c r="R474" s="81"/>
      <c r="S474" s="81"/>
      <c r="T474" s="81"/>
      <c r="U474" s="81"/>
    </row>
    <row r="475" spans="2:21" ht="12.75" customHeight="1" x14ac:dyDescent="0.2">
      <c r="B475" s="81"/>
      <c r="C475" s="81"/>
      <c r="D475" s="81"/>
      <c r="E475" s="81"/>
      <c r="F475" s="81"/>
      <c r="G475" s="81"/>
      <c r="H475" s="81"/>
      <c r="I475" s="81"/>
      <c r="N475" s="81"/>
      <c r="O475" s="81"/>
      <c r="P475" s="81"/>
      <c r="Q475" s="81"/>
      <c r="R475" s="81"/>
      <c r="S475" s="81"/>
      <c r="T475" s="81"/>
      <c r="U475" s="81"/>
    </row>
    <row r="476" spans="2:21" ht="12.75" customHeight="1" x14ac:dyDescent="0.2">
      <c r="B476" s="81"/>
      <c r="C476" s="81"/>
      <c r="D476" s="81"/>
      <c r="E476" s="81"/>
      <c r="F476" s="81"/>
      <c r="G476" s="81"/>
      <c r="H476" s="81"/>
      <c r="I476" s="81"/>
      <c r="N476" s="81"/>
      <c r="O476" s="81"/>
      <c r="P476" s="81"/>
      <c r="Q476" s="81"/>
      <c r="R476" s="81"/>
      <c r="S476" s="81"/>
      <c r="T476" s="81"/>
      <c r="U476" s="81"/>
    </row>
    <row r="477" spans="2:21" ht="12.75" customHeight="1" x14ac:dyDescent="0.2">
      <c r="B477" s="81"/>
      <c r="C477" s="81"/>
      <c r="D477" s="81"/>
      <c r="E477" s="81"/>
      <c r="F477" s="81"/>
      <c r="G477" s="81"/>
      <c r="H477" s="81"/>
      <c r="I477" s="81"/>
      <c r="N477" s="81"/>
      <c r="O477" s="81"/>
      <c r="P477" s="81"/>
      <c r="Q477" s="81"/>
      <c r="R477" s="81"/>
      <c r="S477" s="81"/>
      <c r="T477" s="81"/>
      <c r="U477" s="81"/>
    </row>
    <row r="478" spans="2:21" ht="12.75" customHeight="1" x14ac:dyDescent="0.2">
      <c r="B478" s="81"/>
      <c r="C478" s="81"/>
      <c r="D478" s="81"/>
      <c r="E478" s="81"/>
      <c r="F478" s="81"/>
      <c r="G478" s="81"/>
      <c r="H478" s="81"/>
      <c r="I478" s="81"/>
      <c r="N478" s="81"/>
      <c r="O478" s="81"/>
      <c r="P478" s="81"/>
      <c r="Q478" s="81"/>
      <c r="R478" s="81"/>
      <c r="S478" s="81"/>
      <c r="T478" s="81"/>
      <c r="U478" s="81"/>
    </row>
    <row r="479" spans="2:21" ht="12.75" customHeight="1" x14ac:dyDescent="0.2">
      <c r="B479" s="81"/>
      <c r="C479" s="81"/>
      <c r="D479" s="81"/>
      <c r="E479" s="81"/>
      <c r="F479" s="81"/>
      <c r="G479" s="81"/>
      <c r="H479" s="81"/>
      <c r="I479" s="81"/>
      <c r="N479" s="81"/>
      <c r="O479" s="81"/>
      <c r="P479" s="81"/>
      <c r="Q479" s="81"/>
      <c r="R479" s="81"/>
      <c r="S479" s="81"/>
      <c r="T479" s="81"/>
      <c r="U479" s="81"/>
    </row>
    <row r="480" spans="2:21" ht="12.75" customHeight="1" x14ac:dyDescent="0.2">
      <c r="B480" s="81"/>
      <c r="C480" s="81"/>
      <c r="D480" s="81"/>
      <c r="E480" s="81"/>
      <c r="F480" s="81"/>
      <c r="G480" s="81"/>
      <c r="H480" s="81"/>
      <c r="I480" s="81"/>
      <c r="N480" s="81"/>
      <c r="O480" s="81"/>
      <c r="P480" s="81"/>
      <c r="Q480" s="81"/>
      <c r="R480" s="81"/>
      <c r="S480" s="81"/>
      <c r="T480" s="81"/>
      <c r="U480" s="81"/>
    </row>
    <row r="481" spans="2:21" ht="12.75" customHeight="1" x14ac:dyDescent="0.2">
      <c r="B481" s="81"/>
      <c r="C481" s="81"/>
      <c r="D481" s="81"/>
      <c r="E481" s="81"/>
      <c r="F481" s="81"/>
      <c r="G481" s="81"/>
      <c r="H481" s="81"/>
      <c r="I481" s="81"/>
      <c r="N481" s="81"/>
      <c r="O481" s="81"/>
      <c r="P481" s="81"/>
      <c r="Q481" s="81"/>
      <c r="R481" s="81"/>
      <c r="S481" s="81"/>
      <c r="T481" s="81"/>
      <c r="U481" s="81"/>
    </row>
    <row r="482" spans="2:21" ht="12.75" customHeight="1" x14ac:dyDescent="0.2">
      <c r="B482" s="81"/>
      <c r="C482" s="81"/>
      <c r="D482" s="81"/>
      <c r="E482" s="81"/>
      <c r="F482" s="81"/>
      <c r="G482" s="81"/>
      <c r="H482" s="81"/>
      <c r="I482" s="81"/>
      <c r="N482" s="81"/>
      <c r="O482" s="81"/>
      <c r="P482" s="81"/>
      <c r="Q482" s="81"/>
      <c r="R482" s="81"/>
      <c r="S482" s="81"/>
      <c r="T482" s="81"/>
      <c r="U482" s="81"/>
    </row>
    <row r="483" spans="2:21" ht="12.75" customHeight="1" x14ac:dyDescent="0.2">
      <c r="B483" s="81"/>
      <c r="C483" s="81"/>
      <c r="D483" s="81"/>
      <c r="E483" s="81"/>
      <c r="F483" s="81"/>
      <c r="G483" s="81"/>
      <c r="H483" s="81"/>
      <c r="I483" s="81"/>
      <c r="N483" s="81"/>
      <c r="O483" s="81"/>
      <c r="P483" s="81"/>
      <c r="Q483" s="81"/>
      <c r="R483" s="81"/>
      <c r="S483" s="81"/>
      <c r="T483" s="81"/>
      <c r="U483" s="81"/>
    </row>
    <row r="484" spans="2:21" ht="12.75" customHeight="1" x14ac:dyDescent="0.2">
      <c r="B484" s="81"/>
      <c r="C484" s="81"/>
      <c r="D484" s="81"/>
      <c r="E484" s="81"/>
      <c r="F484" s="81"/>
      <c r="G484" s="81"/>
      <c r="H484" s="81"/>
      <c r="I484" s="81"/>
      <c r="N484" s="81"/>
      <c r="O484" s="81"/>
      <c r="P484" s="81"/>
      <c r="Q484" s="81"/>
      <c r="R484" s="81"/>
      <c r="S484" s="81"/>
      <c r="T484" s="81"/>
      <c r="U484" s="81"/>
    </row>
    <row r="485" spans="2:21" ht="12.75" customHeight="1" x14ac:dyDescent="0.2">
      <c r="B485" s="81"/>
      <c r="C485" s="81"/>
      <c r="D485" s="81"/>
      <c r="E485" s="81"/>
      <c r="F485" s="81"/>
      <c r="G485" s="81"/>
      <c r="H485" s="81"/>
      <c r="I485" s="81"/>
      <c r="N485" s="81"/>
      <c r="O485" s="81"/>
      <c r="P485" s="81"/>
      <c r="Q485" s="81"/>
      <c r="R485" s="81"/>
      <c r="S485" s="81"/>
      <c r="T485" s="81"/>
      <c r="U485" s="81"/>
    </row>
    <row r="486" spans="2:21" ht="12.75" customHeight="1" x14ac:dyDescent="0.2">
      <c r="B486" s="81"/>
      <c r="C486" s="81"/>
      <c r="D486" s="81"/>
      <c r="E486" s="81"/>
      <c r="F486" s="81"/>
      <c r="G486" s="81"/>
      <c r="H486" s="81"/>
      <c r="I486" s="81"/>
      <c r="N486" s="81"/>
      <c r="O486" s="81"/>
      <c r="P486" s="81"/>
      <c r="Q486" s="81"/>
      <c r="R486" s="81"/>
      <c r="S486" s="81"/>
      <c r="T486" s="81"/>
      <c r="U486" s="81"/>
    </row>
    <row r="487" spans="2:21" ht="12.75" customHeight="1" x14ac:dyDescent="0.2">
      <c r="B487" s="81"/>
      <c r="C487" s="81"/>
      <c r="D487" s="81"/>
      <c r="E487" s="81"/>
      <c r="F487" s="81"/>
      <c r="G487" s="81"/>
      <c r="H487" s="81"/>
      <c r="I487" s="81"/>
      <c r="N487" s="81"/>
      <c r="O487" s="81"/>
      <c r="P487" s="81"/>
      <c r="Q487" s="81"/>
      <c r="R487" s="81"/>
      <c r="S487" s="81"/>
      <c r="T487" s="81"/>
      <c r="U487" s="81"/>
    </row>
    <row r="488" spans="2:21" ht="12.75" customHeight="1" x14ac:dyDescent="0.2">
      <c r="B488" s="81"/>
      <c r="C488" s="81"/>
      <c r="D488" s="81"/>
      <c r="E488" s="81"/>
      <c r="F488" s="81"/>
      <c r="G488" s="81"/>
      <c r="H488" s="81"/>
      <c r="I488" s="81"/>
      <c r="N488" s="81"/>
      <c r="O488" s="81"/>
      <c r="P488" s="81"/>
      <c r="Q488" s="81"/>
      <c r="R488" s="81"/>
      <c r="S488" s="81"/>
      <c r="T488" s="81"/>
      <c r="U488" s="81"/>
    </row>
    <row r="489" spans="2:21" ht="12.75" customHeight="1" x14ac:dyDescent="0.2">
      <c r="B489" s="81"/>
      <c r="C489" s="81"/>
      <c r="D489" s="81"/>
      <c r="E489" s="81"/>
      <c r="F489" s="81"/>
      <c r="G489" s="81"/>
      <c r="H489" s="81"/>
      <c r="I489" s="81"/>
      <c r="N489" s="81"/>
      <c r="O489" s="81"/>
      <c r="P489" s="81"/>
      <c r="Q489" s="81"/>
      <c r="R489" s="81"/>
      <c r="S489" s="81"/>
      <c r="T489" s="81"/>
      <c r="U489" s="81"/>
    </row>
    <row r="490" spans="2:21" ht="12.75" customHeight="1" x14ac:dyDescent="0.2">
      <c r="B490" s="81"/>
      <c r="C490" s="81"/>
      <c r="D490" s="81"/>
      <c r="E490" s="81"/>
      <c r="F490" s="81"/>
      <c r="G490" s="81"/>
      <c r="H490" s="81"/>
      <c r="I490" s="81"/>
      <c r="N490" s="81"/>
      <c r="O490" s="81"/>
      <c r="P490" s="81"/>
      <c r="Q490" s="81"/>
      <c r="R490" s="81"/>
      <c r="S490" s="81"/>
      <c r="T490" s="81"/>
      <c r="U490" s="81"/>
    </row>
    <row r="491" spans="2:21" ht="12.75" customHeight="1" x14ac:dyDescent="0.2">
      <c r="B491" s="81"/>
      <c r="C491" s="81"/>
      <c r="D491" s="81"/>
      <c r="E491" s="81"/>
      <c r="F491" s="81"/>
      <c r="G491" s="81"/>
      <c r="H491" s="81"/>
      <c r="I491" s="81"/>
      <c r="N491" s="81"/>
      <c r="O491" s="81"/>
      <c r="P491" s="81"/>
      <c r="Q491" s="81"/>
      <c r="R491" s="81"/>
      <c r="S491" s="81"/>
      <c r="T491" s="81"/>
      <c r="U491" s="81"/>
    </row>
    <row r="492" spans="2:21" ht="12.75" customHeight="1" x14ac:dyDescent="0.2">
      <c r="B492" s="81"/>
      <c r="C492" s="81"/>
      <c r="D492" s="81"/>
      <c r="E492" s="81"/>
      <c r="F492" s="81"/>
      <c r="G492" s="81"/>
      <c r="H492" s="81"/>
      <c r="I492" s="81"/>
      <c r="N492" s="81"/>
      <c r="O492" s="81"/>
      <c r="P492" s="81"/>
      <c r="Q492" s="81"/>
      <c r="R492" s="81"/>
      <c r="S492" s="81"/>
      <c r="T492" s="81"/>
      <c r="U492" s="81"/>
    </row>
    <row r="493" spans="2:21" ht="12.75" customHeight="1" x14ac:dyDescent="0.2">
      <c r="B493" s="81"/>
      <c r="C493" s="81"/>
      <c r="D493" s="81"/>
      <c r="E493" s="81"/>
      <c r="F493" s="81"/>
      <c r="G493" s="81"/>
      <c r="H493" s="81"/>
      <c r="I493" s="81"/>
      <c r="N493" s="81"/>
      <c r="O493" s="81"/>
      <c r="P493" s="81"/>
      <c r="Q493" s="81"/>
      <c r="R493" s="81"/>
      <c r="S493" s="81"/>
      <c r="T493" s="81"/>
      <c r="U493" s="81"/>
    </row>
    <row r="494" spans="2:21" ht="12.75" customHeight="1" x14ac:dyDescent="0.2">
      <c r="B494" s="81"/>
      <c r="C494" s="81"/>
      <c r="D494" s="81"/>
      <c r="E494" s="81"/>
      <c r="F494" s="81"/>
      <c r="G494" s="81"/>
      <c r="H494" s="81"/>
      <c r="I494" s="81"/>
      <c r="N494" s="81"/>
      <c r="O494" s="81"/>
      <c r="P494" s="81"/>
      <c r="Q494" s="81"/>
      <c r="R494" s="81"/>
      <c r="S494" s="81"/>
      <c r="T494" s="81"/>
      <c r="U494" s="81"/>
    </row>
    <row r="495" spans="2:21" ht="12.75" customHeight="1" x14ac:dyDescent="0.2">
      <c r="B495" s="81"/>
      <c r="C495" s="81"/>
      <c r="D495" s="81"/>
      <c r="E495" s="81"/>
      <c r="F495" s="81"/>
      <c r="G495" s="81"/>
      <c r="H495" s="81"/>
      <c r="I495" s="81"/>
      <c r="N495" s="81"/>
      <c r="O495" s="81"/>
      <c r="P495" s="81"/>
      <c r="Q495" s="81"/>
      <c r="R495" s="81"/>
      <c r="S495" s="81"/>
      <c r="T495" s="81"/>
      <c r="U495" s="81"/>
    </row>
    <row r="496" spans="2:21" ht="12.75" customHeight="1" x14ac:dyDescent="0.2">
      <c r="B496" s="81"/>
      <c r="C496" s="81"/>
      <c r="D496" s="81"/>
      <c r="E496" s="81"/>
      <c r="F496" s="81"/>
      <c r="G496" s="81"/>
      <c r="H496" s="81"/>
      <c r="I496" s="81"/>
      <c r="N496" s="81"/>
      <c r="O496" s="81"/>
      <c r="P496" s="81"/>
      <c r="Q496" s="81"/>
      <c r="R496" s="81"/>
      <c r="S496" s="81"/>
      <c r="T496" s="81"/>
      <c r="U496" s="81"/>
    </row>
    <row r="497" spans="2:21" ht="12.75" customHeight="1" x14ac:dyDescent="0.2">
      <c r="B497" s="81"/>
      <c r="C497" s="81"/>
      <c r="D497" s="81"/>
      <c r="E497" s="81"/>
      <c r="F497" s="81"/>
      <c r="G497" s="81"/>
      <c r="H497" s="81"/>
      <c r="I497" s="81"/>
      <c r="N497" s="81"/>
      <c r="O497" s="81"/>
      <c r="P497" s="81"/>
      <c r="Q497" s="81"/>
      <c r="R497" s="81"/>
      <c r="S497" s="81"/>
      <c r="T497" s="81"/>
      <c r="U497" s="81"/>
    </row>
    <row r="498" spans="2:21" ht="12.75" customHeight="1" x14ac:dyDescent="0.2">
      <c r="B498" s="81"/>
      <c r="C498" s="81"/>
      <c r="D498" s="81"/>
      <c r="E498" s="81"/>
      <c r="F498" s="81"/>
      <c r="G498" s="81"/>
      <c r="H498" s="81"/>
      <c r="I498" s="81"/>
      <c r="N498" s="81"/>
      <c r="O498" s="81"/>
      <c r="P498" s="81"/>
      <c r="Q498" s="81"/>
      <c r="R498" s="81"/>
      <c r="S498" s="81"/>
      <c r="T498" s="81"/>
      <c r="U498" s="81"/>
    </row>
    <row r="499" spans="2:21" ht="12.75" customHeight="1" x14ac:dyDescent="0.2">
      <c r="B499" s="81"/>
      <c r="C499" s="81"/>
      <c r="D499" s="81"/>
      <c r="E499" s="81"/>
      <c r="F499" s="81"/>
      <c r="G499" s="81"/>
      <c r="H499" s="81"/>
      <c r="I499" s="81"/>
      <c r="N499" s="81"/>
      <c r="O499" s="81"/>
      <c r="P499" s="81"/>
      <c r="Q499" s="81"/>
      <c r="R499" s="81"/>
      <c r="S499" s="81"/>
      <c r="T499" s="81"/>
      <c r="U499" s="81"/>
    </row>
    <row r="500" spans="2:21" ht="12.75" customHeight="1" x14ac:dyDescent="0.2">
      <c r="B500" s="81"/>
      <c r="C500" s="81"/>
      <c r="D500" s="81"/>
      <c r="E500" s="81"/>
      <c r="F500" s="81"/>
      <c r="G500" s="81"/>
      <c r="H500" s="81"/>
      <c r="I500" s="81"/>
      <c r="N500" s="81"/>
      <c r="O500" s="81"/>
      <c r="P500" s="81"/>
      <c r="Q500" s="81"/>
      <c r="R500" s="81"/>
      <c r="S500" s="81"/>
      <c r="T500" s="81"/>
      <c r="U500" s="81"/>
    </row>
    <row r="501" spans="2:21" ht="12.75" customHeight="1" x14ac:dyDescent="0.2">
      <c r="B501" s="81"/>
      <c r="C501" s="81"/>
      <c r="D501" s="81"/>
      <c r="E501" s="81"/>
      <c r="F501" s="81"/>
      <c r="G501" s="81"/>
      <c r="H501" s="81"/>
      <c r="I501" s="81"/>
      <c r="N501" s="81"/>
      <c r="O501" s="81"/>
      <c r="P501" s="81"/>
      <c r="Q501" s="81"/>
      <c r="R501" s="81"/>
      <c r="S501" s="81"/>
      <c r="T501" s="81"/>
      <c r="U501" s="81"/>
    </row>
    <row r="502" spans="2:21" ht="12.75" customHeight="1" x14ac:dyDescent="0.2">
      <c r="B502" s="81"/>
      <c r="C502" s="81"/>
      <c r="D502" s="81"/>
      <c r="E502" s="81"/>
      <c r="F502" s="81"/>
      <c r="G502" s="81"/>
      <c r="H502" s="81"/>
      <c r="I502" s="81"/>
      <c r="N502" s="81"/>
      <c r="O502" s="81"/>
      <c r="P502" s="81"/>
      <c r="Q502" s="81"/>
      <c r="R502" s="81"/>
      <c r="S502" s="81"/>
      <c r="T502" s="81"/>
      <c r="U502" s="81"/>
    </row>
    <row r="503" spans="2:21" ht="12.75" customHeight="1" x14ac:dyDescent="0.2">
      <c r="B503" s="81"/>
      <c r="C503" s="81"/>
      <c r="D503" s="81"/>
      <c r="E503" s="81"/>
      <c r="F503" s="81"/>
      <c r="G503" s="81"/>
      <c r="H503" s="81"/>
      <c r="I503" s="81"/>
      <c r="N503" s="81"/>
      <c r="O503" s="81"/>
      <c r="P503" s="81"/>
      <c r="Q503" s="81"/>
      <c r="R503" s="81"/>
      <c r="S503" s="81"/>
      <c r="T503" s="81"/>
      <c r="U503" s="81"/>
    </row>
    <row r="504" spans="2:21" ht="12.75" customHeight="1" x14ac:dyDescent="0.2">
      <c r="B504" s="81"/>
      <c r="C504" s="81"/>
      <c r="D504" s="81"/>
      <c r="E504" s="81"/>
      <c r="F504" s="81"/>
      <c r="G504" s="81"/>
      <c r="H504" s="81"/>
      <c r="I504" s="81"/>
      <c r="N504" s="81"/>
      <c r="O504" s="81"/>
      <c r="P504" s="81"/>
      <c r="Q504" s="81"/>
      <c r="R504" s="81"/>
      <c r="S504" s="81"/>
      <c r="T504" s="81"/>
      <c r="U504" s="81"/>
    </row>
    <row r="505" spans="2:21" ht="12.75" customHeight="1" x14ac:dyDescent="0.2">
      <c r="B505" s="81"/>
      <c r="C505" s="81"/>
      <c r="D505" s="81"/>
      <c r="E505" s="81"/>
      <c r="F505" s="81"/>
      <c r="G505" s="81"/>
      <c r="H505" s="81"/>
      <c r="I505" s="81"/>
      <c r="N505" s="81"/>
      <c r="O505" s="81"/>
      <c r="P505" s="81"/>
      <c r="Q505" s="81"/>
      <c r="R505" s="81"/>
      <c r="S505" s="81"/>
      <c r="T505" s="81"/>
      <c r="U505" s="81"/>
    </row>
    <row r="506" spans="2:21" ht="12.75" customHeight="1" x14ac:dyDescent="0.2">
      <c r="B506" s="81"/>
      <c r="C506" s="81"/>
      <c r="D506" s="81"/>
      <c r="E506" s="81"/>
      <c r="F506" s="81"/>
      <c r="G506" s="81"/>
      <c r="H506" s="81"/>
      <c r="I506" s="81"/>
      <c r="N506" s="81"/>
      <c r="O506" s="81"/>
      <c r="P506" s="81"/>
      <c r="Q506" s="81"/>
      <c r="R506" s="81"/>
      <c r="S506" s="81"/>
      <c r="T506" s="81"/>
      <c r="U506" s="81"/>
    </row>
    <row r="507" spans="2:21" ht="12.75" customHeight="1" x14ac:dyDescent="0.2">
      <c r="B507" s="81"/>
      <c r="C507" s="81"/>
      <c r="D507" s="81"/>
      <c r="E507" s="81"/>
      <c r="F507" s="81"/>
      <c r="G507" s="81"/>
      <c r="H507" s="81"/>
      <c r="I507" s="81"/>
      <c r="N507" s="81"/>
      <c r="O507" s="81"/>
      <c r="P507" s="81"/>
      <c r="Q507" s="81"/>
      <c r="R507" s="81"/>
      <c r="S507" s="81"/>
      <c r="T507" s="81"/>
      <c r="U507" s="81"/>
    </row>
    <row r="508" spans="2:21" ht="12.75" customHeight="1" x14ac:dyDescent="0.2">
      <c r="B508" s="81"/>
      <c r="C508" s="81"/>
      <c r="D508" s="81"/>
      <c r="E508" s="81"/>
      <c r="F508" s="81"/>
      <c r="G508" s="81"/>
      <c r="H508" s="81"/>
      <c r="I508" s="81"/>
      <c r="N508" s="81"/>
      <c r="O508" s="81"/>
      <c r="P508" s="81"/>
      <c r="Q508" s="81"/>
      <c r="R508" s="81"/>
      <c r="S508" s="81"/>
      <c r="T508" s="81"/>
      <c r="U508" s="81"/>
    </row>
    <row r="509" spans="2:21" ht="12.75" customHeight="1" x14ac:dyDescent="0.2">
      <c r="B509" s="81"/>
      <c r="C509" s="81"/>
      <c r="D509" s="81"/>
      <c r="E509" s="81"/>
      <c r="F509" s="81"/>
      <c r="G509" s="81"/>
      <c r="H509" s="81"/>
      <c r="I509" s="81"/>
      <c r="N509" s="81"/>
      <c r="O509" s="81"/>
      <c r="P509" s="81"/>
      <c r="Q509" s="81"/>
      <c r="R509" s="81"/>
      <c r="S509" s="81"/>
      <c r="T509" s="81"/>
      <c r="U509" s="81"/>
    </row>
    <row r="510" spans="2:21" ht="12.75" customHeight="1" x14ac:dyDescent="0.2">
      <c r="B510" s="81"/>
      <c r="C510" s="81"/>
      <c r="D510" s="81"/>
      <c r="E510" s="81"/>
      <c r="F510" s="81"/>
      <c r="G510" s="81"/>
      <c r="H510" s="81"/>
      <c r="I510" s="81"/>
      <c r="N510" s="81"/>
      <c r="O510" s="81"/>
      <c r="P510" s="81"/>
      <c r="Q510" s="81"/>
      <c r="R510" s="81"/>
      <c r="S510" s="81"/>
      <c r="T510" s="81"/>
      <c r="U510" s="81"/>
    </row>
    <row r="511" spans="2:21" ht="12.75" customHeight="1" x14ac:dyDescent="0.2">
      <c r="B511" s="81"/>
      <c r="C511" s="81"/>
      <c r="D511" s="81"/>
      <c r="E511" s="81"/>
      <c r="F511" s="81"/>
      <c r="G511" s="81"/>
      <c r="H511" s="81"/>
      <c r="I511" s="81"/>
      <c r="N511" s="81"/>
      <c r="O511" s="81"/>
      <c r="P511" s="81"/>
      <c r="Q511" s="81"/>
      <c r="R511" s="81"/>
      <c r="S511" s="81"/>
      <c r="T511" s="81"/>
      <c r="U511" s="81"/>
    </row>
    <row r="512" spans="2:21" ht="12.75" customHeight="1" x14ac:dyDescent="0.2">
      <c r="B512" s="81"/>
      <c r="C512" s="81"/>
      <c r="D512" s="81"/>
      <c r="E512" s="81"/>
      <c r="F512" s="81"/>
      <c r="G512" s="81"/>
      <c r="H512" s="81"/>
      <c r="I512" s="81"/>
      <c r="N512" s="81"/>
      <c r="O512" s="81"/>
      <c r="P512" s="81"/>
      <c r="Q512" s="81"/>
      <c r="R512" s="81"/>
      <c r="S512" s="81"/>
      <c r="T512" s="81"/>
      <c r="U512" s="81"/>
    </row>
    <row r="513" spans="2:21" ht="12.75" customHeight="1" x14ac:dyDescent="0.2">
      <c r="B513" s="81"/>
      <c r="C513" s="81"/>
      <c r="D513" s="81"/>
      <c r="E513" s="81"/>
      <c r="F513" s="81"/>
      <c r="G513" s="81"/>
      <c r="H513" s="81"/>
      <c r="I513" s="81"/>
      <c r="N513" s="81"/>
      <c r="O513" s="81"/>
      <c r="P513" s="81"/>
      <c r="Q513" s="81"/>
      <c r="R513" s="81"/>
      <c r="S513" s="81"/>
      <c r="T513" s="81"/>
      <c r="U513" s="81"/>
    </row>
    <row r="514" spans="2:21" ht="12.75" customHeight="1" x14ac:dyDescent="0.2">
      <c r="B514" s="81"/>
      <c r="C514" s="81"/>
      <c r="D514" s="81"/>
      <c r="E514" s="81"/>
      <c r="F514" s="81"/>
      <c r="G514" s="81"/>
      <c r="H514" s="81"/>
      <c r="I514" s="81"/>
      <c r="N514" s="81"/>
      <c r="O514" s="81"/>
      <c r="P514" s="81"/>
      <c r="Q514" s="81"/>
      <c r="R514" s="81"/>
      <c r="S514" s="81"/>
      <c r="T514" s="81"/>
      <c r="U514" s="81"/>
    </row>
    <row r="515" spans="2:21" ht="12.75" customHeight="1" x14ac:dyDescent="0.2">
      <c r="B515" s="81"/>
      <c r="C515" s="81"/>
      <c r="D515" s="81"/>
      <c r="E515" s="81"/>
      <c r="F515" s="81"/>
      <c r="G515" s="81"/>
      <c r="H515" s="81"/>
      <c r="I515" s="81"/>
      <c r="N515" s="81"/>
      <c r="O515" s="81"/>
      <c r="P515" s="81"/>
      <c r="Q515" s="81"/>
      <c r="R515" s="81"/>
      <c r="S515" s="81"/>
      <c r="T515" s="81"/>
      <c r="U515" s="81"/>
    </row>
    <row r="516" spans="2:21" ht="12.75" customHeight="1" x14ac:dyDescent="0.2">
      <c r="B516" s="81"/>
      <c r="C516" s="81"/>
      <c r="D516" s="81"/>
      <c r="E516" s="81"/>
      <c r="F516" s="81"/>
      <c r="G516" s="81"/>
      <c r="H516" s="81"/>
      <c r="I516" s="81"/>
      <c r="N516" s="81"/>
      <c r="O516" s="81"/>
      <c r="P516" s="81"/>
      <c r="Q516" s="81"/>
      <c r="R516" s="81"/>
      <c r="S516" s="81"/>
      <c r="T516" s="81"/>
      <c r="U516" s="81"/>
    </row>
    <row r="517" spans="2:21" ht="12.75" customHeight="1" x14ac:dyDescent="0.2">
      <c r="B517" s="81"/>
      <c r="C517" s="81"/>
      <c r="D517" s="81"/>
      <c r="E517" s="81"/>
      <c r="F517" s="81"/>
      <c r="G517" s="81"/>
      <c r="H517" s="81"/>
      <c r="I517" s="81"/>
      <c r="N517" s="81"/>
      <c r="O517" s="81"/>
      <c r="P517" s="81"/>
      <c r="Q517" s="81"/>
      <c r="R517" s="81"/>
      <c r="S517" s="81"/>
      <c r="T517" s="81"/>
      <c r="U517" s="81"/>
    </row>
    <row r="518" spans="2:21" ht="12.75" customHeight="1" x14ac:dyDescent="0.2">
      <c r="B518" s="81"/>
      <c r="C518" s="81"/>
      <c r="D518" s="81"/>
      <c r="E518" s="81"/>
      <c r="F518" s="81"/>
      <c r="G518" s="81"/>
      <c r="H518" s="81"/>
      <c r="I518" s="81"/>
      <c r="N518" s="81"/>
      <c r="O518" s="81"/>
      <c r="P518" s="81"/>
      <c r="Q518" s="81"/>
      <c r="R518" s="81"/>
      <c r="S518" s="81"/>
      <c r="T518" s="81"/>
      <c r="U518" s="81"/>
    </row>
    <row r="519" spans="2:21" ht="12.75" customHeight="1" x14ac:dyDescent="0.2">
      <c r="B519" s="81"/>
      <c r="C519" s="81"/>
      <c r="D519" s="81"/>
      <c r="E519" s="81"/>
      <c r="F519" s="81"/>
      <c r="G519" s="81"/>
      <c r="H519" s="81"/>
      <c r="I519" s="81"/>
      <c r="N519" s="81"/>
      <c r="O519" s="81"/>
      <c r="P519" s="81"/>
      <c r="Q519" s="81"/>
      <c r="R519" s="81"/>
      <c r="S519" s="81"/>
      <c r="T519" s="81"/>
      <c r="U519" s="81"/>
    </row>
    <row r="520" spans="2:21" ht="12.75" customHeight="1" x14ac:dyDescent="0.2">
      <c r="B520" s="81"/>
      <c r="C520" s="81"/>
      <c r="D520" s="81"/>
      <c r="E520" s="81"/>
      <c r="F520" s="81"/>
      <c r="G520" s="81"/>
      <c r="H520" s="81"/>
      <c r="I520" s="81"/>
      <c r="N520" s="81"/>
      <c r="O520" s="81"/>
      <c r="P520" s="81"/>
      <c r="Q520" s="81"/>
      <c r="R520" s="81"/>
      <c r="S520" s="81"/>
      <c r="T520" s="81"/>
      <c r="U520" s="81"/>
    </row>
    <row r="521" spans="2:21" ht="12.75" customHeight="1" x14ac:dyDescent="0.2">
      <c r="B521" s="81"/>
      <c r="C521" s="81"/>
      <c r="D521" s="81"/>
      <c r="E521" s="81"/>
      <c r="F521" s="81"/>
      <c r="G521" s="81"/>
      <c r="H521" s="81"/>
      <c r="I521" s="81"/>
      <c r="N521" s="81"/>
      <c r="O521" s="81"/>
      <c r="P521" s="81"/>
      <c r="Q521" s="81"/>
      <c r="R521" s="81"/>
      <c r="S521" s="81"/>
      <c r="T521" s="81"/>
      <c r="U521" s="81"/>
    </row>
    <row r="522" spans="2:21" ht="12.75" customHeight="1" x14ac:dyDescent="0.2">
      <c r="B522" s="81"/>
      <c r="C522" s="81"/>
      <c r="D522" s="81"/>
      <c r="E522" s="81"/>
      <c r="F522" s="81"/>
      <c r="G522" s="81"/>
      <c r="H522" s="81"/>
      <c r="I522" s="81"/>
      <c r="N522" s="81"/>
      <c r="O522" s="81"/>
      <c r="P522" s="81"/>
      <c r="Q522" s="81"/>
      <c r="R522" s="81"/>
      <c r="S522" s="81"/>
      <c r="T522" s="81"/>
      <c r="U522" s="81"/>
    </row>
    <row r="523" spans="2:21" ht="12.75" customHeight="1" x14ac:dyDescent="0.2">
      <c r="B523" s="81"/>
      <c r="C523" s="81"/>
      <c r="D523" s="81"/>
      <c r="E523" s="81"/>
      <c r="F523" s="81"/>
      <c r="G523" s="81"/>
      <c r="H523" s="81"/>
      <c r="I523" s="81"/>
      <c r="N523" s="81"/>
      <c r="O523" s="81"/>
      <c r="P523" s="81"/>
      <c r="Q523" s="81"/>
      <c r="R523" s="81"/>
      <c r="S523" s="81"/>
      <c r="T523" s="81"/>
      <c r="U523" s="81"/>
    </row>
    <row r="524" spans="2:21" ht="12.75" customHeight="1" x14ac:dyDescent="0.2">
      <c r="B524" s="81"/>
      <c r="C524" s="81"/>
      <c r="D524" s="81"/>
      <c r="E524" s="81"/>
      <c r="F524" s="81"/>
      <c r="G524" s="81"/>
      <c r="H524" s="81"/>
      <c r="I524" s="81"/>
      <c r="N524" s="81"/>
      <c r="O524" s="81"/>
      <c r="P524" s="81"/>
      <c r="Q524" s="81"/>
      <c r="R524" s="81"/>
      <c r="S524" s="81"/>
      <c r="T524" s="81"/>
      <c r="U524" s="81"/>
    </row>
    <row r="525" spans="2:21" ht="12.75" customHeight="1" x14ac:dyDescent="0.2">
      <c r="B525" s="81"/>
      <c r="C525" s="81"/>
      <c r="D525" s="81"/>
      <c r="E525" s="81"/>
      <c r="F525" s="81"/>
      <c r="G525" s="81"/>
      <c r="H525" s="81"/>
      <c r="I525" s="81"/>
      <c r="N525" s="81"/>
      <c r="O525" s="81"/>
      <c r="P525" s="81"/>
      <c r="Q525" s="81"/>
      <c r="R525" s="81"/>
      <c r="S525" s="81"/>
      <c r="T525" s="81"/>
      <c r="U525" s="81"/>
    </row>
    <row r="526" spans="2:21" ht="12.75" customHeight="1" x14ac:dyDescent="0.2">
      <c r="B526" s="81"/>
      <c r="C526" s="81"/>
      <c r="D526" s="81"/>
      <c r="E526" s="81"/>
      <c r="F526" s="81"/>
      <c r="G526" s="81"/>
      <c r="H526" s="81"/>
      <c r="I526" s="81"/>
      <c r="N526" s="81"/>
      <c r="O526" s="81"/>
      <c r="P526" s="81"/>
      <c r="Q526" s="81"/>
      <c r="R526" s="81"/>
      <c r="S526" s="81"/>
      <c r="T526" s="81"/>
      <c r="U526" s="81"/>
    </row>
    <row r="527" spans="2:21" ht="12.75" customHeight="1" x14ac:dyDescent="0.2">
      <c r="B527" s="81"/>
      <c r="C527" s="81"/>
      <c r="D527" s="81"/>
      <c r="E527" s="81"/>
      <c r="F527" s="81"/>
      <c r="G527" s="81"/>
      <c r="H527" s="81"/>
      <c r="I527" s="81"/>
      <c r="N527" s="81"/>
      <c r="O527" s="81"/>
      <c r="P527" s="81"/>
      <c r="Q527" s="81"/>
      <c r="R527" s="81"/>
      <c r="S527" s="81"/>
      <c r="T527" s="81"/>
      <c r="U527" s="81"/>
    </row>
    <row r="528" spans="2:21" ht="12.75" customHeight="1" x14ac:dyDescent="0.2">
      <c r="B528" s="81"/>
      <c r="C528" s="81"/>
      <c r="D528" s="81"/>
      <c r="E528" s="81"/>
      <c r="F528" s="81"/>
      <c r="G528" s="81"/>
      <c r="H528" s="81"/>
      <c r="I528" s="81"/>
      <c r="N528" s="81"/>
      <c r="O528" s="81"/>
      <c r="P528" s="81"/>
      <c r="Q528" s="81"/>
      <c r="R528" s="81"/>
      <c r="S528" s="81"/>
      <c r="T528" s="81"/>
      <c r="U528" s="81"/>
    </row>
    <row r="529" spans="2:21" ht="12.75" customHeight="1" x14ac:dyDescent="0.2">
      <c r="B529" s="81"/>
      <c r="C529" s="81"/>
      <c r="D529" s="81"/>
      <c r="E529" s="81"/>
      <c r="F529" s="81"/>
      <c r="G529" s="81"/>
      <c r="H529" s="81"/>
      <c r="I529" s="81"/>
      <c r="N529" s="81"/>
      <c r="O529" s="81"/>
      <c r="P529" s="81"/>
      <c r="Q529" s="81"/>
      <c r="R529" s="81"/>
      <c r="S529" s="81"/>
      <c r="T529" s="81"/>
      <c r="U529" s="81"/>
    </row>
    <row r="530" spans="2:21" ht="12.75" customHeight="1" x14ac:dyDescent="0.2">
      <c r="B530" s="81"/>
      <c r="C530" s="81"/>
      <c r="D530" s="81"/>
      <c r="E530" s="81"/>
      <c r="F530" s="81"/>
      <c r="G530" s="81"/>
      <c r="H530" s="81"/>
      <c r="I530" s="81"/>
      <c r="N530" s="81"/>
      <c r="O530" s="81"/>
      <c r="P530" s="81"/>
      <c r="Q530" s="81"/>
      <c r="R530" s="81"/>
      <c r="S530" s="81"/>
      <c r="T530" s="81"/>
      <c r="U530" s="81"/>
    </row>
    <row r="531" spans="2:21" ht="12.75" customHeight="1" x14ac:dyDescent="0.2">
      <c r="B531" s="81"/>
      <c r="C531" s="81"/>
      <c r="D531" s="81"/>
      <c r="E531" s="81"/>
      <c r="F531" s="81"/>
      <c r="G531" s="81"/>
      <c r="H531" s="81"/>
      <c r="I531" s="81"/>
      <c r="N531" s="81"/>
      <c r="O531" s="81"/>
      <c r="P531" s="81"/>
      <c r="Q531" s="81"/>
      <c r="R531" s="81"/>
      <c r="S531" s="81"/>
      <c r="T531" s="81"/>
      <c r="U531" s="81"/>
    </row>
    <row r="532" spans="2:21" ht="12.75" customHeight="1" x14ac:dyDescent="0.2">
      <c r="B532" s="81"/>
      <c r="C532" s="81"/>
      <c r="D532" s="81"/>
      <c r="E532" s="81"/>
      <c r="F532" s="81"/>
      <c r="G532" s="81"/>
      <c r="H532" s="81"/>
      <c r="I532" s="81"/>
      <c r="N532" s="81"/>
      <c r="O532" s="81"/>
      <c r="P532" s="81"/>
      <c r="Q532" s="81"/>
      <c r="R532" s="81"/>
      <c r="S532" s="81"/>
      <c r="T532" s="81"/>
      <c r="U532" s="81"/>
    </row>
    <row r="533" spans="2:21" ht="12.75" customHeight="1" x14ac:dyDescent="0.2">
      <c r="B533" s="81"/>
      <c r="C533" s="81"/>
      <c r="D533" s="81"/>
      <c r="E533" s="81"/>
      <c r="F533" s="81"/>
      <c r="G533" s="81"/>
      <c r="H533" s="81"/>
      <c r="I533" s="81"/>
      <c r="N533" s="81"/>
      <c r="O533" s="81"/>
      <c r="P533" s="81"/>
      <c r="Q533" s="81"/>
      <c r="R533" s="81"/>
      <c r="S533" s="81"/>
      <c r="T533" s="81"/>
      <c r="U533" s="81"/>
    </row>
    <row r="534" spans="2:21" ht="12.75" customHeight="1" x14ac:dyDescent="0.2">
      <c r="B534" s="81"/>
      <c r="C534" s="81"/>
      <c r="D534" s="81"/>
      <c r="E534" s="81"/>
      <c r="F534" s="81"/>
      <c r="G534" s="81"/>
      <c r="H534" s="81"/>
      <c r="I534" s="81"/>
      <c r="N534" s="81"/>
      <c r="O534" s="81"/>
      <c r="P534" s="81"/>
      <c r="Q534" s="81"/>
      <c r="R534" s="81"/>
      <c r="S534" s="81"/>
      <c r="T534" s="81"/>
      <c r="U534" s="81"/>
    </row>
    <row r="535" spans="2:21" ht="12.75" customHeight="1" x14ac:dyDescent="0.2">
      <c r="B535" s="81"/>
      <c r="C535" s="81"/>
      <c r="D535" s="81"/>
      <c r="E535" s="81"/>
      <c r="F535" s="81"/>
      <c r="G535" s="81"/>
      <c r="H535" s="81"/>
      <c r="I535" s="81"/>
      <c r="N535" s="81"/>
      <c r="O535" s="81"/>
      <c r="P535" s="81"/>
      <c r="Q535" s="81"/>
      <c r="R535" s="81"/>
      <c r="S535" s="81"/>
      <c r="T535" s="81"/>
      <c r="U535" s="81"/>
    </row>
    <row r="536" spans="2:21" ht="12.75" customHeight="1" x14ac:dyDescent="0.2">
      <c r="B536" s="81"/>
      <c r="C536" s="81"/>
      <c r="D536" s="81"/>
      <c r="E536" s="81"/>
      <c r="F536" s="81"/>
      <c r="G536" s="81"/>
      <c r="H536" s="81"/>
      <c r="I536" s="81"/>
      <c r="N536" s="81"/>
      <c r="O536" s="81"/>
      <c r="P536" s="81"/>
      <c r="Q536" s="81"/>
      <c r="R536" s="81"/>
      <c r="S536" s="81"/>
      <c r="T536" s="81"/>
      <c r="U536" s="81"/>
    </row>
    <row r="537" spans="2:21" ht="12.75" customHeight="1" x14ac:dyDescent="0.2">
      <c r="B537" s="81"/>
      <c r="C537" s="81"/>
      <c r="D537" s="81"/>
      <c r="E537" s="81"/>
      <c r="F537" s="81"/>
      <c r="G537" s="81"/>
      <c r="H537" s="81"/>
      <c r="I537" s="81"/>
      <c r="N537" s="81"/>
      <c r="O537" s="81"/>
      <c r="P537" s="81"/>
      <c r="Q537" s="81"/>
      <c r="R537" s="81"/>
      <c r="S537" s="81"/>
      <c r="T537" s="81"/>
      <c r="U537" s="81"/>
    </row>
    <row r="538" spans="2:21" ht="12.75" customHeight="1" x14ac:dyDescent="0.2">
      <c r="B538" s="81"/>
      <c r="C538" s="81"/>
      <c r="D538" s="81"/>
      <c r="E538" s="81"/>
      <c r="F538" s="81"/>
      <c r="G538" s="81"/>
      <c r="H538" s="81"/>
      <c r="I538" s="81"/>
      <c r="N538" s="81"/>
      <c r="O538" s="81"/>
      <c r="P538" s="81"/>
      <c r="Q538" s="81"/>
      <c r="R538" s="81"/>
      <c r="S538" s="81"/>
      <c r="T538" s="81"/>
      <c r="U538" s="81"/>
    </row>
    <row r="539" spans="2:21" ht="12.75" customHeight="1" x14ac:dyDescent="0.2">
      <c r="B539" s="81"/>
      <c r="C539" s="81"/>
      <c r="D539" s="81"/>
      <c r="E539" s="81"/>
      <c r="F539" s="81"/>
      <c r="G539" s="81"/>
      <c r="H539" s="81"/>
      <c r="I539" s="81"/>
      <c r="N539" s="81"/>
      <c r="O539" s="81"/>
      <c r="P539" s="81"/>
      <c r="Q539" s="81"/>
      <c r="R539" s="81"/>
      <c r="S539" s="81"/>
      <c r="T539" s="81"/>
      <c r="U539" s="81"/>
    </row>
    <row r="540" spans="2:21" ht="12.75" customHeight="1" x14ac:dyDescent="0.2">
      <c r="B540" s="81"/>
      <c r="C540" s="81"/>
      <c r="D540" s="81"/>
      <c r="E540" s="81"/>
      <c r="F540" s="81"/>
      <c r="G540" s="81"/>
      <c r="H540" s="81"/>
      <c r="I540" s="81"/>
      <c r="N540" s="81"/>
      <c r="O540" s="81"/>
      <c r="P540" s="81"/>
      <c r="Q540" s="81"/>
      <c r="R540" s="81"/>
      <c r="S540" s="81"/>
      <c r="T540" s="81"/>
      <c r="U540" s="81"/>
    </row>
    <row r="541" spans="2:21" ht="12.75" customHeight="1" x14ac:dyDescent="0.2">
      <c r="B541" s="81"/>
      <c r="C541" s="81"/>
      <c r="D541" s="81"/>
      <c r="E541" s="81"/>
      <c r="F541" s="81"/>
      <c r="G541" s="81"/>
      <c r="H541" s="81"/>
      <c r="I541" s="81"/>
      <c r="N541" s="81"/>
      <c r="O541" s="81"/>
      <c r="P541" s="81"/>
      <c r="Q541" s="81"/>
      <c r="R541" s="81"/>
      <c r="S541" s="81"/>
      <c r="T541" s="81"/>
      <c r="U541" s="81"/>
    </row>
    <row r="542" spans="2:21" ht="12.75" customHeight="1" x14ac:dyDescent="0.2">
      <c r="B542" s="81"/>
      <c r="C542" s="81"/>
      <c r="D542" s="81"/>
      <c r="E542" s="81"/>
      <c r="F542" s="81"/>
      <c r="G542" s="81"/>
      <c r="H542" s="81"/>
      <c r="I542" s="81"/>
      <c r="N542" s="81"/>
      <c r="O542" s="81"/>
      <c r="P542" s="81"/>
      <c r="Q542" s="81"/>
      <c r="R542" s="81"/>
      <c r="S542" s="81"/>
      <c r="T542" s="81"/>
      <c r="U542" s="81"/>
    </row>
    <row r="543" spans="2:21" ht="12.75" customHeight="1" x14ac:dyDescent="0.2">
      <c r="B543" s="81"/>
      <c r="C543" s="81"/>
      <c r="D543" s="81"/>
      <c r="E543" s="81"/>
      <c r="F543" s="81"/>
      <c r="G543" s="81"/>
      <c r="H543" s="81"/>
      <c r="I543" s="81"/>
      <c r="N543" s="81"/>
      <c r="O543" s="81"/>
      <c r="P543" s="81"/>
      <c r="Q543" s="81"/>
      <c r="R543" s="81"/>
      <c r="S543" s="81"/>
      <c r="T543" s="81"/>
      <c r="U543" s="81"/>
    </row>
    <row r="544" spans="2:21" ht="12.75" customHeight="1" x14ac:dyDescent="0.2">
      <c r="B544" s="81"/>
      <c r="C544" s="81"/>
      <c r="D544" s="81"/>
      <c r="E544" s="81"/>
      <c r="F544" s="81"/>
      <c r="G544" s="81"/>
      <c r="H544" s="81"/>
      <c r="I544" s="81"/>
      <c r="N544" s="81"/>
      <c r="O544" s="81"/>
      <c r="P544" s="81"/>
      <c r="Q544" s="81"/>
      <c r="R544" s="81"/>
      <c r="S544" s="81"/>
      <c r="T544" s="81"/>
      <c r="U544" s="81"/>
    </row>
    <row r="545" spans="2:21" ht="12.75" customHeight="1" x14ac:dyDescent="0.2">
      <c r="B545" s="81"/>
      <c r="C545" s="81"/>
      <c r="D545" s="81"/>
      <c r="E545" s="81"/>
      <c r="F545" s="81"/>
      <c r="G545" s="81"/>
      <c r="H545" s="81"/>
      <c r="I545" s="81"/>
      <c r="N545" s="81"/>
      <c r="O545" s="81"/>
      <c r="P545" s="81"/>
      <c r="Q545" s="81"/>
      <c r="R545" s="81"/>
      <c r="S545" s="81"/>
      <c r="T545" s="81"/>
      <c r="U545" s="81"/>
    </row>
    <row r="546" spans="2:21" ht="12.75" customHeight="1" x14ac:dyDescent="0.2">
      <c r="B546" s="81"/>
      <c r="C546" s="81"/>
      <c r="D546" s="81"/>
      <c r="E546" s="81"/>
      <c r="F546" s="81"/>
      <c r="G546" s="81"/>
      <c r="H546" s="81"/>
      <c r="I546" s="81"/>
      <c r="N546" s="81"/>
      <c r="O546" s="81"/>
      <c r="P546" s="81"/>
      <c r="Q546" s="81"/>
      <c r="R546" s="81"/>
      <c r="S546" s="81"/>
      <c r="T546" s="81"/>
      <c r="U546" s="81"/>
    </row>
    <row r="547" spans="2:21" ht="12.75" customHeight="1" x14ac:dyDescent="0.2">
      <c r="B547" s="81"/>
      <c r="C547" s="81"/>
      <c r="D547" s="81"/>
      <c r="E547" s="81"/>
      <c r="F547" s="81"/>
      <c r="G547" s="81"/>
      <c r="H547" s="81"/>
      <c r="I547" s="81"/>
      <c r="N547" s="81"/>
      <c r="O547" s="81"/>
      <c r="P547" s="81"/>
      <c r="Q547" s="81"/>
      <c r="R547" s="81"/>
      <c r="S547" s="81"/>
      <c r="T547" s="81"/>
      <c r="U547" s="81"/>
    </row>
    <row r="548" spans="2:21" ht="12.75" customHeight="1" x14ac:dyDescent="0.2">
      <c r="B548" s="81"/>
      <c r="C548" s="81"/>
      <c r="D548" s="81"/>
      <c r="E548" s="81"/>
      <c r="F548" s="81"/>
      <c r="G548" s="81"/>
      <c r="H548" s="81"/>
      <c r="I548" s="81"/>
      <c r="N548" s="81"/>
      <c r="O548" s="81"/>
      <c r="P548" s="81"/>
      <c r="Q548" s="81"/>
      <c r="R548" s="81"/>
      <c r="S548" s="81"/>
      <c r="T548" s="81"/>
      <c r="U548" s="81"/>
    </row>
    <row r="549" spans="2:21" ht="12.75" customHeight="1" x14ac:dyDescent="0.2">
      <c r="B549" s="81"/>
      <c r="C549" s="81"/>
      <c r="D549" s="81"/>
      <c r="E549" s="81"/>
      <c r="F549" s="81"/>
      <c r="G549" s="81"/>
      <c r="H549" s="81"/>
      <c r="I549" s="81"/>
      <c r="N549" s="81"/>
      <c r="O549" s="81"/>
      <c r="P549" s="81"/>
      <c r="Q549" s="81"/>
      <c r="R549" s="81"/>
      <c r="S549" s="81"/>
      <c r="T549" s="81"/>
      <c r="U549" s="81"/>
    </row>
    <row r="550" spans="2:21" ht="12.75" customHeight="1" x14ac:dyDescent="0.2">
      <c r="B550" s="81"/>
      <c r="C550" s="81"/>
      <c r="D550" s="81"/>
      <c r="E550" s="81"/>
      <c r="F550" s="81"/>
      <c r="G550" s="81"/>
      <c r="H550" s="81"/>
      <c r="I550" s="81"/>
      <c r="N550" s="81"/>
      <c r="O550" s="81"/>
      <c r="P550" s="81"/>
      <c r="Q550" s="81"/>
      <c r="R550" s="81"/>
      <c r="S550" s="81"/>
      <c r="T550" s="81"/>
      <c r="U550" s="81"/>
    </row>
    <row r="551" spans="2:21" ht="12.75" customHeight="1" x14ac:dyDescent="0.2">
      <c r="B551" s="81"/>
      <c r="C551" s="81"/>
      <c r="D551" s="81"/>
      <c r="E551" s="81"/>
      <c r="F551" s="81"/>
      <c r="G551" s="81"/>
      <c r="H551" s="81"/>
      <c r="I551" s="81"/>
      <c r="N551" s="81"/>
      <c r="O551" s="81"/>
      <c r="P551" s="81"/>
      <c r="Q551" s="81"/>
      <c r="R551" s="81"/>
      <c r="S551" s="81"/>
      <c r="T551" s="81"/>
      <c r="U551" s="81"/>
    </row>
    <row r="552" spans="2:21" ht="12.75" customHeight="1" x14ac:dyDescent="0.2">
      <c r="B552" s="81"/>
      <c r="C552" s="81"/>
      <c r="D552" s="81"/>
      <c r="E552" s="81"/>
      <c r="F552" s="81"/>
      <c r="G552" s="81"/>
      <c r="H552" s="81"/>
      <c r="I552" s="81"/>
      <c r="N552" s="81"/>
      <c r="O552" s="81"/>
      <c r="P552" s="81"/>
      <c r="Q552" s="81"/>
      <c r="R552" s="81"/>
      <c r="S552" s="81"/>
      <c r="T552" s="81"/>
      <c r="U552" s="81"/>
    </row>
    <row r="553" spans="2:21" ht="12.75" customHeight="1" x14ac:dyDescent="0.2">
      <c r="B553" s="81"/>
      <c r="C553" s="81"/>
      <c r="D553" s="81"/>
      <c r="E553" s="81"/>
      <c r="F553" s="81"/>
      <c r="G553" s="81"/>
      <c r="H553" s="81"/>
      <c r="I553" s="81"/>
      <c r="N553" s="81"/>
      <c r="O553" s="81"/>
      <c r="P553" s="81"/>
      <c r="Q553" s="81"/>
      <c r="R553" s="81"/>
      <c r="S553" s="81"/>
      <c r="T553" s="81"/>
      <c r="U553" s="81"/>
    </row>
    <row r="554" spans="2:21" ht="12.75" customHeight="1" x14ac:dyDescent="0.2">
      <c r="B554" s="81"/>
      <c r="C554" s="81"/>
      <c r="D554" s="81"/>
      <c r="E554" s="81"/>
      <c r="F554" s="81"/>
      <c r="G554" s="81"/>
      <c r="H554" s="81"/>
      <c r="I554" s="81"/>
      <c r="N554" s="81"/>
      <c r="O554" s="81"/>
      <c r="P554" s="81"/>
      <c r="Q554" s="81"/>
      <c r="R554" s="81"/>
      <c r="S554" s="81"/>
      <c r="T554" s="81"/>
      <c r="U554" s="81"/>
    </row>
    <row r="555" spans="2:21" ht="12.75" customHeight="1" x14ac:dyDescent="0.2">
      <c r="B555" s="81"/>
      <c r="C555" s="81"/>
      <c r="D555" s="81"/>
      <c r="E555" s="81"/>
      <c r="F555" s="81"/>
      <c r="G555" s="81"/>
      <c r="H555" s="81"/>
      <c r="I555" s="81"/>
      <c r="N555" s="81"/>
      <c r="O555" s="81"/>
      <c r="P555" s="81"/>
      <c r="Q555" s="81"/>
      <c r="R555" s="81"/>
      <c r="S555" s="81"/>
      <c r="T555" s="81"/>
      <c r="U555" s="81"/>
    </row>
    <row r="556" spans="2:21" ht="12.75" customHeight="1" x14ac:dyDescent="0.2">
      <c r="B556" s="81"/>
      <c r="C556" s="81"/>
      <c r="D556" s="81"/>
      <c r="E556" s="81"/>
      <c r="F556" s="81"/>
      <c r="G556" s="81"/>
      <c r="H556" s="81"/>
      <c r="I556" s="81"/>
      <c r="N556" s="81"/>
      <c r="O556" s="81"/>
      <c r="P556" s="81"/>
      <c r="Q556" s="81"/>
      <c r="R556" s="81"/>
      <c r="S556" s="81"/>
      <c r="T556" s="81"/>
      <c r="U556" s="81"/>
    </row>
    <row r="557" spans="2:21" ht="12.75" customHeight="1" x14ac:dyDescent="0.2">
      <c r="B557" s="81"/>
      <c r="C557" s="81"/>
      <c r="D557" s="81"/>
      <c r="E557" s="81"/>
      <c r="F557" s="81"/>
      <c r="G557" s="81"/>
      <c r="H557" s="81"/>
      <c r="I557" s="81"/>
      <c r="N557" s="81"/>
      <c r="O557" s="81"/>
      <c r="P557" s="81"/>
      <c r="Q557" s="81"/>
      <c r="R557" s="81"/>
      <c r="S557" s="81"/>
      <c r="T557" s="81"/>
      <c r="U557" s="81"/>
    </row>
    <row r="558" spans="2:21" ht="12.75" customHeight="1" x14ac:dyDescent="0.2">
      <c r="B558" s="81"/>
      <c r="C558" s="81"/>
      <c r="D558" s="81"/>
      <c r="E558" s="81"/>
      <c r="F558" s="81"/>
      <c r="G558" s="81"/>
      <c r="H558" s="81"/>
      <c r="I558" s="81"/>
      <c r="N558" s="81"/>
      <c r="O558" s="81"/>
      <c r="P558" s="81"/>
      <c r="Q558" s="81"/>
      <c r="R558" s="81"/>
      <c r="S558" s="81"/>
      <c r="T558" s="81"/>
      <c r="U558" s="81"/>
    </row>
    <row r="559" spans="2:21" ht="12.75" customHeight="1" x14ac:dyDescent="0.2">
      <c r="B559" s="81"/>
      <c r="C559" s="81"/>
      <c r="D559" s="81"/>
      <c r="E559" s="81"/>
      <c r="F559" s="81"/>
      <c r="G559" s="81"/>
      <c r="H559" s="81"/>
      <c r="I559" s="81"/>
      <c r="N559" s="81"/>
      <c r="O559" s="81"/>
      <c r="P559" s="81"/>
      <c r="Q559" s="81"/>
      <c r="R559" s="81"/>
      <c r="S559" s="81"/>
      <c r="T559" s="81"/>
      <c r="U559" s="81"/>
    </row>
    <row r="560" spans="2:21" ht="12.75" customHeight="1" x14ac:dyDescent="0.2">
      <c r="B560" s="81"/>
      <c r="C560" s="81"/>
      <c r="D560" s="81"/>
      <c r="E560" s="81"/>
      <c r="F560" s="81"/>
      <c r="G560" s="81"/>
      <c r="H560" s="81"/>
      <c r="I560" s="81"/>
      <c r="N560" s="81"/>
      <c r="O560" s="81"/>
      <c r="P560" s="81"/>
      <c r="Q560" s="81"/>
      <c r="R560" s="81"/>
      <c r="S560" s="81"/>
      <c r="T560" s="81"/>
      <c r="U560" s="81"/>
    </row>
    <row r="561" spans="2:21" ht="12.75" customHeight="1" x14ac:dyDescent="0.2">
      <c r="B561" s="81"/>
      <c r="C561" s="81"/>
      <c r="D561" s="81"/>
      <c r="E561" s="81"/>
      <c r="F561" s="81"/>
      <c r="G561" s="81"/>
      <c r="H561" s="81"/>
      <c r="I561" s="81"/>
      <c r="N561" s="81"/>
      <c r="O561" s="81"/>
      <c r="P561" s="81"/>
      <c r="Q561" s="81"/>
      <c r="R561" s="81"/>
      <c r="S561" s="81"/>
      <c r="T561" s="81"/>
      <c r="U561" s="81"/>
    </row>
    <row r="562" spans="2:21" ht="12.75" customHeight="1" x14ac:dyDescent="0.2">
      <c r="B562" s="81"/>
      <c r="C562" s="81"/>
      <c r="D562" s="81"/>
      <c r="E562" s="81"/>
      <c r="F562" s="81"/>
      <c r="G562" s="81"/>
      <c r="H562" s="81"/>
      <c r="I562" s="81"/>
      <c r="N562" s="81"/>
      <c r="O562" s="81"/>
      <c r="P562" s="81"/>
      <c r="Q562" s="81"/>
      <c r="R562" s="81"/>
      <c r="S562" s="81"/>
      <c r="T562" s="81"/>
      <c r="U562" s="81"/>
    </row>
    <row r="563" spans="2:21" ht="12.75" customHeight="1" x14ac:dyDescent="0.2">
      <c r="B563" s="81"/>
      <c r="C563" s="81"/>
      <c r="D563" s="81"/>
      <c r="E563" s="81"/>
      <c r="F563" s="81"/>
      <c r="G563" s="81"/>
      <c r="H563" s="81"/>
      <c r="I563" s="81"/>
      <c r="N563" s="81"/>
      <c r="O563" s="81"/>
      <c r="P563" s="81"/>
      <c r="Q563" s="81"/>
      <c r="R563" s="81"/>
      <c r="S563" s="81"/>
      <c r="T563" s="81"/>
      <c r="U563" s="81"/>
    </row>
    <row r="564" spans="2:21" ht="12.75" customHeight="1" x14ac:dyDescent="0.2">
      <c r="B564" s="81"/>
      <c r="C564" s="81"/>
      <c r="D564" s="81"/>
      <c r="E564" s="81"/>
      <c r="F564" s="81"/>
      <c r="G564" s="81"/>
      <c r="H564" s="81"/>
      <c r="I564" s="81"/>
      <c r="N564" s="81"/>
      <c r="O564" s="81"/>
      <c r="P564" s="81"/>
      <c r="Q564" s="81"/>
      <c r="R564" s="81"/>
      <c r="S564" s="81"/>
      <c r="T564" s="81"/>
      <c r="U564" s="81"/>
    </row>
    <row r="565" spans="2:21" ht="12.75" customHeight="1" x14ac:dyDescent="0.2">
      <c r="B565" s="81"/>
      <c r="C565" s="81"/>
      <c r="D565" s="81"/>
      <c r="E565" s="81"/>
      <c r="F565" s="81"/>
      <c r="G565" s="81"/>
      <c r="H565" s="81"/>
      <c r="I565" s="81"/>
      <c r="N565" s="81"/>
      <c r="O565" s="81"/>
      <c r="P565" s="81"/>
      <c r="Q565" s="81"/>
      <c r="R565" s="81"/>
      <c r="S565" s="81"/>
      <c r="T565" s="81"/>
      <c r="U565" s="81"/>
    </row>
    <row r="566" spans="2:21" ht="12.75" customHeight="1" x14ac:dyDescent="0.2">
      <c r="B566" s="81"/>
      <c r="C566" s="81"/>
      <c r="D566" s="81"/>
      <c r="E566" s="81"/>
      <c r="F566" s="81"/>
      <c r="G566" s="81"/>
      <c r="H566" s="81"/>
      <c r="I566" s="81"/>
      <c r="N566" s="81"/>
      <c r="O566" s="81"/>
      <c r="P566" s="81"/>
      <c r="Q566" s="81"/>
      <c r="R566" s="81"/>
      <c r="S566" s="81"/>
      <c r="T566" s="81"/>
      <c r="U566" s="81"/>
    </row>
    <row r="567" spans="2:21" ht="12.75" customHeight="1" x14ac:dyDescent="0.2">
      <c r="B567" s="81"/>
      <c r="C567" s="81"/>
      <c r="D567" s="81"/>
      <c r="E567" s="81"/>
      <c r="F567" s="81"/>
      <c r="G567" s="81"/>
      <c r="H567" s="81"/>
      <c r="I567" s="81"/>
      <c r="N567" s="81"/>
      <c r="O567" s="81"/>
      <c r="P567" s="81"/>
      <c r="Q567" s="81"/>
      <c r="R567" s="81"/>
      <c r="S567" s="81"/>
      <c r="T567" s="81"/>
      <c r="U567" s="81"/>
    </row>
    <row r="568" spans="2:21" ht="12.75" customHeight="1" x14ac:dyDescent="0.2">
      <c r="B568" s="81"/>
      <c r="C568" s="81"/>
      <c r="D568" s="81"/>
      <c r="E568" s="81"/>
      <c r="F568" s="81"/>
      <c r="G568" s="81"/>
      <c r="H568" s="81"/>
      <c r="I568" s="81"/>
      <c r="N568" s="81"/>
      <c r="O568" s="81"/>
      <c r="P568" s="81"/>
      <c r="Q568" s="81"/>
      <c r="R568" s="81"/>
      <c r="S568" s="81"/>
      <c r="T568" s="81"/>
      <c r="U568" s="81"/>
    </row>
    <row r="569" spans="2:21" ht="12.75" customHeight="1" x14ac:dyDescent="0.2">
      <c r="B569" s="81"/>
      <c r="C569" s="81"/>
      <c r="D569" s="81"/>
      <c r="E569" s="81"/>
      <c r="F569" s="81"/>
      <c r="G569" s="81"/>
      <c r="H569" s="81"/>
      <c r="I569" s="81"/>
      <c r="N569" s="81"/>
      <c r="O569" s="81"/>
      <c r="P569" s="81"/>
      <c r="Q569" s="81"/>
      <c r="R569" s="81"/>
      <c r="S569" s="81"/>
      <c r="T569" s="81"/>
      <c r="U569" s="81"/>
    </row>
    <row r="570" spans="2:21" ht="12.75" customHeight="1" x14ac:dyDescent="0.2">
      <c r="B570" s="81"/>
      <c r="C570" s="81"/>
      <c r="D570" s="81"/>
      <c r="E570" s="81"/>
      <c r="F570" s="81"/>
      <c r="G570" s="81"/>
      <c r="H570" s="81"/>
      <c r="I570" s="81"/>
      <c r="N570" s="81"/>
      <c r="O570" s="81"/>
      <c r="P570" s="81"/>
      <c r="Q570" s="81"/>
      <c r="R570" s="81"/>
      <c r="S570" s="81"/>
      <c r="T570" s="81"/>
      <c r="U570" s="81"/>
    </row>
    <row r="571" spans="2:21" ht="12.75" customHeight="1" x14ac:dyDescent="0.2">
      <c r="B571" s="81"/>
      <c r="C571" s="81"/>
      <c r="D571" s="81"/>
      <c r="E571" s="81"/>
      <c r="F571" s="81"/>
      <c r="G571" s="81"/>
      <c r="H571" s="81"/>
      <c r="I571" s="81"/>
      <c r="N571" s="81"/>
      <c r="O571" s="81"/>
      <c r="P571" s="81"/>
      <c r="Q571" s="81"/>
      <c r="R571" s="81"/>
      <c r="S571" s="81"/>
      <c r="T571" s="81"/>
      <c r="U571" s="81"/>
    </row>
    <row r="572" spans="2:21" ht="12.75" customHeight="1" x14ac:dyDescent="0.2">
      <c r="B572" s="81"/>
      <c r="C572" s="81"/>
      <c r="D572" s="81"/>
      <c r="E572" s="81"/>
      <c r="F572" s="81"/>
      <c r="G572" s="81"/>
      <c r="H572" s="81"/>
      <c r="I572" s="81"/>
      <c r="N572" s="81"/>
      <c r="O572" s="81"/>
      <c r="P572" s="81"/>
      <c r="Q572" s="81"/>
      <c r="R572" s="81"/>
      <c r="S572" s="81"/>
      <c r="T572" s="81"/>
      <c r="U572" s="81"/>
    </row>
    <row r="573" spans="2:21" ht="12.75" customHeight="1" x14ac:dyDescent="0.2">
      <c r="B573" s="81"/>
      <c r="C573" s="81"/>
      <c r="D573" s="81"/>
      <c r="E573" s="81"/>
      <c r="F573" s="81"/>
      <c r="G573" s="81"/>
      <c r="H573" s="81"/>
      <c r="I573" s="81"/>
      <c r="N573" s="81"/>
      <c r="O573" s="81"/>
      <c r="P573" s="81"/>
      <c r="Q573" s="81"/>
      <c r="R573" s="81"/>
      <c r="S573" s="81"/>
      <c r="T573" s="81"/>
      <c r="U573" s="81"/>
    </row>
    <row r="574" spans="2:21" ht="12.75" customHeight="1" x14ac:dyDescent="0.2">
      <c r="B574" s="81"/>
      <c r="C574" s="81"/>
      <c r="D574" s="81"/>
      <c r="E574" s="81"/>
      <c r="F574" s="81"/>
      <c r="G574" s="81"/>
      <c r="H574" s="81"/>
      <c r="I574" s="81"/>
      <c r="N574" s="81"/>
      <c r="O574" s="81"/>
      <c r="P574" s="81"/>
      <c r="Q574" s="81"/>
      <c r="R574" s="81"/>
      <c r="S574" s="81"/>
      <c r="T574" s="81"/>
      <c r="U574" s="81"/>
    </row>
    <row r="575" spans="2:21" ht="12.75" customHeight="1" x14ac:dyDescent="0.2">
      <c r="B575" s="81"/>
      <c r="C575" s="81"/>
      <c r="D575" s="81"/>
      <c r="E575" s="81"/>
      <c r="F575" s="81"/>
      <c r="G575" s="81"/>
      <c r="H575" s="81"/>
      <c r="I575" s="81"/>
      <c r="N575" s="81"/>
      <c r="O575" s="81"/>
      <c r="P575" s="81"/>
      <c r="Q575" s="81"/>
      <c r="R575" s="81"/>
      <c r="S575" s="81"/>
      <c r="T575" s="81"/>
      <c r="U575" s="81"/>
    </row>
    <row r="576" spans="2:21" ht="12.75" customHeight="1" x14ac:dyDescent="0.2">
      <c r="B576" s="81"/>
      <c r="C576" s="81"/>
      <c r="D576" s="81"/>
      <c r="E576" s="81"/>
      <c r="F576" s="81"/>
      <c r="G576" s="81"/>
      <c r="H576" s="81"/>
      <c r="I576" s="81"/>
      <c r="N576" s="81"/>
      <c r="O576" s="81"/>
      <c r="P576" s="81"/>
      <c r="Q576" s="81"/>
      <c r="R576" s="81"/>
      <c r="S576" s="81"/>
      <c r="T576" s="81"/>
      <c r="U576" s="81"/>
    </row>
    <row r="577" spans="2:21" ht="12.75" customHeight="1" x14ac:dyDescent="0.2">
      <c r="B577" s="81"/>
      <c r="C577" s="81"/>
      <c r="D577" s="81"/>
      <c r="E577" s="81"/>
      <c r="F577" s="81"/>
      <c r="G577" s="81"/>
      <c r="H577" s="81"/>
      <c r="I577" s="81"/>
      <c r="N577" s="81"/>
      <c r="O577" s="81"/>
      <c r="P577" s="81"/>
      <c r="Q577" s="81"/>
      <c r="R577" s="81"/>
      <c r="S577" s="81"/>
      <c r="T577" s="81"/>
      <c r="U577" s="81"/>
    </row>
    <row r="578" spans="2:21" ht="12.75" customHeight="1" x14ac:dyDescent="0.2">
      <c r="B578" s="81"/>
      <c r="C578" s="81"/>
      <c r="D578" s="81"/>
      <c r="E578" s="81"/>
      <c r="F578" s="81"/>
      <c r="G578" s="81"/>
      <c r="H578" s="81"/>
      <c r="I578" s="81"/>
      <c r="N578" s="81"/>
      <c r="O578" s="81"/>
      <c r="P578" s="81"/>
      <c r="Q578" s="81"/>
      <c r="R578" s="81"/>
      <c r="S578" s="81"/>
      <c r="T578" s="81"/>
      <c r="U578" s="81"/>
    </row>
    <row r="579" spans="2:21" ht="12.75" customHeight="1" x14ac:dyDescent="0.2">
      <c r="B579" s="81"/>
      <c r="C579" s="81"/>
      <c r="D579" s="81"/>
      <c r="E579" s="81"/>
      <c r="F579" s="81"/>
      <c r="G579" s="81"/>
      <c r="H579" s="81"/>
      <c r="I579" s="81"/>
      <c r="N579" s="81"/>
      <c r="O579" s="81"/>
      <c r="P579" s="81"/>
      <c r="Q579" s="81"/>
      <c r="R579" s="81"/>
      <c r="S579" s="81"/>
      <c r="T579" s="81"/>
      <c r="U579" s="81"/>
    </row>
    <row r="580" spans="2:21" ht="12.75" customHeight="1" x14ac:dyDescent="0.2">
      <c r="B580" s="81"/>
      <c r="C580" s="81"/>
      <c r="D580" s="81"/>
      <c r="E580" s="81"/>
      <c r="F580" s="81"/>
      <c r="G580" s="81"/>
      <c r="H580" s="81"/>
      <c r="I580" s="81"/>
      <c r="N580" s="81"/>
      <c r="O580" s="81"/>
      <c r="P580" s="81"/>
      <c r="Q580" s="81"/>
      <c r="R580" s="81"/>
      <c r="S580" s="81"/>
      <c r="T580" s="81"/>
      <c r="U580" s="81"/>
    </row>
    <row r="581" spans="2:21" ht="12.75" customHeight="1" x14ac:dyDescent="0.2">
      <c r="B581" s="81"/>
      <c r="C581" s="81"/>
      <c r="D581" s="81"/>
      <c r="E581" s="81"/>
      <c r="F581" s="81"/>
      <c r="G581" s="81"/>
      <c r="H581" s="81"/>
      <c r="I581" s="81"/>
      <c r="N581" s="81"/>
      <c r="O581" s="81"/>
      <c r="P581" s="81"/>
      <c r="Q581" s="81"/>
      <c r="R581" s="81"/>
      <c r="S581" s="81"/>
      <c r="T581" s="81"/>
      <c r="U581" s="81"/>
    </row>
    <row r="582" spans="2:21" ht="12.75" customHeight="1" x14ac:dyDescent="0.2">
      <c r="B582" s="81"/>
      <c r="C582" s="81"/>
      <c r="D582" s="81"/>
      <c r="E582" s="81"/>
      <c r="F582" s="81"/>
      <c r="G582" s="81"/>
      <c r="H582" s="81"/>
      <c r="I582" s="81"/>
      <c r="N582" s="81"/>
      <c r="O582" s="81"/>
      <c r="P582" s="81"/>
      <c r="Q582" s="81"/>
      <c r="R582" s="81"/>
      <c r="S582" s="81"/>
      <c r="T582" s="81"/>
      <c r="U582" s="81"/>
    </row>
    <row r="583" spans="2:21" ht="12.75" customHeight="1" x14ac:dyDescent="0.2">
      <c r="B583" s="81"/>
      <c r="C583" s="81"/>
      <c r="D583" s="81"/>
      <c r="E583" s="81"/>
      <c r="F583" s="81"/>
      <c r="G583" s="81"/>
      <c r="H583" s="81"/>
      <c r="I583" s="81"/>
      <c r="N583" s="81"/>
      <c r="O583" s="81"/>
      <c r="P583" s="81"/>
      <c r="Q583" s="81"/>
      <c r="R583" s="81"/>
      <c r="S583" s="81"/>
      <c r="T583" s="81"/>
      <c r="U583" s="81"/>
    </row>
    <row r="584" spans="2:21" ht="12.75" customHeight="1" x14ac:dyDescent="0.2">
      <c r="B584" s="81"/>
      <c r="C584" s="81"/>
      <c r="D584" s="81"/>
      <c r="E584" s="81"/>
      <c r="F584" s="81"/>
      <c r="G584" s="81"/>
      <c r="H584" s="81"/>
      <c r="I584" s="81"/>
      <c r="N584" s="81"/>
      <c r="O584" s="81"/>
      <c r="P584" s="81"/>
      <c r="Q584" s="81"/>
      <c r="R584" s="81"/>
      <c r="S584" s="81"/>
      <c r="T584" s="81"/>
      <c r="U584" s="81"/>
    </row>
    <row r="585" spans="2:21" ht="12.75" customHeight="1" x14ac:dyDescent="0.2">
      <c r="B585" s="81"/>
      <c r="C585" s="81"/>
      <c r="D585" s="81"/>
      <c r="E585" s="81"/>
      <c r="F585" s="81"/>
      <c r="G585" s="81"/>
      <c r="H585" s="81"/>
      <c r="I585" s="81"/>
      <c r="N585" s="81"/>
      <c r="O585" s="81"/>
      <c r="P585" s="81"/>
      <c r="Q585" s="81"/>
      <c r="R585" s="81"/>
      <c r="S585" s="81"/>
      <c r="T585" s="81"/>
      <c r="U585" s="81"/>
    </row>
    <row r="586" spans="2:21" ht="12.75" customHeight="1" x14ac:dyDescent="0.2">
      <c r="B586" s="81"/>
      <c r="C586" s="81"/>
      <c r="D586" s="81"/>
      <c r="E586" s="81"/>
      <c r="F586" s="81"/>
      <c r="G586" s="81"/>
      <c r="H586" s="81"/>
      <c r="I586" s="81"/>
      <c r="N586" s="81"/>
      <c r="O586" s="81"/>
      <c r="P586" s="81"/>
      <c r="Q586" s="81"/>
      <c r="R586" s="81"/>
      <c r="S586" s="81"/>
      <c r="T586" s="81"/>
      <c r="U586" s="81"/>
    </row>
    <row r="587" spans="2:21" ht="12.75" customHeight="1" x14ac:dyDescent="0.2">
      <c r="B587" s="81"/>
      <c r="C587" s="81"/>
      <c r="D587" s="81"/>
      <c r="E587" s="81"/>
      <c r="F587" s="81"/>
      <c r="G587" s="81"/>
      <c r="H587" s="81"/>
      <c r="I587" s="81"/>
      <c r="N587" s="81"/>
      <c r="O587" s="81"/>
      <c r="P587" s="81"/>
      <c r="Q587" s="81"/>
      <c r="R587" s="81"/>
      <c r="S587" s="81"/>
      <c r="T587" s="81"/>
      <c r="U587" s="81"/>
    </row>
    <row r="588" spans="2:21" ht="12.75" customHeight="1" x14ac:dyDescent="0.2">
      <c r="B588" s="81"/>
      <c r="C588" s="81"/>
      <c r="D588" s="81"/>
      <c r="E588" s="81"/>
      <c r="F588" s="81"/>
      <c r="G588" s="81"/>
      <c r="H588" s="81"/>
      <c r="I588" s="81"/>
      <c r="N588" s="81"/>
      <c r="O588" s="81"/>
      <c r="P588" s="81"/>
      <c r="Q588" s="81"/>
      <c r="R588" s="81"/>
      <c r="S588" s="81"/>
      <c r="T588" s="81"/>
      <c r="U588" s="81"/>
    </row>
    <row r="589" spans="2:21" ht="12.75" customHeight="1" x14ac:dyDescent="0.2">
      <c r="B589" s="81"/>
      <c r="C589" s="81"/>
      <c r="D589" s="81"/>
      <c r="E589" s="81"/>
      <c r="F589" s="81"/>
      <c r="G589" s="81"/>
      <c r="H589" s="81"/>
      <c r="I589" s="81"/>
      <c r="N589" s="81"/>
      <c r="O589" s="81"/>
      <c r="P589" s="81"/>
      <c r="Q589" s="81"/>
      <c r="R589" s="81"/>
      <c r="S589" s="81"/>
      <c r="T589" s="81"/>
      <c r="U589" s="81"/>
    </row>
    <row r="590" spans="2:21" ht="12.75" customHeight="1" x14ac:dyDescent="0.2">
      <c r="B590" s="81"/>
      <c r="C590" s="81"/>
      <c r="D590" s="81"/>
      <c r="E590" s="81"/>
      <c r="F590" s="81"/>
      <c r="G590" s="81"/>
      <c r="H590" s="81"/>
      <c r="I590" s="81"/>
      <c r="N590" s="81"/>
      <c r="O590" s="81"/>
      <c r="P590" s="81"/>
      <c r="Q590" s="81"/>
      <c r="R590" s="81"/>
      <c r="S590" s="81"/>
      <c r="T590" s="81"/>
      <c r="U590" s="81"/>
    </row>
    <row r="591" spans="2:21" ht="12.75" customHeight="1" x14ac:dyDescent="0.2">
      <c r="B591" s="81"/>
      <c r="C591" s="81"/>
      <c r="D591" s="81"/>
      <c r="E591" s="81"/>
      <c r="F591" s="81"/>
      <c r="G591" s="81"/>
      <c r="H591" s="81"/>
      <c r="I591" s="81"/>
      <c r="N591" s="81"/>
      <c r="O591" s="81"/>
      <c r="P591" s="81"/>
      <c r="Q591" s="81"/>
      <c r="R591" s="81"/>
      <c r="S591" s="81"/>
      <c r="T591" s="81"/>
      <c r="U591" s="81"/>
    </row>
    <row r="592" spans="2:21" ht="12.75" customHeight="1" x14ac:dyDescent="0.2">
      <c r="B592" s="81"/>
      <c r="C592" s="81"/>
      <c r="D592" s="81"/>
      <c r="E592" s="81"/>
      <c r="F592" s="81"/>
      <c r="G592" s="81"/>
      <c r="H592" s="81"/>
      <c r="I592" s="81"/>
      <c r="N592" s="81"/>
      <c r="O592" s="81"/>
      <c r="P592" s="81"/>
      <c r="Q592" s="81"/>
      <c r="R592" s="81"/>
      <c r="S592" s="81"/>
      <c r="T592" s="81"/>
      <c r="U592" s="81"/>
    </row>
    <row r="593" spans="2:21" ht="12.75" customHeight="1" x14ac:dyDescent="0.2">
      <c r="B593" s="81"/>
      <c r="C593" s="81"/>
      <c r="D593" s="81"/>
      <c r="E593" s="81"/>
      <c r="F593" s="81"/>
      <c r="G593" s="81"/>
      <c r="H593" s="81"/>
      <c r="I593" s="81"/>
      <c r="N593" s="81"/>
      <c r="O593" s="81"/>
      <c r="P593" s="81"/>
      <c r="Q593" s="81"/>
      <c r="R593" s="81"/>
      <c r="S593" s="81"/>
      <c r="T593" s="81"/>
      <c r="U593" s="81"/>
    </row>
    <row r="594" spans="2:21" ht="12.75" customHeight="1" x14ac:dyDescent="0.2">
      <c r="B594" s="81"/>
      <c r="C594" s="81"/>
      <c r="D594" s="81"/>
      <c r="E594" s="81"/>
      <c r="F594" s="81"/>
      <c r="G594" s="81"/>
      <c r="H594" s="81"/>
      <c r="I594" s="81"/>
      <c r="N594" s="81"/>
      <c r="O594" s="81"/>
      <c r="P594" s="81"/>
      <c r="Q594" s="81"/>
      <c r="R594" s="81"/>
      <c r="S594" s="81"/>
      <c r="T594" s="81"/>
      <c r="U594" s="81"/>
    </row>
    <row r="595" spans="2:21" ht="12.75" customHeight="1" x14ac:dyDescent="0.2">
      <c r="B595" s="81"/>
      <c r="C595" s="81"/>
      <c r="D595" s="81"/>
      <c r="E595" s="81"/>
      <c r="F595" s="81"/>
      <c r="G595" s="81"/>
      <c r="H595" s="81"/>
      <c r="I595" s="81"/>
      <c r="N595" s="81"/>
      <c r="O595" s="81"/>
      <c r="P595" s="81"/>
      <c r="Q595" s="81"/>
      <c r="R595" s="81"/>
      <c r="S595" s="81"/>
      <c r="T595" s="81"/>
      <c r="U595" s="81"/>
    </row>
    <row r="596" spans="2:21" ht="12.75" customHeight="1" x14ac:dyDescent="0.2">
      <c r="B596" s="81"/>
      <c r="C596" s="81"/>
      <c r="D596" s="81"/>
      <c r="E596" s="81"/>
      <c r="F596" s="81"/>
      <c r="G596" s="81"/>
      <c r="H596" s="81"/>
      <c r="I596" s="81"/>
      <c r="N596" s="81"/>
      <c r="O596" s="81"/>
      <c r="P596" s="81"/>
      <c r="Q596" s="81"/>
      <c r="R596" s="81"/>
      <c r="S596" s="81"/>
      <c r="T596" s="81"/>
      <c r="U596" s="81"/>
    </row>
    <row r="597" spans="2:21" ht="12.75" customHeight="1" x14ac:dyDescent="0.2">
      <c r="B597" s="81"/>
      <c r="C597" s="81"/>
      <c r="D597" s="81"/>
      <c r="E597" s="81"/>
      <c r="F597" s="81"/>
      <c r="G597" s="81"/>
      <c r="H597" s="81"/>
      <c r="I597" s="81"/>
      <c r="N597" s="81"/>
      <c r="O597" s="81"/>
      <c r="P597" s="81"/>
      <c r="Q597" s="81"/>
      <c r="R597" s="81"/>
      <c r="S597" s="81"/>
      <c r="T597" s="81"/>
      <c r="U597" s="81"/>
    </row>
    <row r="598" spans="2:21" ht="12.75" customHeight="1" x14ac:dyDescent="0.2">
      <c r="B598" s="81"/>
      <c r="C598" s="81"/>
      <c r="D598" s="81"/>
      <c r="E598" s="81"/>
      <c r="F598" s="81"/>
      <c r="G598" s="81"/>
      <c r="H598" s="81"/>
      <c r="I598" s="81"/>
      <c r="N598" s="81"/>
      <c r="O598" s="81"/>
      <c r="P598" s="81"/>
      <c r="Q598" s="81"/>
      <c r="R598" s="81"/>
      <c r="S598" s="81"/>
      <c r="T598" s="81"/>
      <c r="U598" s="81"/>
    </row>
    <row r="599" spans="2:21" ht="12.75" customHeight="1" x14ac:dyDescent="0.2">
      <c r="B599" s="81"/>
      <c r="C599" s="81"/>
      <c r="D599" s="81"/>
      <c r="E599" s="81"/>
      <c r="F599" s="81"/>
      <c r="G599" s="81"/>
      <c r="H599" s="81"/>
      <c r="I599" s="81"/>
      <c r="N599" s="81"/>
      <c r="O599" s="81"/>
      <c r="P599" s="81"/>
      <c r="Q599" s="81"/>
      <c r="R599" s="81"/>
      <c r="S599" s="81"/>
      <c r="T599" s="81"/>
      <c r="U599" s="81"/>
    </row>
    <row r="600" spans="2:21" ht="12.75" customHeight="1" x14ac:dyDescent="0.2">
      <c r="B600" s="81"/>
      <c r="C600" s="81"/>
      <c r="D600" s="81"/>
      <c r="E600" s="81"/>
      <c r="F600" s="81"/>
      <c r="G600" s="81"/>
      <c r="H600" s="81"/>
      <c r="I600" s="81"/>
      <c r="N600" s="81"/>
      <c r="O600" s="81"/>
      <c r="P600" s="81"/>
      <c r="Q600" s="81"/>
      <c r="R600" s="81"/>
      <c r="S600" s="81"/>
      <c r="T600" s="81"/>
      <c r="U600" s="81"/>
    </row>
    <row r="601" spans="2:21" ht="12.75" customHeight="1" x14ac:dyDescent="0.2">
      <c r="B601" s="81"/>
      <c r="C601" s="81"/>
      <c r="D601" s="81"/>
      <c r="E601" s="81"/>
      <c r="F601" s="81"/>
      <c r="G601" s="81"/>
      <c r="H601" s="81"/>
      <c r="I601" s="81"/>
      <c r="N601" s="81"/>
      <c r="O601" s="81"/>
      <c r="P601" s="81"/>
      <c r="Q601" s="81"/>
      <c r="R601" s="81"/>
      <c r="S601" s="81"/>
      <c r="T601" s="81"/>
      <c r="U601" s="81"/>
    </row>
    <row r="602" spans="2:21" ht="12.75" customHeight="1" x14ac:dyDescent="0.2">
      <c r="B602" s="81"/>
      <c r="C602" s="81"/>
      <c r="D602" s="81"/>
      <c r="E602" s="81"/>
      <c r="F602" s="81"/>
      <c r="G602" s="81"/>
      <c r="H602" s="81"/>
      <c r="I602" s="81"/>
      <c r="N602" s="81"/>
      <c r="O602" s="81"/>
      <c r="P602" s="81"/>
      <c r="Q602" s="81"/>
      <c r="R602" s="81"/>
      <c r="S602" s="81"/>
      <c r="T602" s="81"/>
      <c r="U602" s="81"/>
    </row>
    <row r="603" spans="2:21" ht="12.75" customHeight="1" x14ac:dyDescent="0.2">
      <c r="B603" s="81"/>
      <c r="C603" s="81"/>
      <c r="D603" s="81"/>
      <c r="E603" s="81"/>
      <c r="F603" s="81"/>
      <c r="G603" s="81"/>
      <c r="H603" s="81"/>
      <c r="I603" s="81"/>
      <c r="N603" s="81"/>
      <c r="O603" s="81"/>
      <c r="P603" s="81"/>
      <c r="Q603" s="81"/>
      <c r="R603" s="81"/>
      <c r="S603" s="81"/>
      <c r="T603" s="81"/>
      <c r="U603" s="81"/>
    </row>
    <row r="604" spans="2:21" ht="12.75" customHeight="1" x14ac:dyDescent="0.2">
      <c r="B604" s="81"/>
      <c r="C604" s="81"/>
      <c r="D604" s="81"/>
      <c r="E604" s="81"/>
      <c r="F604" s="81"/>
      <c r="G604" s="81"/>
      <c r="H604" s="81"/>
      <c r="I604" s="81"/>
      <c r="N604" s="81"/>
      <c r="O604" s="81"/>
      <c r="P604" s="81"/>
      <c r="Q604" s="81"/>
      <c r="R604" s="81"/>
      <c r="S604" s="81"/>
      <c r="T604" s="81"/>
      <c r="U604" s="81"/>
    </row>
    <row r="605" spans="2:21" ht="12.75" customHeight="1" x14ac:dyDescent="0.2">
      <c r="B605" s="81"/>
      <c r="C605" s="81"/>
      <c r="D605" s="81"/>
      <c r="E605" s="81"/>
      <c r="F605" s="81"/>
      <c r="G605" s="81"/>
      <c r="H605" s="81"/>
      <c r="I605" s="81"/>
      <c r="N605" s="81"/>
      <c r="O605" s="81"/>
      <c r="P605" s="81"/>
      <c r="Q605" s="81"/>
      <c r="R605" s="81"/>
      <c r="S605" s="81"/>
      <c r="T605" s="81"/>
      <c r="U605" s="81"/>
    </row>
    <row r="606" spans="2:21" ht="12.75" customHeight="1" x14ac:dyDescent="0.2">
      <c r="B606" s="81"/>
      <c r="C606" s="81"/>
      <c r="D606" s="81"/>
      <c r="E606" s="81"/>
      <c r="F606" s="81"/>
      <c r="G606" s="81"/>
      <c r="H606" s="81"/>
      <c r="I606" s="81"/>
      <c r="N606" s="81"/>
      <c r="O606" s="81"/>
      <c r="P606" s="81"/>
      <c r="Q606" s="81"/>
      <c r="R606" s="81"/>
      <c r="S606" s="81"/>
      <c r="T606" s="81"/>
      <c r="U606" s="81"/>
    </row>
    <row r="607" spans="2:21" ht="12.75" customHeight="1" x14ac:dyDescent="0.2">
      <c r="B607" s="81"/>
      <c r="C607" s="81"/>
      <c r="D607" s="81"/>
      <c r="E607" s="81"/>
      <c r="F607" s="81"/>
      <c r="G607" s="81"/>
      <c r="H607" s="81"/>
      <c r="I607" s="81"/>
      <c r="N607" s="81"/>
      <c r="O607" s="81"/>
      <c r="P607" s="81"/>
      <c r="Q607" s="81"/>
      <c r="R607" s="81"/>
      <c r="S607" s="81"/>
      <c r="T607" s="81"/>
      <c r="U607" s="81"/>
    </row>
    <row r="608" spans="2:21" ht="12.75" customHeight="1" x14ac:dyDescent="0.2">
      <c r="B608" s="81"/>
      <c r="C608" s="81"/>
      <c r="D608" s="81"/>
      <c r="E608" s="81"/>
      <c r="F608" s="81"/>
      <c r="G608" s="81"/>
      <c r="H608" s="81"/>
      <c r="I608" s="81"/>
      <c r="N608" s="81"/>
      <c r="O608" s="81"/>
      <c r="P608" s="81"/>
      <c r="Q608" s="81"/>
      <c r="R608" s="81"/>
      <c r="S608" s="81"/>
      <c r="T608" s="81"/>
      <c r="U608" s="81"/>
    </row>
    <row r="609" spans="2:21" ht="12.75" customHeight="1" x14ac:dyDescent="0.2">
      <c r="B609" s="81"/>
      <c r="C609" s="81"/>
      <c r="D609" s="81"/>
      <c r="E609" s="81"/>
      <c r="F609" s="81"/>
      <c r="G609" s="81"/>
      <c r="H609" s="81"/>
      <c r="I609" s="81"/>
      <c r="N609" s="81"/>
      <c r="O609" s="81"/>
      <c r="P609" s="81"/>
      <c r="Q609" s="81"/>
      <c r="R609" s="81"/>
      <c r="S609" s="81"/>
      <c r="T609" s="81"/>
      <c r="U609" s="81"/>
    </row>
    <row r="610" spans="2:21" ht="12.75" customHeight="1" x14ac:dyDescent="0.2">
      <c r="B610" s="81"/>
      <c r="C610" s="81"/>
      <c r="D610" s="81"/>
      <c r="E610" s="81"/>
      <c r="F610" s="81"/>
      <c r="G610" s="81"/>
      <c r="H610" s="81"/>
      <c r="I610" s="81"/>
      <c r="N610" s="81"/>
      <c r="O610" s="81"/>
      <c r="P610" s="81"/>
      <c r="Q610" s="81"/>
      <c r="R610" s="81"/>
      <c r="S610" s="81"/>
      <c r="T610" s="81"/>
      <c r="U610" s="81"/>
    </row>
    <row r="611" spans="2:21" ht="12.75" customHeight="1" x14ac:dyDescent="0.2">
      <c r="B611" s="81"/>
      <c r="C611" s="81"/>
      <c r="D611" s="81"/>
      <c r="E611" s="81"/>
      <c r="F611" s="81"/>
      <c r="G611" s="81"/>
      <c r="H611" s="81"/>
      <c r="I611" s="81"/>
      <c r="N611" s="81"/>
      <c r="O611" s="81"/>
      <c r="P611" s="81"/>
      <c r="Q611" s="81"/>
      <c r="R611" s="81"/>
      <c r="S611" s="81"/>
      <c r="T611" s="81"/>
      <c r="U611" s="81"/>
    </row>
    <row r="612" spans="2:21" ht="12.75" customHeight="1" x14ac:dyDescent="0.2">
      <c r="B612" s="81"/>
      <c r="C612" s="81"/>
      <c r="D612" s="81"/>
      <c r="E612" s="81"/>
      <c r="F612" s="81"/>
      <c r="G612" s="81"/>
      <c r="H612" s="81"/>
      <c r="I612" s="81"/>
      <c r="N612" s="81"/>
      <c r="O612" s="81"/>
      <c r="P612" s="81"/>
      <c r="Q612" s="81"/>
      <c r="R612" s="81"/>
      <c r="S612" s="81"/>
      <c r="T612" s="81"/>
      <c r="U612" s="81"/>
    </row>
    <row r="613" spans="2:21" ht="12.75" customHeight="1" x14ac:dyDescent="0.2"/>
    <row r="614" spans="2:21" ht="12.75" customHeight="1" x14ac:dyDescent="0.2"/>
    <row r="615" spans="2:21" ht="12.75" customHeight="1" x14ac:dyDescent="0.2"/>
    <row r="616" spans="2:21" ht="12.75" customHeight="1" x14ac:dyDescent="0.2">
      <c r="H616"/>
      <c r="T616"/>
    </row>
    <row r="617" spans="2:21" ht="12.75" customHeight="1" x14ac:dyDescent="0.2">
      <c r="H617"/>
      <c r="T617"/>
    </row>
    <row r="618" spans="2:21" ht="12.75" customHeight="1" x14ac:dyDescent="0.2">
      <c r="H618"/>
      <c r="T618"/>
    </row>
    <row r="619" spans="2:21" ht="12.75" customHeight="1" x14ac:dyDescent="0.2">
      <c r="H619"/>
      <c r="T619"/>
    </row>
    <row r="620" spans="2:21" ht="12.75" customHeight="1" x14ac:dyDescent="0.2">
      <c r="H620"/>
      <c r="T620"/>
    </row>
    <row r="621" spans="2:21" ht="12.75" customHeight="1" x14ac:dyDescent="0.2">
      <c r="H621"/>
      <c r="T621"/>
    </row>
    <row r="622" spans="2:21" ht="12.75" customHeight="1" x14ac:dyDescent="0.2">
      <c r="H622"/>
      <c r="T622"/>
    </row>
    <row r="623" spans="2:21" ht="12.75" customHeight="1" x14ac:dyDescent="0.2">
      <c r="H623"/>
      <c r="T623"/>
    </row>
    <row r="624" spans="2:21" ht="12.75" customHeight="1" x14ac:dyDescent="0.2">
      <c r="H624"/>
      <c r="T624"/>
    </row>
    <row r="625" spans="8:20" ht="12.75" customHeight="1" x14ac:dyDescent="0.2">
      <c r="H625"/>
      <c r="T625"/>
    </row>
    <row r="626" spans="8:20" ht="12.75" customHeight="1" x14ac:dyDescent="0.2">
      <c r="H626"/>
      <c r="T626"/>
    </row>
    <row r="627" spans="8:20" ht="12.75" customHeight="1" x14ac:dyDescent="0.2">
      <c r="H627"/>
      <c r="T627"/>
    </row>
    <row r="628" spans="8:20" ht="12.75" customHeight="1" x14ac:dyDescent="0.2">
      <c r="H628"/>
      <c r="T628"/>
    </row>
    <row r="629" spans="8:20" ht="12.75" customHeight="1" x14ac:dyDescent="0.2">
      <c r="H629"/>
      <c r="T629"/>
    </row>
    <row r="630" spans="8:20" ht="12.75" customHeight="1" x14ac:dyDescent="0.2">
      <c r="H630"/>
      <c r="T630"/>
    </row>
    <row r="631" spans="8:20" ht="12.75" customHeight="1" x14ac:dyDescent="0.2">
      <c r="H631"/>
      <c r="T631"/>
    </row>
    <row r="632" spans="8:20" ht="12.75" customHeight="1" x14ac:dyDescent="0.2">
      <c r="H632"/>
      <c r="T632"/>
    </row>
    <row r="633" spans="8:20" ht="12.75" customHeight="1" x14ac:dyDescent="0.2">
      <c r="H633"/>
      <c r="T633"/>
    </row>
    <row r="634" spans="8:20" ht="12.75" customHeight="1" x14ac:dyDescent="0.2">
      <c r="H634"/>
      <c r="T634"/>
    </row>
    <row r="635" spans="8:20" ht="12.75" customHeight="1" x14ac:dyDescent="0.2">
      <c r="H635"/>
      <c r="T635"/>
    </row>
    <row r="636" spans="8:20" ht="12.75" customHeight="1" x14ac:dyDescent="0.2">
      <c r="H636"/>
      <c r="T636"/>
    </row>
    <row r="637" spans="8:20" ht="12.75" customHeight="1" x14ac:dyDescent="0.2">
      <c r="H637"/>
      <c r="T637"/>
    </row>
    <row r="638" spans="8:20" ht="12.75" customHeight="1" x14ac:dyDescent="0.2">
      <c r="H638"/>
      <c r="T638"/>
    </row>
    <row r="639" spans="8:20" ht="12.75" customHeight="1" x14ac:dyDescent="0.2">
      <c r="H639"/>
      <c r="T639"/>
    </row>
    <row r="640" spans="8:20" ht="12.75" customHeight="1" x14ac:dyDescent="0.2">
      <c r="H640"/>
      <c r="T640"/>
    </row>
    <row r="641" spans="8:20" ht="12.75" customHeight="1" x14ac:dyDescent="0.2">
      <c r="H641"/>
      <c r="T641"/>
    </row>
    <row r="642" spans="8:20" ht="12.75" customHeight="1" x14ac:dyDescent="0.2">
      <c r="H642"/>
      <c r="T642"/>
    </row>
    <row r="643" spans="8:20" ht="12.75" customHeight="1" x14ac:dyDescent="0.2">
      <c r="H643"/>
      <c r="T643"/>
    </row>
    <row r="644" spans="8:20" ht="12.75" customHeight="1" x14ac:dyDescent="0.2">
      <c r="H644"/>
      <c r="T644"/>
    </row>
    <row r="645" spans="8:20" ht="12.75" customHeight="1" x14ac:dyDescent="0.2">
      <c r="H645"/>
      <c r="T645"/>
    </row>
    <row r="646" spans="8:20" ht="12.75" customHeight="1" x14ac:dyDescent="0.2">
      <c r="H646"/>
      <c r="T646"/>
    </row>
    <row r="647" spans="8:20" ht="12.75" customHeight="1" x14ac:dyDescent="0.2">
      <c r="H647"/>
      <c r="T647"/>
    </row>
    <row r="648" spans="8:20" ht="12.75" customHeight="1" x14ac:dyDescent="0.2">
      <c r="H648"/>
      <c r="T648"/>
    </row>
    <row r="649" spans="8:20" ht="12.75" customHeight="1" x14ac:dyDescent="0.2">
      <c r="H649"/>
      <c r="T649"/>
    </row>
    <row r="650" spans="8:20" ht="12.75" customHeight="1" x14ac:dyDescent="0.2">
      <c r="H650"/>
      <c r="T650"/>
    </row>
    <row r="651" spans="8:20" ht="12.75" customHeight="1" x14ac:dyDescent="0.2">
      <c r="H651"/>
      <c r="T651"/>
    </row>
    <row r="652" spans="8:20" ht="12.75" customHeight="1" x14ac:dyDescent="0.2">
      <c r="H652"/>
      <c r="T652"/>
    </row>
    <row r="653" spans="8:20" ht="12.75" customHeight="1" x14ac:dyDescent="0.2">
      <c r="H653"/>
      <c r="T653"/>
    </row>
    <row r="654" spans="8:20" ht="12.75" customHeight="1" x14ac:dyDescent="0.2">
      <c r="H654"/>
      <c r="T654"/>
    </row>
    <row r="655" spans="8:20" ht="12.75" customHeight="1" x14ac:dyDescent="0.2">
      <c r="H655"/>
      <c r="T655"/>
    </row>
    <row r="656" spans="8:20" ht="12.75" customHeight="1" x14ac:dyDescent="0.2">
      <c r="H656"/>
      <c r="T656"/>
    </row>
    <row r="657" spans="8:20" ht="12.75" customHeight="1" x14ac:dyDescent="0.2">
      <c r="H657"/>
      <c r="T657"/>
    </row>
    <row r="658" spans="8:20" ht="12.75" customHeight="1" x14ac:dyDescent="0.2">
      <c r="H658"/>
      <c r="T658"/>
    </row>
    <row r="659" spans="8:20" ht="12.75" customHeight="1" x14ac:dyDescent="0.2">
      <c r="H659"/>
      <c r="T659"/>
    </row>
    <row r="660" spans="8:20" ht="12.75" customHeight="1" x14ac:dyDescent="0.2">
      <c r="H660"/>
      <c r="T660"/>
    </row>
    <row r="661" spans="8:20" ht="12.75" customHeight="1" x14ac:dyDescent="0.2">
      <c r="H661"/>
      <c r="T661"/>
    </row>
    <row r="662" spans="8:20" ht="12.75" customHeight="1" x14ac:dyDescent="0.2">
      <c r="H662"/>
      <c r="T662"/>
    </row>
    <row r="663" spans="8:20" ht="12.75" customHeight="1" x14ac:dyDescent="0.2">
      <c r="H663"/>
      <c r="T663"/>
    </row>
    <row r="664" spans="8:20" ht="12.75" customHeight="1" x14ac:dyDescent="0.2">
      <c r="H664"/>
      <c r="T664"/>
    </row>
    <row r="665" spans="8:20" ht="12.75" customHeight="1" x14ac:dyDescent="0.2">
      <c r="H665"/>
      <c r="T665"/>
    </row>
    <row r="666" spans="8:20" ht="12.75" customHeight="1" x14ac:dyDescent="0.2">
      <c r="H666"/>
      <c r="T666"/>
    </row>
    <row r="667" spans="8:20" ht="12.75" customHeight="1" x14ac:dyDescent="0.2">
      <c r="H667"/>
      <c r="T667"/>
    </row>
    <row r="668" spans="8:20" ht="12.75" customHeight="1" x14ac:dyDescent="0.2">
      <c r="H668"/>
      <c r="T668"/>
    </row>
    <row r="669" spans="8:20" ht="12.75" customHeight="1" x14ac:dyDescent="0.2">
      <c r="H669"/>
      <c r="T669"/>
    </row>
    <row r="670" spans="8:20" ht="12.75" customHeight="1" x14ac:dyDescent="0.2">
      <c r="H670"/>
      <c r="T670"/>
    </row>
    <row r="671" spans="8:20" ht="12.75" customHeight="1" x14ac:dyDescent="0.2">
      <c r="H671"/>
      <c r="T671"/>
    </row>
    <row r="672" spans="8:20" ht="12.75" customHeight="1" x14ac:dyDescent="0.2">
      <c r="H672"/>
      <c r="T672"/>
    </row>
    <row r="673" spans="8:20" ht="12.75" customHeight="1" x14ac:dyDescent="0.2">
      <c r="H673"/>
      <c r="T673"/>
    </row>
    <row r="674" spans="8:20" ht="12.75" customHeight="1" x14ac:dyDescent="0.2">
      <c r="H674"/>
      <c r="T674"/>
    </row>
    <row r="675" spans="8:20" ht="12.75" customHeight="1" x14ac:dyDescent="0.2">
      <c r="H675"/>
      <c r="T675"/>
    </row>
    <row r="676" spans="8:20" ht="12.75" customHeight="1" x14ac:dyDescent="0.2">
      <c r="H676"/>
      <c r="T676"/>
    </row>
    <row r="677" spans="8:20" ht="12.75" customHeight="1" x14ac:dyDescent="0.2">
      <c r="H677"/>
      <c r="T677"/>
    </row>
    <row r="678" spans="8:20" ht="12.75" customHeight="1" x14ac:dyDescent="0.2">
      <c r="H678"/>
      <c r="T678"/>
    </row>
    <row r="679" spans="8:20" ht="12.75" customHeight="1" x14ac:dyDescent="0.2">
      <c r="H679"/>
      <c r="T679"/>
    </row>
    <row r="680" spans="8:20" ht="12.75" customHeight="1" x14ac:dyDescent="0.2">
      <c r="H680"/>
      <c r="T680"/>
    </row>
    <row r="681" spans="8:20" ht="12.75" customHeight="1" x14ac:dyDescent="0.2">
      <c r="H681"/>
      <c r="T681"/>
    </row>
    <row r="682" spans="8:20" ht="12.75" customHeight="1" x14ac:dyDescent="0.2">
      <c r="H682"/>
      <c r="T682"/>
    </row>
    <row r="683" spans="8:20" ht="12.75" customHeight="1" x14ac:dyDescent="0.2">
      <c r="H683"/>
      <c r="T683"/>
    </row>
    <row r="684" spans="8:20" ht="12.75" customHeight="1" x14ac:dyDescent="0.2">
      <c r="H684"/>
      <c r="T684"/>
    </row>
    <row r="685" spans="8:20" ht="12.75" customHeight="1" x14ac:dyDescent="0.2">
      <c r="H685"/>
      <c r="T685"/>
    </row>
    <row r="686" spans="8:20" ht="12.75" customHeight="1" x14ac:dyDescent="0.2">
      <c r="H686"/>
      <c r="T686"/>
    </row>
    <row r="687" spans="8:20" ht="12.75" customHeight="1" x14ac:dyDescent="0.2">
      <c r="H687"/>
      <c r="T687"/>
    </row>
    <row r="688" spans="8:20" ht="12.75" customHeight="1" x14ac:dyDescent="0.2">
      <c r="H688"/>
      <c r="T688"/>
    </row>
    <row r="689" spans="8:20" ht="12.75" customHeight="1" x14ac:dyDescent="0.2">
      <c r="H689"/>
      <c r="T689"/>
    </row>
    <row r="690" spans="8:20" ht="12.75" customHeight="1" x14ac:dyDescent="0.2">
      <c r="H690"/>
      <c r="T690"/>
    </row>
    <row r="691" spans="8:20" ht="12.75" customHeight="1" x14ac:dyDescent="0.2">
      <c r="H691"/>
      <c r="T691"/>
    </row>
    <row r="692" spans="8:20" ht="12.75" customHeight="1" x14ac:dyDescent="0.2">
      <c r="H692"/>
      <c r="T692"/>
    </row>
    <row r="693" spans="8:20" ht="12.75" customHeight="1" x14ac:dyDescent="0.2">
      <c r="H693"/>
      <c r="T693"/>
    </row>
    <row r="694" spans="8:20" ht="12.75" customHeight="1" x14ac:dyDescent="0.2">
      <c r="H694"/>
      <c r="T694"/>
    </row>
    <row r="695" spans="8:20" ht="12.75" customHeight="1" x14ac:dyDescent="0.2">
      <c r="H695"/>
      <c r="T695"/>
    </row>
    <row r="696" spans="8:20" ht="12.75" customHeight="1" x14ac:dyDescent="0.2">
      <c r="H696"/>
      <c r="T696"/>
    </row>
    <row r="697" spans="8:20" ht="12.75" customHeight="1" x14ac:dyDescent="0.2">
      <c r="H697"/>
      <c r="T697"/>
    </row>
    <row r="698" spans="8:20" ht="12.75" customHeight="1" x14ac:dyDescent="0.2">
      <c r="H698"/>
      <c r="T698"/>
    </row>
    <row r="699" spans="8:20" ht="12.75" customHeight="1" x14ac:dyDescent="0.2">
      <c r="H699"/>
      <c r="T699"/>
    </row>
    <row r="700" spans="8:20" ht="12.75" customHeight="1" x14ac:dyDescent="0.2">
      <c r="H700"/>
      <c r="T700"/>
    </row>
    <row r="701" spans="8:20" ht="12.75" customHeight="1" x14ac:dyDescent="0.2">
      <c r="H701"/>
      <c r="T701"/>
    </row>
    <row r="702" spans="8:20" ht="12.75" customHeight="1" x14ac:dyDescent="0.2">
      <c r="H702"/>
      <c r="T702"/>
    </row>
    <row r="703" spans="8:20" ht="12.75" customHeight="1" x14ac:dyDescent="0.2">
      <c r="H703"/>
      <c r="T703"/>
    </row>
    <row r="704" spans="8:20" ht="12.75" customHeight="1" x14ac:dyDescent="0.2">
      <c r="H704"/>
      <c r="T704"/>
    </row>
    <row r="705" spans="8:20" ht="12.75" customHeight="1" x14ac:dyDescent="0.2">
      <c r="H705"/>
      <c r="T705"/>
    </row>
    <row r="706" spans="8:20" ht="12.75" customHeight="1" x14ac:dyDescent="0.2">
      <c r="H706"/>
      <c r="T706"/>
    </row>
    <row r="707" spans="8:20" ht="12.75" customHeight="1" x14ac:dyDescent="0.2">
      <c r="H707"/>
      <c r="T707"/>
    </row>
    <row r="708" spans="8:20" ht="12.75" customHeight="1" x14ac:dyDescent="0.2">
      <c r="H708"/>
      <c r="T708"/>
    </row>
    <row r="709" spans="8:20" ht="12.75" customHeight="1" x14ac:dyDescent="0.2">
      <c r="H709"/>
      <c r="T709"/>
    </row>
    <row r="710" spans="8:20" ht="12.75" customHeight="1" x14ac:dyDescent="0.2">
      <c r="H710"/>
      <c r="T710"/>
    </row>
    <row r="711" spans="8:20" ht="12.75" customHeight="1" x14ac:dyDescent="0.2">
      <c r="H711"/>
      <c r="T711"/>
    </row>
    <row r="712" spans="8:20" ht="12.75" customHeight="1" x14ac:dyDescent="0.2">
      <c r="H712"/>
      <c r="T712"/>
    </row>
    <row r="713" spans="8:20" ht="12.75" customHeight="1" x14ac:dyDescent="0.2">
      <c r="H713"/>
      <c r="T713"/>
    </row>
    <row r="714" spans="8:20" ht="12.75" customHeight="1" x14ac:dyDescent="0.2">
      <c r="H714"/>
      <c r="T714"/>
    </row>
    <row r="715" spans="8:20" ht="12.75" customHeight="1" x14ac:dyDescent="0.2">
      <c r="H715"/>
      <c r="T715"/>
    </row>
    <row r="716" spans="8:20" ht="12.75" customHeight="1" x14ac:dyDescent="0.2">
      <c r="H716"/>
      <c r="T716"/>
    </row>
    <row r="717" spans="8:20" ht="12.75" customHeight="1" x14ac:dyDescent="0.2">
      <c r="H717"/>
      <c r="T717"/>
    </row>
    <row r="718" spans="8:20" ht="12.75" customHeight="1" x14ac:dyDescent="0.2">
      <c r="H718"/>
      <c r="T718"/>
    </row>
    <row r="719" spans="8:20" ht="12.75" customHeight="1" x14ac:dyDescent="0.2">
      <c r="H719"/>
      <c r="T719"/>
    </row>
    <row r="720" spans="8:20" ht="12.75" customHeight="1" x14ac:dyDescent="0.2">
      <c r="H720"/>
      <c r="T720"/>
    </row>
    <row r="721" spans="8:20" ht="12.75" customHeight="1" x14ac:dyDescent="0.2">
      <c r="H721"/>
      <c r="T721"/>
    </row>
    <row r="722" spans="8:20" ht="12.75" customHeight="1" x14ac:dyDescent="0.2">
      <c r="H722"/>
      <c r="T722"/>
    </row>
    <row r="723" spans="8:20" ht="12.75" customHeight="1" x14ac:dyDescent="0.2">
      <c r="H723"/>
      <c r="T723"/>
    </row>
    <row r="724" spans="8:20" ht="12.75" customHeight="1" x14ac:dyDescent="0.2">
      <c r="H724"/>
      <c r="T724"/>
    </row>
    <row r="725" spans="8:20" ht="12.75" customHeight="1" x14ac:dyDescent="0.2">
      <c r="H725"/>
      <c r="T725"/>
    </row>
    <row r="726" spans="8:20" ht="12.75" customHeight="1" x14ac:dyDescent="0.2">
      <c r="H726"/>
      <c r="T726"/>
    </row>
    <row r="727" spans="8:20" ht="12.75" customHeight="1" x14ac:dyDescent="0.2">
      <c r="H727"/>
      <c r="T727"/>
    </row>
    <row r="728" spans="8:20" ht="12.75" customHeight="1" x14ac:dyDescent="0.2">
      <c r="H728"/>
      <c r="T728"/>
    </row>
    <row r="729" spans="8:20" ht="12.75" customHeight="1" x14ac:dyDescent="0.2">
      <c r="H729"/>
      <c r="T729"/>
    </row>
    <row r="730" spans="8:20" ht="12.75" customHeight="1" x14ac:dyDescent="0.2">
      <c r="H730"/>
      <c r="T730"/>
    </row>
    <row r="731" spans="8:20" ht="12.75" customHeight="1" x14ac:dyDescent="0.2">
      <c r="H731"/>
      <c r="T731"/>
    </row>
    <row r="732" spans="8:20" ht="12.75" customHeight="1" x14ac:dyDescent="0.2">
      <c r="H732"/>
      <c r="T732"/>
    </row>
    <row r="733" spans="8:20" ht="12.75" customHeight="1" x14ac:dyDescent="0.2">
      <c r="H733"/>
      <c r="T733"/>
    </row>
    <row r="734" spans="8:20" ht="12.75" customHeight="1" x14ac:dyDescent="0.2">
      <c r="H734"/>
      <c r="T734"/>
    </row>
    <row r="735" spans="8:20" ht="12.75" customHeight="1" x14ac:dyDescent="0.2">
      <c r="H735"/>
      <c r="T735"/>
    </row>
    <row r="736" spans="8:20" ht="12.75" customHeight="1" x14ac:dyDescent="0.2">
      <c r="H736"/>
      <c r="T736"/>
    </row>
    <row r="737" spans="8:20" ht="12.75" customHeight="1" x14ac:dyDescent="0.2">
      <c r="H737"/>
      <c r="T737"/>
    </row>
    <row r="738" spans="8:20" ht="12.75" customHeight="1" x14ac:dyDescent="0.2">
      <c r="H738"/>
      <c r="T738"/>
    </row>
    <row r="739" spans="8:20" ht="12.75" customHeight="1" x14ac:dyDescent="0.2">
      <c r="H739"/>
      <c r="T739"/>
    </row>
    <row r="740" spans="8:20" ht="12.75" customHeight="1" x14ac:dyDescent="0.2">
      <c r="H740"/>
      <c r="T740"/>
    </row>
    <row r="741" spans="8:20" ht="12.75" customHeight="1" x14ac:dyDescent="0.2">
      <c r="H741"/>
      <c r="T741"/>
    </row>
    <row r="742" spans="8:20" ht="12.75" customHeight="1" x14ac:dyDescent="0.2">
      <c r="H742"/>
      <c r="T742"/>
    </row>
    <row r="743" spans="8:20" ht="12.75" customHeight="1" x14ac:dyDescent="0.2">
      <c r="H743"/>
      <c r="T743"/>
    </row>
    <row r="744" spans="8:20" ht="12.75" customHeight="1" x14ac:dyDescent="0.2">
      <c r="H744"/>
      <c r="T744"/>
    </row>
    <row r="745" spans="8:20" ht="12.75" customHeight="1" x14ac:dyDescent="0.2">
      <c r="H745"/>
      <c r="T745"/>
    </row>
    <row r="746" spans="8:20" ht="12.75" customHeight="1" x14ac:dyDescent="0.2">
      <c r="H746"/>
      <c r="T746"/>
    </row>
    <row r="747" spans="8:20" ht="12.75" customHeight="1" x14ac:dyDescent="0.2">
      <c r="H747"/>
      <c r="T747"/>
    </row>
    <row r="748" spans="8:20" ht="12.75" customHeight="1" x14ac:dyDescent="0.2">
      <c r="H748"/>
      <c r="T748"/>
    </row>
    <row r="749" spans="8:20" ht="12.75" customHeight="1" x14ac:dyDescent="0.2">
      <c r="H749"/>
      <c r="T749"/>
    </row>
    <row r="750" spans="8:20" ht="12.75" customHeight="1" x14ac:dyDescent="0.2">
      <c r="H750"/>
      <c r="T750"/>
    </row>
    <row r="751" spans="8:20" ht="12.75" customHeight="1" x14ac:dyDescent="0.2">
      <c r="H751"/>
      <c r="T751"/>
    </row>
    <row r="752" spans="8:20" ht="12.75" customHeight="1" x14ac:dyDescent="0.2">
      <c r="H752"/>
      <c r="T752"/>
    </row>
    <row r="753" spans="8:20" ht="12.75" customHeight="1" x14ac:dyDescent="0.2">
      <c r="H753"/>
      <c r="T753"/>
    </row>
    <row r="754" spans="8:20" ht="12.75" customHeight="1" x14ac:dyDescent="0.2">
      <c r="H754"/>
      <c r="T754"/>
    </row>
    <row r="755" spans="8:20" ht="12.75" customHeight="1" x14ac:dyDescent="0.2">
      <c r="H755"/>
      <c r="T755"/>
    </row>
    <row r="756" spans="8:20" ht="12.75" customHeight="1" x14ac:dyDescent="0.2">
      <c r="H756"/>
      <c r="T756"/>
    </row>
    <row r="757" spans="8:20" ht="12.75" customHeight="1" x14ac:dyDescent="0.2">
      <c r="H757"/>
      <c r="T757"/>
    </row>
    <row r="758" spans="8:20" ht="12.75" customHeight="1" x14ac:dyDescent="0.2">
      <c r="H758"/>
      <c r="T758"/>
    </row>
    <row r="759" spans="8:20" ht="12.75" customHeight="1" x14ac:dyDescent="0.2">
      <c r="H759"/>
      <c r="T759"/>
    </row>
    <row r="760" spans="8:20" ht="12.75" customHeight="1" x14ac:dyDescent="0.2">
      <c r="H760"/>
      <c r="T760"/>
    </row>
    <row r="761" spans="8:20" ht="12.75" customHeight="1" x14ac:dyDescent="0.2">
      <c r="H761"/>
      <c r="T761"/>
    </row>
    <row r="762" spans="8:20" ht="12.75" customHeight="1" x14ac:dyDescent="0.2">
      <c r="H762"/>
      <c r="T762"/>
    </row>
    <row r="763" spans="8:20" ht="12.75" customHeight="1" x14ac:dyDescent="0.2">
      <c r="H763"/>
      <c r="T763"/>
    </row>
    <row r="764" spans="8:20" ht="12.75" customHeight="1" x14ac:dyDescent="0.2">
      <c r="H764"/>
      <c r="T764"/>
    </row>
    <row r="765" spans="8:20" ht="12.75" customHeight="1" x14ac:dyDescent="0.2">
      <c r="H765"/>
      <c r="T765"/>
    </row>
    <row r="766" spans="8:20" ht="12.75" customHeight="1" x14ac:dyDescent="0.2">
      <c r="H766"/>
      <c r="T766"/>
    </row>
    <row r="767" spans="8:20" ht="12.75" customHeight="1" x14ac:dyDescent="0.2">
      <c r="H767"/>
      <c r="T767"/>
    </row>
    <row r="768" spans="8:20" ht="12.75" customHeight="1" x14ac:dyDescent="0.2">
      <c r="H768"/>
      <c r="T768"/>
    </row>
    <row r="769" spans="8:20" ht="12.75" customHeight="1" x14ac:dyDescent="0.2">
      <c r="H769"/>
      <c r="T769"/>
    </row>
    <row r="770" spans="8:20" ht="12.75" customHeight="1" x14ac:dyDescent="0.2">
      <c r="H770"/>
      <c r="T770"/>
    </row>
    <row r="771" spans="8:20" ht="12.75" customHeight="1" x14ac:dyDescent="0.2">
      <c r="H771"/>
      <c r="T771"/>
    </row>
    <row r="772" spans="8:20" ht="12.75" customHeight="1" x14ac:dyDescent="0.2">
      <c r="H772"/>
      <c r="T772"/>
    </row>
    <row r="773" spans="8:20" ht="12.75" customHeight="1" x14ac:dyDescent="0.2">
      <c r="H773"/>
      <c r="T773"/>
    </row>
    <row r="774" spans="8:20" ht="12.75" customHeight="1" x14ac:dyDescent="0.2">
      <c r="H774"/>
      <c r="T774"/>
    </row>
    <row r="775" spans="8:20" ht="12.75" customHeight="1" x14ac:dyDescent="0.2">
      <c r="H775"/>
      <c r="T775"/>
    </row>
    <row r="776" spans="8:20" ht="12.75" customHeight="1" x14ac:dyDescent="0.2">
      <c r="H776"/>
      <c r="T776"/>
    </row>
    <row r="777" spans="8:20" ht="12.75" customHeight="1" x14ac:dyDescent="0.2">
      <c r="H777"/>
      <c r="T777"/>
    </row>
    <row r="778" spans="8:20" ht="12.75" customHeight="1" x14ac:dyDescent="0.2">
      <c r="H778"/>
      <c r="T778"/>
    </row>
    <row r="779" spans="8:20" ht="12.75" customHeight="1" x14ac:dyDescent="0.2">
      <c r="H779"/>
      <c r="T779"/>
    </row>
    <row r="780" spans="8:20" ht="12.75" customHeight="1" x14ac:dyDescent="0.2">
      <c r="H780"/>
      <c r="T780"/>
    </row>
    <row r="781" spans="8:20" ht="12.75" customHeight="1" x14ac:dyDescent="0.2">
      <c r="H781"/>
      <c r="T781"/>
    </row>
    <row r="782" spans="8:20" ht="12.75" customHeight="1" x14ac:dyDescent="0.2">
      <c r="H782"/>
      <c r="T782"/>
    </row>
    <row r="783" spans="8:20" ht="12.75" customHeight="1" x14ac:dyDescent="0.2">
      <c r="H783"/>
      <c r="T783"/>
    </row>
    <row r="784" spans="8:20" ht="12.75" customHeight="1" x14ac:dyDescent="0.2">
      <c r="H784"/>
      <c r="T784"/>
    </row>
    <row r="785" spans="8:20" ht="12.75" customHeight="1" x14ac:dyDescent="0.2">
      <c r="H785"/>
      <c r="T785"/>
    </row>
    <row r="786" spans="8:20" ht="12.75" customHeight="1" x14ac:dyDescent="0.2">
      <c r="H786"/>
      <c r="T786"/>
    </row>
    <row r="787" spans="8:20" ht="12.75" customHeight="1" x14ac:dyDescent="0.2">
      <c r="H787"/>
      <c r="T787"/>
    </row>
    <row r="788" spans="8:20" ht="12.75" customHeight="1" x14ac:dyDescent="0.2">
      <c r="H788"/>
      <c r="T788"/>
    </row>
    <row r="789" spans="8:20" ht="12.75" customHeight="1" x14ac:dyDescent="0.2">
      <c r="H789"/>
      <c r="T789"/>
    </row>
    <row r="790" spans="8:20" ht="12.75" customHeight="1" x14ac:dyDescent="0.2">
      <c r="H790"/>
      <c r="T790"/>
    </row>
    <row r="791" spans="8:20" ht="12.75" customHeight="1" x14ac:dyDescent="0.2">
      <c r="H791"/>
      <c r="T791"/>
    </row>
    <row r="792" spans="8:20" ht="12.75" customHeight="1" x14ac:dyDescent="0.2">
      <c r="H792"/>
      <c r="T792"/>
    </row>
    <row r="793" spans="8:20" ht="12.75" customHeight="1" x14ac:dyDescent="0.2">
      <c r="H793"/>
      <c r="T793"/>
    </row>
    <row r="794" spans="8:20" ht="12.75" customHeight="1" x14ac:dyDescent="0.2">
      <c r="H794"/>
      <c r="T794"/>
    </row>
    <row r="795" spans="8:20" ht="12.75" customHeight="1" x14ac:dyDescent="0.2">
      <c r="H795"/>
      <c r="T795"/>
    </row>
    <row r="796" spans="8:20" ht="12.75" customHeight="1" x14ac:dyDescent="0.2">
      <c r="H796"/>
      <c r="T796"/>
    </row>
    <row r="797" spans="8:20" ht="12.75" customHeight="1" x14ac:dyDescent="0.2">
      <c r="H797"/>
      <c r="T797"/>
    </row>
    <row r="798" spans="8:20" ht="12.75" customHeight="1" x14ac:dyDescent="0.2">
      <c r="H798"/>
      <c r="T798"/>
    </row>
    <row r="799" spans="8:20" ht="12.75" customHeight="1" x14ac:dyDescent="0.2">
      <c r="H799"/>
      <c r="T799"/>
    </row>
    <row r="800" spans="8:20" ht="12.75" customHeight="1" x14ac:dyDescent="0.2">
      <c r="H800"/>
      <c r="T800"/>
    </row>
    <row r="801" spans="8:20" ht="12.75" customHeight="1" x14ac:dyDescent="0.2">
      <c r="H801"/>
      <c r="T801"/>
    </row>
    <row r="802" spans="8:20" ht="12.75" customHeight="1" x14ac:dyDescent="0.2">
      <c r="H802"/>
      <c r="T802"/>
    </row>
    <row r="803" spans="8:20" ht="12.75" customHeight="1" x14ac:dyDescent="0.2">
      <c r="H803"/>
      <c r="T803"/>
    </row>
    <row r="804" spans="8:20" ht="12.75" customHeight="1" x14ac:dyDescent="0.2">
      <c r="H804"/>
      <c r="T804"/>
    </row>
    <row r="805" spans="8:20" ht="12.75" customHeight="1" x14ac:dyDescent="0.2">
      <c r="H805"/>
      <c r="T805"/>
    </row>
    <row r="806" spans="8:20" ht="12.75" customHeight="1" x14ac:dyDescent="0.2">
      <c r="H806"/>
      <c r="T806"/>
    </row>
    <row r="807" spans="8:20" ht="12.75" customHeight="1" x14ac:dyDescent="0.2">
      <c r="H807"/>
      <c r="T807"/>
    </row>
    <row r="808" spans="8:20" ht="12.75" customHeight="1" x14ac:dyDescent="0.2">
      <c r="H808"/>
      <c r="T808"/>
    </row>
    <row r="809" spans="8:20" ht="12.75" customHeight="1" x14ac:dyDescent="0.2">
      <c r="H809"/>
      <c r="T809"/>
    </row>
    <row r="810" spans="8:20" ht="12.75" customHeight="1" x14ac:dyDescent="0.2">
      <c r="H810"/>
      <c r="T810"/>
    </row>
    <row r="811" spans="8:20" ht="12.75" customHeight="1" x14ac:dyDescent="0.2">
      <c r="H811"/>
      <c r="T811"/>
    </row>
    <row r="812" spans="8:20" ht="12.75" customHeight="1" x14ac:dyDescent="0.2">
      <c r="H812"/>
      <c r="T812"/>
    </row>
    <row r="813" spans="8:20" ht="12.75" customHeight="1" x14ac:dyDescent="0.2">
      <c r="H813"/>
      <c r="T813"/>
    </row>
    <row r="814" spans="8:20" ht="12.75" customHeight="1" x14ac:dyDescent="0.2">
      <c r="H814"/>
      <c r="T814"/>
    </row>
    <row r="815" spans="8:20" ht="12.75" customHeight="1" x14ac:dyDescent="0.2">
      <c r="H815"/>
      <c r="T815"/>
    </row>
    <row r="816" spans="8:20" ht="12.75" customHeight="1" x14ac:dyDescent="0.2">
      <c r="H816"/>
      <c r="T816"/>
    </row>
    <row r="817" spans="8:20" ht="12.75" customHeight="1" x14ac:dyDescent="0.2">
      <c r="H817"/>
      <c r="T817"/>
    </row>
    <row r="818" spans="8:20" ht="12.75" customHeight="1" x14ac:dyDescent="0.2">
      <c r="H818"/>
      <c r="T818"/>
    </row>
    <row r="819" spans="8:20" ht="12.75" customHeight="1" x14ac:dyDescent="0.2">
      <c r="H819"/>
      <c r="T819"/>
    </row>
    <row r="820" spans="8:20" ht="12.75" customHeight="1" x14ac:dyDescent="0.2">
      <c r="H820"/>
      <c r="T820"/>
    </row>
    <row r="821" spans="8:20" ht="12.75" customHeight="1" x14ac:dyDescent="0.2">
      <c r="H821"/>
      <c r="T821"/>
    </row>
    <row r="822" spans="8:20" ht="12.75" customHeight="1" x14ac:dyDescent="0.2">
      <c r="H822"/>
      <c r="T822"/>
    </row>
    <row r="823" spans="8:20" ht="12.75" customHeight="1" x14ac:dyDescent="0.2">
      <c r="H823"/>
      <c r="T823"/>
    </row>
    <row r="824" spans="8:20" ht="12.75" customHeight="1" x14ac:dyDescent="0.2">
      <c r="H824"/>
      <c r="T824"/>
    </row>
    <row r="825" spans="8:20" ht="12.75" customHeight="1" x14ac:dyDescent="0.2">
      <c r="H825"/>
      <c r="T825"/>
    </row>
    <row r="826" spans="8:20" ht="12.75" customHeight="1" x14ac:dyDescent="0.2">
      <c r="H826"/>
      <c r="T826"/>
    </row>
    <row r="827" spans="8:20" ht="12.75" customHeight="1" x14ac:dyDescent="0.2">
      <c r="H827"/>
      <c r="T827"/>
    </row>
    <row r="828" spans="8:20" ht="12.75" customHeight="1" x14ac:dyDescent="0.2">
      <c r="H828"/>
      <c r="T828"/>
    </row>
    <row r="829" spans="8:20" ht="12.75" customHeight="1" x14ac:dyDescent="0.2">
      <c r="H829"/>
      <c r="T829"/>
    </row>
    <row r="830" spans="8:20" ht="12.75" customHeight="1" x14ac:dyDescent="0.2">
      <c r="H830"/>
      <c r="T830"/>
    </row>
    <row r="831" spans="8:20" ht="12.75" customHeight="1" x14ac:dyDescent="0.2">
      <c r="H831"/>
      <c r="T831"/>
    </row>
    <row r="832" spans="8:20" ht="12.75" customHeight="1" x14ac:dyDescent="0.2">
      <c r="H832"/>
      <c r="T832"/>
    </row>
    <row r="833" spans="8:20" ht="12.75" customHeight="1" x14ac:dyDescent="0.2">
      <c r="H833"/>
      <c r="T833"/>
    </row>
    <row r="834" spans="8:20" ht="12.75" customHeight="1" x14ac:dyDescent="0.2">
      <c r="H834"/>
      <c r="T834"/>
    </row>
    <row r="835" spans="8:20" ht="12.75" customHeight="1" x14ac:dyDescent="0.2">
      <c r="H835"/>
      <c r="T835"/>
    </row>
    <row r="836" spans="8:20" ht="12.75" customHeight="1" x14ac:dyDescent="0.2">
      <c r="H836"/>
      <c r="T836"/>
    </row>
    <row r="837" spans="8:20" ht="12.75" customHeight="1" x14ac:dyDescent="0.2">
      <c r="H837"/>
      <c r="T837"/>
    </row>
    <row r="838" spans="8:20" ht="12.75" customHeight="1" x14ac:dyDescent="0.2">
      <c r="H838"/>
      <c r="T838"/>
    </row>
    <row r="839" spans="8:20" ht="12.75" customHeight="1" x14ac:dyDescent="0.2">
      <c r="H839"/>
      <c r="T839"/>
    </row>
    <row r="840" spans="8:20" ht="12.75" customHeight="1" x14ac:dyDescent="0.2">
      <c r="H840"/>
      <c r="T840"/>
    </row>
    <row r="841" spans="8:20" ht="12.75" customHeight="1" x14ac:dyDescent="0.2">
      <c r="H841"/>
      <c r="T841"/>
    </row>
    <row r="842" spans="8:20" ht="12.75" customHeight="1" x14ac:dyDescent="0.2">
      <c r="H842"/>
      <c r="T842"/>
    </row>
    <row r="843" spans="8:20" ht="12.75" customHeight="1" x14ac:dyDescent="0.2">
      <c r="H843"/>
      <c r="T843"/>
    </row>
    <row r="844" spans="8:20" ht="12.75" customHeight="1" x14ac:dyDescent="0.2">
      <c r="H844"/>
      <c r="T844"/>
    </row>
    <row r="845" spans="8:20" ht="12.75" customHeight="1" x14ac:dyDescent="0.2">
      <c r="H845"/>
      <c r="T845"/>
    </row>
    <row r="846" spans="8:20" ht="12.75" customHeight="1" x14ac:dyDescent="0.2">
      <c r="H846"/>
      <c r="T846"/>
    </row>
    <row r="847" spans="8:20" ht="12.75" customHeight="1" x14ac:dyDescent="0.2">
      <c r="H847"/>
      <c r="T847"/>
    </row>
    <row r="848" spans="8:20" ht="12.75" customHeight="1" x14ac:dyDescent="0.2">
      <c r="H848"/>
      <c r="T848"/>
    </row>
    <row r="849" spans="8:20" ht="12.75" customHeight="1" x14ac:dyDescent="0.2">
      <c r="H849"/>
      <c r="T849"/>
    </row>
    <row r="850" spans="8:20" ht="12.75" customHeight="1" x14ac:dyDescent="0.2">
      <c r="H850"/>
      <c r="T850"/>
    </row>
    <row r="851" spans="8:20" ht="12.75" customHeight="1" x14ac:dyDescent="0.2">
      <c r="H851"/>
      <c r="T851"/>
    </row>
    <row r="852" spans="8:20" ht="12.75" customHeight="1" x14ac:dyDescent="0.2">
      <c r="H852"/>
      <c r="T852"/>
    </row>
    <row r="853" spans="8:20" ht="12.75" customHeight="1" x14ac:dyDescent="0.2">
      <c r="H853"/>
      <c r="T853"/>
    </row>
    <row r="854" spans="8:20" ht="12.75" customHeight="1" x14ac:dyDescent="0.2">
      <c r="H854"/>
      <c r="T854"/>
    </row>
    <row r="855" spans="8:20" ht="12.75" customHeight="1" x14ac:dyDescent="0.2">
      <c r="H855"/>
      <c r="T855"/>
    </row>
    <row r="856" spans="8:20" ht="12.75" customHeight="1" x14ac:dyDescent="0.2">
      <c r="H856"/>
      <c r="T856"/>
    </row>
    <row r="857" spans="8:20" ht="12.75" customHeight="1" x14ac:dyDescent="0.2">
      <c r="H857"/>
      <c r="T857"/>
    </row>
    <row r="858" spans="8:20" ht="12.75" customHeight="1" x14ac:dyDescent="0.2">
      <c r="H858"/>
      <c r="T858"/>
    </row>
    <row r="859" spans="8:20" ht="12.75" customHeight="1" x14ac:dyDescent="0.2">
      <c r="H859"/>
      <c r="T859"/>
    </row>
    <row r="860" spans="8:20" ht="12.75" customHeight="1" x14ac:dyDescent="0.2">
      <c r="H860"/>
      <c r="T860"/>
    </row>
    <row r="861" spans="8:20" ht="12.75" customHeight="1" x14ac:dyDescent="0.2">
      <c r="H861"/>
      <c r="T861"/>
    </row>
    <row r="862" spans="8:20" ht="12.75" customHeight="1" x14ac:dyDescent="0.2">
      <c r="H862"/>
      <c r="T862"/>
    </row>
    <row r="863" spans="8:20" ht="12.75" customHeight="1" x14ac:dyDescent="0.2">
      <c r="H863"/>
      <c r="T863"/>
    </row>
    <row r="864" spans="8:20" ht="12.75" customHeight="1" x14ac:dyDescent="0.2">
      <c r="H864"/>
      <c r="T864"/>
    </row>
    <row r="865" spans="8:20" ht="12.75" customHeight="1" x14ac:dyDescent="0.2">
      <c r="H865"/>
      <c r="T865"/>
    </row>
    <row r="866" spans="8:20" ht="12.75" customHeight="1" x14ac:dyDescent="0.2">
      <c r="H866"/>
      <c r="T866"/>
    </row>
    <row r="867" spans="8:20" ht="12.75" customHeight="1" x14ac:dyDescent="0.2">
      <c r="H867"/>
      <c r="T867"/>
    </row>
    <row r="868" spans="8:20" ht="12.75" customHeight="1" x14ac:dyDescent="0.2">
      <c r="H868"/>
      <c r="T868"/>
    </row>
    <row r="869" spans="8:20" x14ac:dyDescent="0.2">
      <c r="H869"/>
      <c r="T869"/>
    </row>
    <row r="870" spans="8:20" x14ac:dyDescent="0.2">
      <c r="H870"/>
      <c r="T870"/>
    </row>
    <row r="871" spans="8:20" x14ac:dyDescent="0.2">
      <c r="H871"/>
      <c r="T871"/>
    </row>
    <row r="872" spans="8:20" x14ac:dyDescent="0.2">
      <c r="H872"/>
      <c r="T872"/>
    </row>
    <row r="873" spans="8:20" x14ac:dyDescent="0.2">
      <c r="H873"/>
      <c r="T87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I563"/>
  <sheetViews>
    <sheetView showGridLines="0" showRowColHeaders="0" workbookViewId="0">
      <pane xSplit="1" ySplit="1" topLeftCell="B2" activePane="bottomRight" state="frozen"/>
      <selection pane="topRight" activeCell="B1" sqref="B1"/>
      <selection pane="bottomLeft" activeCell="A7" sqref="A7"/>
      <selection pane="bottomRight" activeCell="F41" sqref="F41"/>
    </sheetView>
  </sheetViews>
  <sheetFormatPr defaultColWidth="10.7109375" defaultRowHeight="12.75" x14ac:dyDescent="0.2"/>
  <cols>
    <col min="1" max="1" width="11" customWidth="1"/>
    <col min="2" max="2" width="16.28515625" customWidth="1"/>
    <col min="3" max="5" width="13.7109375" customWidth="1"/>
    <col min="6" max="7" width="13.42578125" customWidth="1"/>
    <col min="8" max="9" width="13.5703125" customWidth="1"/>
    <col min="10" max="10" width="13.42578125" style="14" customWidth="1"/>
    <col min="11" max="11" width="13.7109375" customWidth="1"/>
    <col min="12" max="12" width="13.28515625" customWidth="1"/>
    <col min="13" max="13" width="14.28515625" customWidth="1"/>
    <col min="14" max="14" width="12.28515625" style="1" customWidth="1"/>
    <col min="15" max="15" width="11" customWidth="1"/>
  </cols>
  <sheetData>
    <row r="1" spans="1:35" s="4" customFormat="1" ht="15.75" x14ac:dyDescent="0.25">
      <c r="A1" s="99" t="s">
        <v>21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</row>
    <row r="2" spans="1:35" s="14" customFormat="1" ht="12.75" customHeight="1" x14ac:dyDescent="0.2">
      <c r="A2" s="5" t="s">
        <v>1</v>
      </c>
      <c r="B2" s="36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</row>
    <row r="3" spans="1:35" s="2" customFormat="1" ht="12.75" customHeight="1" x14ac:dyDescent="0.25">
      <c r="A3" s="71"/>
      <c r="B3" s="42"/>
      <c r="C3" s="27"/>
      <c r="D3" s="27"/>
      <c r="E3" s="72"/>
      <c r="F3" s="73"/>
      <c r="G3" s="26"/>
      <c r="H3" s="27"/>
      <c r="I3" s="27"/>
      <c r="J3" s="73"/>
      <c r="K3" s="71"/>
      <c r="L3" s="71"/>
      <c r="M3" s="45"/>
      <c r="N3" s="46"/>
      <c r="O3" s="28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</row>
    <row r="4" spans="1:35" s="2" customFormat="1" ht="12.75" customHeight="1" x14ac:dyDescent="0.25">
      <c r="A4" s="3"/>
      <c r="B4" s="43" t="s">
        <v>22</v>
      </c>
      <c r="C4" s="37"/>
      <c r="D4" s="39"/>
      <c r="E4" s="39"/>
      <c r="F4" s="38"/>
      <c r="G4" s="39" t="s">
        <v>34</v>
      </c>
      <c r="H4" s="39"/>
      <c r="I4" s="40"/>
      <c r="J4" s="47"/>
      <c r="K4" s="39"/>
      <c r="L4" s="39"/>
      <c r="M4" s="48"/>
      <c r="N4" s="49" t="s">
        <v>3</v>
      </c>
      <c r="O4" s="17" t="s">
        <v>23</v>
      </c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</row>
    <row r="5" spans="1:35" s="2" customFormat="1" ht="12.75" customHeight="1" x14ac:dyDescent="0.25">
      <c r="A5" s="3"/>
      <c r="B5" s="50" t="s">
        <v>24</v>
      </c>
      <c r="C5" s="51"/>
      <c r="D5" s="52"/>
      <c r="E5" s="53" t="s">
        <v>25</v>
      </c>
      <c r="F5" s="54" t="s">
        <v>3</v>
      </c>
      <c r="G5" s="50" t="s">
        <v>24</v>
      </c>
      <c r="H5" s="55"/>
      <c r="I5" s="56"/>
      <c r="J5" s="53" t="s">
        <v>7</v>
      </c>
      <c r="K5" s="16" t="s">
        <v>8</v>
      </c>
      <c r="L5" s="16" t="s">
        <v>25</v>
      </c>
      <c r="M5" s="54" t="s">
        <v>3</v>
      </c>
      <c r="N5" s="49" t="s">
        <v>27</v>
      </c>
      <c r="O5" s="17" t="s">
        <v>6</v>
      </c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</row>
    <row r="6" spans="1:35" s="2" customFormat="1" ht="12.75" customHeight="1" x14ac:dyDescent="0.25">
      <c r="A6" s="3"/>
      <c r="B6" s="44"/>
      <c r="C6" s="40"/>
      <c r="D6" s="41"/>
      <c r="E6" s="17" t="s">
        <v>28</v>
      </c>
      <c r="F6" s="57" t="s">
        <v>27</v>
      </c>
      <c r="G6" s="40"/>
      <c r="H6" s="40"/>
      <c r="I6" s="41"/>
      <c r="J6" s="17" t="s">
        <v>11</v>
      </c>
      <c r="K6" s="17" t="s">
        <v>35</v>
      </c>
      <c r="L6" s="17" t="s">
        <v>28</v>
      </c>
      <c r="M6" s="57" t="s">
        <v>27</v>
      </c>
      <c r="N6" s="17" t="s">
        <v>28</v>
      </c>
      <c r="O6" s="17" t="s">
        <v>29</v>
      </c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</row>
    <row r="7" spans="1:35" s="2" customFormat="1" ht="12.75" customHeight="1" x14ac:dyDescent="0.25">
      <c r="A7" s="3"/>
      <c r="B7" s="21" t="s">
        <v>30</v>
      </c>
      <c r="C7" s="22" t="s">
        <v>31</v>
      </c>
      <c r="D7" s="19" t="s">
        <v>3</v>
      </c>
      <c r="E7" s="17" t="s">
        <v>32</v>
      </c>
      <c r="F7" s="57" t="s">
        <v>28</v>
      </c>
      <c r="G7" s="22" t="s">
        <v>30</v>
      </c>
      <c r="H7" s="22" t="s">
        <v>31</v>
      </c>
      <c r="I7" s="19" t="s">
        <v>3</v>
      </c>
      <c r="J7" s="17" t="s">
        <v>16</v>
      </c>
      <c r="K7" s="17" t="s">
        <v>36</v>
      </c>
      <c r="L7" s="17" t="s">
        <v>32</v>
      </c>
      <c r="M7" s="57" t="s">
        <v>28</v>
      </c>
      <c r="N7" s="17" t="s">
        <v>32</v>
      </c>
      <c r="O7" s="17" t="s">
        <v>32</v>
      </c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</row>
    <row r="8" spans="1:35" s="2" customFormat="1" ht="12.75" customHeight="1" x14ac:dyDescent="0.25">
      <c r="A8" s="58"/>
      <c r="B8" s="23"/>
      <c r="C8" s="24" t="s">
        <v>33</v>
      </c>
      <c r="D8" s="25"/>
      <c r="E8" s="18"/>
      <c r="F8" s="15" t="s">
        <v>32</v>
      </c>
      <c r="G8" s="58"/>
      <c r="H8" s="24" t="s">
        <v>33</v>
      </c>
      <c r="I8" s="25"/>
      <c r="J8" s="18"/>
      <c r="K8" s="18"/>
      <c r="L8" s="18"/>
      <c r="M8" s="15" t="s">
        <v>32</v>
      </c>
      <c r="N8" s="59"/>
      <c r="O8" s="18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</row>
    <row r="9" spans="1:35" s="14" customFormat="1" ht="12.75" customHeight="1" x14ac:dyDescent="0.2">
      <c r="A9" s="35"/>
      <c r="B9" s="103"/>
      <c r="C9" s="104"/>
      <c r="D9" s="105"/>
      <c r="E9" s="82"/>
      <c r="F9" s="82"/>
      <c r="G9" s="103"/>
      <c r="H9" s="104"/>
      <c r="I9" s="105"/>
      <c r="J9" s="82"/>
      <c r="K9" s="82"/>
      <c r="L9" s="82"/>
      <c r="M9" s="82"/>
      <c r="N9" s="82"/>
      <c r="O9" s="101"/>
    </row>
    <row r="10" spans="1:35" s="14" customFormat="1" ht="12.75" customHeight="1" x14ac:dyDescent="0.2">
      <c r="A10" s="98">
        <v>36463</v>
      </c>
      <c r="B10" s="82"/>
      <c r="C10" s="82"/>
      <c r="D10" s="82">
        <v>5212</v>
      </c>
      <c r="E10" s="82"/>
      <c r="F10" s="82"/>
      <c r="G10" s="82"/>
      <c r="H10" s="82"/>
      <c r="I10" s="82">
        <v>2296</v>
      </c>
      <c r="J10" s="82">
        <v>896</v>
      </c>
      <c r="K10" s="82">
        <v>10.199999999999999</v>
      </c>
      <c r="L10" s="82"/>
      <c r="M10" s="82"/>
      <c r="N10" s="82">
        <v>8414.2000000000007</v>
      </c>
      <c r="O10" s="100"/>
    </row>
    <row r="11" spans="1:35" s="14" customFormat="1" ht="12.75" customHeight="1" x14ac:dyDescent="0.2">
      <c r="A11" s="98">
        <v>36494</v>
      </c>
      <c r="B11" s="82"/>
      <c r="C11" s="82"/>
      <c r="D11" s="82">
        <v>5481</v>
      </c>
      <c r="E11" s="82"/>
      <c r="F11" s="82"/>
      <c r="G11" s="82"/>
      <c r="H11" s="82"/>
      <c r="I11" s="82">
        <v>2349.1999999999998</v>
      </c>
      <c r="J11" s="82">
        <v>844.1</v>
      </c>
      <c r="K11" s="82">
        <v>13.3</v>
      </c>
      <c r="L11" s="82"/>
      <c r="M11" s="82"/>
      <c r="N11" s="82">
        <v>8687.6</v>
      </c>
      <c r="O11" s="100"/>
    </row>
    <row r="12" spans="1:35" s="14" customFormat="1" ht="12.75" customHeight="1" x14ac:dyDescent="0.2">
      <c r="A12" s="98">
        <v>36524</v>
      </c>
      <c r="B12" s="82"/>
      <c r="C12" s="82"/>
      <c r="D12" s="82">
        <v>5359.5</v>
      </c>
      <c r="E12" s="82"/>
      <c r="F12" s="82"/>
      <c r="G12" s="82"/>
      <c r="H12" s="82"/>
      <c r="I12" s="82">
        <v>2333.1999999999998</v>
      </c>
      <c r="J12" s="82">
        <v>808.5</v>
      </c>
      <c r="K12" s="82">
        <v>13.1</v>
      </c>
      <c r="L12" s="82"/>
      <c r="M12" s="82"/>
      <c r="N12" s="82">
        <v>8514.2000000000007</v>
      </c>
      <c r="O12" s="100"/>
    </row>
    <row r="13" spans="1:35" s="14" customFormat="1" ht="12.75" customHeight="1" x14ac:dyDescent="0.2">
      <c r="B13" s="82"/>
      <c r="C13" s="82"/>
      <c r="D13" s="82"/>
      <c r="E13" s="82"/>
      <c r="F13" s="82"/>
      <c r="G13" s="82"/>
      <c r="H13" s="82"/>
      <c r="I13" s="82"/>
      <c r="J13" s="82"/>
      <c r="K13" s="82"/>
      <c r="L13" s="82"/>
      <c r="M13" s="82"/>
      <c r="N13" s="82"/>
      <c r="O13" s="100"/>
    </row>
    <row r="14" spans="1:35" s="14" customFormat="1" ht="12.75" customHeight="1" x14ac:dyDescent="0.2">
      <c r="A14" s="98">
        <v>36555</v>
      </c>
      <c r="B14" s="82"/>
      <c r="C14" s="82"/>
      <c r="D14" s="82">
        <v>5228.8</v>
      </c>
      <c r="E14" s="82"/>
      <c r="F14" s="82"/>
      <c r="G14" s="82"/>
      <c r="H14" s="82"/>
      <c r="I14" s="82">
        <v>2368.8000000000002</v>
      </c>
      <c r="J14" s="82">
        <v>854.2</v>
      </c>
      <c r="K14" s="82">
        <v>13.6</v>
      </c>
      <c r="L14" s="82"/>
      <c r="M14" s="82"/>
      <c r="N14" s="82">
        <v>8465.4</v>
      </c>
      <c r="O14" s="100"/>
    </row>
    <row r="15" spans="1:35" ht="12.75" customHeight="1" x14ac:dyDescent="0.2">
      <c r="A15" s="98">
        <v>36585</v>
      </c>
      <c r="B15" s="82"/>
      <c r="C15" s="82"/>
      <c r="D15" s="82">
        <v>4934.3</v>
      </c>
      <c r="E15" s="82"/>
      <c r="F15" s="82"/>
      <c r="G15" s="82"/>
      <c r="H15" s="82"/>
      <c r="I15" s="82">
        <v>2375.6</v>
      </c>
      <c r="J15" s="82">
        <v>869.3</v>
      </c>
      <c r="K15" s="82">
        <v>16.8</v>
      </c>
      <c r="L15" s="82"/>
      <c r="M15" s="82"/>
      <c r="N15" s="82">
        <v>8196</v>
      </c>
      <c r="O15" s="100"/>
    </row>
    <row r="16" spans="1:35" ht="12.75" customHeight="1" x14ac:dyDescent="0.2">
      <c r="A16" s="98">
        <v>36615</v>
      </c>
      <c r="B16" s="82">
        <v>3852.3</v>
      </c>
      <c r="C16" s="82">
        <v>768.7</v>
      </c>
      <c r="D16" s="82">
        <v>4621</v>
      </c>
      <c r="E16" s="82">
        <v>187.9</v>
      </c>
      <c r="F16" s="82">
        <v>4808.8999999999996</v>
      </c>
      <c r="G16" s="82">
        <v>1828.9</v>
      </c>
      <c r="H16" s="82">
        <v>409.7</v>
      </c>
      <c r="I16" s="82">
        <v>2238.6</v>
      </c>
      <c r="J16" s="82">
        <v>840.5</v>
      </c>
      <c r="K16" s="82">
        <v>16.5</v>
      </c>
      <c r="L16" s="82">
        <v>-27.2</v>
      </c>
      <c r="M16" s="82">
        <v>3068.5</v>
      </c>
      <c r="N16" s="82">
        <v>7877.3</v>
      </c>
      <c r="O16" s="102">
        <v>428.9</v>
      </c>
    </row>
    <row r="17" spans="1:35" s="11" customFormat="1" ht="12.75" customHeight="1" x14ac:dyDescent="0.25">
      <c r="A17" s="74" t="s">
        <v>37</v>
      </c>
      <c r="B17" s="77"/>
      <c r="C17" s="77"/>
      <c r="D17" s="77"/>
      <c r="E17" s="77"/>
      <c r="F17" s="77"/>
      <c r="G17" s="77"/>
      <c r="H17" s="77"/>
      <c r="I17" s="77"/>
      <c r="J17" s="30" t="s">
        <v>38</v>
      </c>
      <c r="K17" s="30" t="s">
        <v>38</v>
      </c>
      <c r="L17" s="77"/>
      <c r="M17" s="77"/>
      <c r="N17" s="30" t="s">
        <v>38</v>
      </c>
      <c r="O17" s="31" t="s">
        <v>38</v>
      </c>
      <c r="P17" s="68"/>
      <c r="Q17" s="69"/>
      <c r="R17" s="69"/>
      <c r="S17" s="69"/>
      <c r="T17" s="1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</row>
    <row r="18" spans="1:35" ht="12.75" customHeight="1" x14ac:dyDescent="0.2">
      <c r="A18" s="75" t="s">
        <v>39</v>
      </c>
      <c r="B18" s="20"/>
      <c r="C18" s="20"/>
      <c r="D18" s="20"/>
      <c r="E18" s="20"/>
      <c r="F18" s="20"/>
      <c r="G18" s="20"/>
      <c r="H18" s="20"/>
      <c r="I18" s="20"/>
      <c r="J18" s="29" t="s">
        <v>40</v>
      </c>
      <c r="K18" s="29" t="s">
        <v>40</v>
      </c>
      <c r="L18" s="20"/>
      <c r="M18" s="20"/>
      <c r="N18" s="29" t="s">
        <v>40</v>
      </c>
      <c r="O18" s="32" t="s">
        <v>40</v>
      </c>
    </row>
    <row r="19" spans="1:35" ht="12.75" customHeight="1" x14ac:dyDescent="0.2">
      <c r="A19" s="76"/>
      <c r="B19" s="78"/>
      <c r="C19" s="78"/>
      <c r="D19" s="78"/>
      <c r="E19" s="78"/>
      <c r="F19" s="78"/>
      <c r="G19" s="78"/>
      <c r="H19" s="78"/>
      <c r="I19" s="78"/>
      <c r="J19" s="33" t="s">
        <v>41</v>
      </c>
      <c r="K19" s="33" t="s">
        <v>42</v>
      </c>
      <c r="L19" s="78"/>
      <c r="M19" s="78"/>
      <c r="N19" s="33" t="s">
        <v>43</v>
      </c>
      <c r="O19" s="34" t="s">
        <v>44</v>
      </c>
    </row>
    <row r="20" spans="1:35" ht="12.75" customHeight="1" x14ac:dyDescent="0.2"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</row>
    <row r="21" spans="1:35" ht="12.75" customHeight="1" x14ac:dyDescent="0.2">
      <c r="A21" s="97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</row>
    <row r="22" spans="1:35" ht="12.75" customHeight="1" x14ac:dyDescent="0.2">
      <c r="A22" s="95"/>
      <c r="B22" s="36" t="s">
        <v>45</v>
      </c>
      <c r="C22" s="93"/>
      <c r="D22" s="93"/>
      <c r="E22" s="93"/>
      <c r="F22" s="93"/>
      <c r="G22" s="93"/>
      <c r="H22" s="93"/>
      <c r="I22" s="93"/>
      <c r="J22" s="20"/>
      <c r="K22" s="20"/>
      <c r="L22" s="20"/>
      <c r="M22" s="20"/>
      <c r="N22" s="20"/>
      <c r="O22" s="20"/>
    </row>
    <row r="23" spans="1:35" ht="12.75" customHeight="1" x14ac:dyDescent="0.2">
      <c r="A23" s="95"/>
      <c r="B23" s="36" t="s">
        <v>46</v>
      </c>
      <c r="C23" s="36"/>
      <c r="D23" s="36"/>
      <c r="E23" s="36"/>
      <c r="F23" s="36"/>
      <c r="G23" s="36"/>
      <c r="H23" s="36"/>
      <c r="I23" s="36"/>
      <c r="J23" s="20"/>
      <c r="K23" s="20"/>
      <c r="L23" s="20"/>
      <c r="M23" s="20"/>
      <c r="N23" s="20"/>
      <c r="O23" s="20"/>
    </row>
    <row r="24" spans="1:35" ht="12.75" customHeight="1" x14ac:dyDescent="0.2">
      <c r="A24" s="95"/>
      <c r="B24" s="36" t="s">
        <v>47</v>
      </c>
      <c r="C24" s="36"/>
      <c r="D24" s="36"/>
      <c r="E24" s="36"/>
      <c r="F24" s="36"/>
      <c r="G24" s="36"/>
      <c r="H24" s="36"/>
      <c r="I24" s="36"/>
      <c r="J24" s="20"/>
      <c r="K24" s="20"/>
      <c r="L24" s="20"/>
      <c r="M24" s="20"/>
      <c r="N24" s="20"/>
      <c r="O24" s="20"/>
    </row>
    <row r="25" spans="1:35" ht="12.75" customHeight="1" x14ac:dyDescent="0.2">
      <c r="A25" s="95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</row>
    <row r="26" spans="1:35" ht="12.75" customHeight="1" x14ac:dyDescent="0.2">
      <c r="A26" s="95"/>
      <c r="B26" s="96"/>
      <c r="C26" s="94"/>
      <c r="D26" s="94"/>
      <c r="E26" s="94"/>
      <c r="F26" s="94"/>
      <c r="G26" s="94"/>
      <c r="H26" s="94"/>
      <c r="I26" s="94"/>
      <c r="J26" s="20"/>
      <c r="K26" s="20"/>
      <c r="L26" s="20"/>
      <c r="M26" s="20"/>
      <c r="N26" s="20"/>
      <c r="O26" s="20"/>
    </row>
    <row r="27" spans="1:35" ht="12.75" customHeight="1" x14ac:dyDescent="0.2"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</row>
    <row r="28" spans="1:35" ht="12.75" customHeight="1" x14ac:dyDescent="0.2"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</row>
    <row r="29" spans="1:35" ht="12.75" customHeight="1" x14ac:dyDescent="0.2"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</row>
    <row r="30" spans="1:35" ht="12.75" customHeight="1" x14ac:dyDescent="0.2"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</row>
    <row r="31" spans="1:35" ht="12.75" customHeight="1" x14ac:dyDescent="0.2"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</row>
    <row r="32" spans="1:35" ht="12.75" customHeight="1" x14ac:dyDescent="0.2"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</row>
    <row r="33" spans="2:15" ht="12.75" customHeight="1" x14ac:dyDescent="0.2"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</row>
    <row r="34" spans="2:15" ht="12.75" customHeight="1" x14ac:dyDescent="0.2"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</row>
    <row r="35" spans="2:15" ht="12.75" customHeight="1" x14ac:dyDescent="0.2"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</row>
    <row r="36" spans="2:15" ht="12.75" customHeight="1" x14ac:dyDescent="0.2"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</row>
    <row r="37" spans="2:15" ht="12.75" customHeight="1" x14ac:dyDescent="0.2"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</row>
    <row r="38" spans="2:15" ht="12.75" customHeight="1" x14ac:dyDescent="0.2"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</row>
    <row r="39" spans="2:15" ht="12.75" customHeight="1" x14ac:dyDescent="0.2"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</row>
    <row r="40" spans="2:15" ht="12.75" customHeight="1" x14ac:dyDescent="0.2"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</row>
    <row r="41" spans="2:15" ht="12.75" customHeight="1" x14ac:dyDescent="0.2"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</row>
    <row r="42" spans="2:15" ht="12.75" customHeight="1" x14ac:dyDescent="0.2"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</row>
    <row r="43" spans="2:15" ht="12.75" customHeight="1" x14ac:dyDescent="0.2"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</row>
    <row r="44" spans="2:15" ht="12.75" customHeight="1" x14ac:dyDescent="0.2"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</row>
    <row r="45" spans="2:15" ht="12.75" customHeight="1" x14ac:dyDescent="0.2"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</row>
    <row r="46" spans="2:15" ht="12.75" customHeight="1" x14ac:dyDescent="0.2"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</row>
    <row r="47" spans="2:15" ht="12.75" customHeight="1" x14ac:dyDescent="0.2"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</row>
    <row r="48" spans="2:15" ht="12.75" customHeight="1" x14ac:dyDescent="0.2"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</row>
    <row r="49" spans="2:15" ht="12.75" customHeight="1" x14ac:dyDescent="0.2"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</row>
    <row r="50" spans="2:15" ht="12.75" customHeight="1" x14ac:dyDescent="0.2"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</row>
    <row r="51" spans="2:15" ht="12.75" customHeight="1" x14ac:dyDescent="0.2"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</row>
    <row r="52" spans="2:15" ht="12.75" customHeight="1" x14ac:dyDescent="0.2"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</row>
    <row r="53" spans="2:15" ht="12.75" customHeight="1" x14ac:dyDescent="0.2"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</row>
    <row r="54" spans="2:15" ht="12.75" customHeight="1" x14ac:dyDescent="0.2"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</row>
    <row r="55" spans="2:15" ht="12.75" customHeight="1" x14ac:dyDescent="0.2"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</row>
    <row r="56" spans="2:15" ht="12.75" customHeight="1" x14ac:dyDescent="0.2"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</row>
    <row r="57" spans="2:15" ht="12.75" customHeight="1" x14ac:dyDescent="0.2"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</row>
    <row r="58" spans="2:15" ht="12.75" customHeight="1" x14ac:dyDescent="0.2"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</row>
    <row r="59" spans="2:15" ht="12.75" customHeight="1" x14ac:dyDescent="0.2"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</row>
    <row r="60" spans="2:15" ht="12.75" customHeight="1" x14ac:dyDescent="0.2"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</row>
    <row r="61" spans="2:15" ht="12.75" customHeight="1" x14ac:dyDescent="0.2"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</row>
    <row r="62" spans="2:15" ht="12.75" customHeight="1" x14ac:dyDescent="0.2"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</row>
    <row r="63" spans="2:15" ht="12.75" customHeight="1" x14ac:dyDescent="0.2"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</row>
    <row r="64" spans="2:15" ht="12.75" customHeight="1" x14ac:dyDescent="0.2"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</row>
    <row r="65" spans="2:15" ht="12.75" customHeight="1" x14ac:dyDescent="0.2"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</row>
    <row r="66" spans="2:15" ht="12.75" customHeight="1" x14ac:dyDescent="0.2"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</row>
    <row r="67" spans="2:15" ht="12.75" customHeight="1" x14ac:dyDescent="0.2"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</row>
    <row r="68" spans="2:15" ht="12.75" customHeight="1" x14ac:dyDescent="0.2"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</row>
    <row r="69" spans="2:15" ht="12.75" customHeight="1" x14ac:dyDescent="0.2"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</row>
    <row r="70" spans="2:15" ht="12.75" customHeight="1" x14ac:dyDescent="0.2"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</row>
    <row r="71" spans="2:15" ht="12.75" customHeight="1" x14ac:dyDescent="0.2"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</row>
    <row r="72" spans="2:15" ht="12.75" customHeight="1" x14ac:dyDescent="0.2"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</row>
    <row r="73" spans="2:15" ht="12.75" customHeight="1" x14ac:dyDescent="0.2"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</row>
    <row r="74" spans="2:15" ht="12.75" customHeight="1" x14ac:dyDescent="0.2"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</row>
    <row r="75" spans="2:15" ht="12.75" customHeight="1" x14ac:dyDescent="0.2"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</row>
    <row r="76" spans="2:15" ht="12.75" customHeight="1" x14ac:dyDescent="0.2"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</row>
    <row r="77" spans="2:15" ht="12.75" customHeight="1" x14ac:dyDescent="0.2"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</row>
    <row r="78" spans="2:15" ht="12.75" customHeight="1" x14ac:dyDescent="0.2"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</row>
    <row r="79" spans="2:15" ht="12.75" customHeight="1" x14ac:dyDescent="0.2"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</row>
    <row r="80" spans="2:15" ht="12.75" customHeight="1" x14ac:dyDescent="0.2"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</row>
    <row r="81" spans="2:15" ht="12.75" customHeight="1" x14ac:dyDescent="0.2"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</row>
    <row r="82" spans="2:15" ht="12.75" customHeight="1" x14ac:dyDescent="0.2"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</row>
    <row r="83" spans="2:15" ht="12.75" customHeight="1" x14ac:dyDescent="0.2"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</row>
    <row r="84" spans="2:15" ht="12.75" customHeight="1" x14ac:dyDescent="0.2"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</row>
    <row r="85" spans="2:15" ht="12.75" customHeight="1" x14ac:dyDescent="0.2"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</row>
    <row r="86" spans="2:15" ht="12.75" customHeight="1" x14ac:dyDescent="0.2"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</row>
    <row r="87" spans="2:15" ht="12.75" customHeight="1" x14ac:dyDescent="0.2"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</row>
    <row r="88" spans="2:15" ht="12.75" customHeight="1" x14ac:dyDescent="0.2"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</row>
    <row r="89" spans="2:15" ht="12.75" customHeight="1" x14ac:dyDescent="0.2"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</row>
    <row r="90" spans="2:15" ht="12.75" customHeight="1" x14ac:dyDescent="0.2"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</row>
    <row r="91" spans="2:15" ht="12.75" customHeight="1" x14ac:dyDescent="0.2"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</row>
    <row r="92" spans="2:15" ht="12.75" customHeight="1" x14ac:dyDescent="0.2"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</row>
    <row r="93" spans="2:15" ht="12.75" customHeight="1" x14ac:dyDescent="0.2"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</row>
    <row r="94" spans="2:15" ht="12.75" customHeight="1" x14ac:dyDescent="0.2"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</row>
    <row r="95" spans="2:15" ht="12.75" customHeight="1" x14ac:dyDescent="0.2"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</row>
    <row r="96" spans="2:15" ht="12.75" customHeight="1" x14ac:dyDescent="0.2"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</row>
    <row r="97" spans="2:15" ht="12.75" customHeight="1" x14ac:dyDescent="0.2"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</row>
    <row r="98" spans="2:15" ht="12.75" customHeight="1" x14ac:dyDescent="0.2"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</row>
    <row r="99" spans="2:15" ht="12.75" customHeight="1" x14ac:dyDescent="0.2"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</row>
    <row r="100" spans="2:15" ht="12.75" customHeight="1" x14ac:dyDescent="0.2"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</row>
    <row r="101" spans="2:15" ht="12.75" customHeight="1" x14ac:dyDescent="0.2"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</row>
    <row r="102" spans="2:15" ht="12.75" customHeight="1" x14ac:dyDescent="0.2"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</row>
    <row r="103" spans="2:15" ht="12.75" customHeight="1" x14ac:dyDescent="0.2"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</row>
    <row r="104" spans="2:15" ht="12.75" customHeight="1" x14ac:dyDescent="0.2"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</row>
    <row r="105" spans="2:15" ht="12.75" customHeight="1" x14ac:dyDescent="0.2"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</row>
    <row r="106" spans="2:15" ht="12.75" customHeight="1" x14ac:dyDescent="0.2"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</row>
    <row r="107" spans="2:15" ht="12.75" customHeight="1" x14ac:dyDescent="0.2"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</row>
    <row r="108" spans="2:15" ht="12.75" customHeight="1" x14ac:dyDescent="0.2"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</row>
    <row r="109" spans="2:15" ht="12.75" customHeight="1" x14ac:dyDescent="0.2"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</row>
    <row r="110" spans="2:15" ht="12.75" customHeight="1" x14ac:dyDescent="0.2"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</row>
    <row r="111" spans="2:15" ht="12.75" customHeight="1" x14ac:dyDescent="0.2"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</row>
    <row r="112" spans="2:15" ht="12.75" customHeight="1" x14ac:dyDescent="0.2"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</row>
    <row r="113" spans="2:15" ht="12.75" customHeight="1" x14ac:dyDescent="0.2"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</row>
    <row r="114" spans="2:15" ht="12.75" customHeight="1" x14ac:dyDescent="0.2"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</row>
    <row r="115" spans="2:15" ht="12.75" customHeight="1" x14ac:dyDescent="0.2"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</row>
    <row r="116" spans="2:15" ht="12.75" customHeight="1" x14ac:dyDescent="0.2"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</row>
    <row r="117" spans="2:15" ht="12.75" customHeight="1" x14ac:dyDescent="0.2"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</row>
    <row r="118" spans="2:15" ht="12.75" customHeight="1" x14ac:dyDescent="0.2"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</row>
    <row r="119" spans="2:15" ht="12.75" customHeight="1" x14ac:dyDescent="0.2"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</row>
    <row r="120" spans="2:15" ht="12.75" customHeight="1" x14ac:dyDescent="0.2"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</row>
    <row r="121" spans="2:15" ht="12.75" customHeight="1" x14ac:dyDescent="0.2"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</row>
    <row r="122" spans="2:15" ht="12.75" customHeight="1" x14ac:dyDescent="0.2"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</row>
    <row r="123" spans="2:15" ht="12.75" customHeight="1" x14ac:dyDescent="0.2"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</row>
    <row r="124" spans="2:15" ht="12.75" customHeight="1" x14ac:dyDescent="0.2"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</row>
    <row r="125" spans="2:15" ht="12.75" customHeight="1" x14ac:dyDescent="0.2"/>
    <row r="126" spans="2:15" ht="12.75" customHeight="1" x14ac:dyDescent="0.2"/>
    <row r="127" spans="2:15" ht="12.75" customHeight="1" x14ac:dyDescent="0.2"/>
    <row r="128" spans="2:15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</sheetData>
  <printOptions horizontalCentered="1"/>
  <pageMargins left="0.55118110236220474" right="0.74803149606299213" top="0.59055118110236227" bottom="0.19685039370078741" header="0.51181102362204722" footer="0.51181102362204722"/>
  <pageSetup paperSize="9" scale="67" orientation="landscape" horizontalDpi="300" verticalDpi="300" r:id="rId1"/>
  <headerFooter alignWithMargins="0">
    <oddHeader>&amp;C&amp;"Calibri"&amp;10&amp;K000000 IN CONFIDENCE&amp;1#_x000D_</oddHeader>
    <oddFooter>&amp;C_x000D_&amp;1#&amp;"Calibri"&amp;10&amp;K000000 IN CONFIDENCE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Jan 1993 to Mar 2000</vt:lpstr>
      <vt:lpstr>Treasury</vt:lpstr>
      <vt:lpstr>Check Treasury Past</vt:lpstr>
      <vt:lpstr>Reserve Bank</vt:lpstr>
      <vt:lpstr>Check RB Past</vt:lpstr>
      <vt:lpstr>Notes</vt:lpstr>
      <vt:lpstr>'Reserve Bank'!Print_Area</vt:lpstr>
      <vt:lpstr>'Jan 1993 to Mar 2000'!Print_Titles</vt:lpstr>
      <vt:lpstr>'Reserve Bank'!Print_Titles</vt:lpstr>
      <vt:lpstr>Treasury!Print_Titles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hE1 March 2013 Excel Table</dc:title>
  <dc:creator>Reserve Bank of New Zealand</dc:creator>
  <cp:lastModifiedBy>Elizabeth Shen</cp:lastModifiedBy>
  <cp:lastPrinted>2018-08-02T02:14:07Z</cp:lastPrinted>
  <dcterms:created xsi:type="dcterms:W3CDTF">1999-06-24T04:45:36Z</dcterms:created>
  <dcterms:modified xsi:type="dcterms:W3CDTF">2026-01-07T04:44:24Z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1204ef0-88f2-468b-8ccc-80ef20191258_Enabled">
    <vt:lpwstr>true</vt:lpwstr>
  </property>
  <property fmtid="{D5CDD505-2E9C-101B-9397-08002B2CF9AE}" pid="3" name="MSIP_Label_61204ef0-88f2-468b-8ccc-80ef20191258_SetDate">
    <vt:lpwstr>2025-04-02T00:08:04Z</vt:lpwstr>
  </property>
  <property fmtid="{D5CDD505-2E9C-101B-9397-08002B2CF9AE}" pid="4" name="MSIP_Label_61204ef0-88f2-468b-8ccc-80ef20191258_Method">
    <vt:lpwstr>Privileged</vt:lpwstr>
  </property>
  <property fmtid="{D5CDD505-2E9C-101B-9397-08002B2CF9AE}" pid="5" name="MSIP_Label_61204ef0-88f2-468b-8ccc-80ef20191258_Name">
    <vt:lpwstr>IN CONFIDENCE_00</vt:lpwstr>
  </property>
  <property fmtid="{D5CDD505-2E9C-101B-9397-08002B2CF9AE}" pid="6" name="MSIP_Label_61204ef0-88f2-468b-8ccc-80ef20191258_SiteId">
    <vt:lpwstr>ef09e631-f62d-48d5-8cdb-02f838550358</vt:lpwstr>
  </property>
  <property fmtid="{D5CDD505-2E9C-101B-9397-08002B2CF9AE}" pid="7" name="MSIP_Label_61204ef0-88f2-468b-8ccc-80ef20191258_ActionId">
    <vt:lpwstr>70664ce5-4b97-479c-b8e0-86a5de5f68d5</vt:lpwstr>
  </property>
  <property fmtid="{D5CDD505-2E9C-101B-9397-08002B2CF9AE}" pid="8" name="MSIP_Label_61204ef0-88f2-468b-8ccc-80ef20191258_ContentBits">
    <vt:lpwstr>3</vt:lpwstr>
  </property>
  <property fmtid="{D5CDD505-2E9C-101B-9397-08002B2CF9AE}" pid="9" name="MSIP_Label_61204ef0-88f2-468b-8ccc-80ef20191258_Tag">
    <vt:lpwstr>10, 0, 1, 1</vt:lpwstr>
  </property>
</Properties>
</file>